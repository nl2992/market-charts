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edit" sheetId="2" state="visible" r:id="rId2"/>
    <sheet xmlns:r="http://schemas.openxmlformats.org/officeDocument/2006/relationships" name="Curve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000000"/>
      <sz val="14"/>
    </font>
    <font>
      <name val="Arial"/>
      <color rgb="00767576"/>
      <sz val="9"/>
    </font>
    <font>
      <name val="Arial"/>
      <b val="1"/>
      <color rgb="00FFFFFF"/>
      <sz val="10"/>
    </font>
    <font>
      <name val="Arial"/>
      <b val="1"/>
      <color rgb="00000000"/>
      <sz val="10"/>
    </font>
    <font>
      <name val="Arial"/>
      <color rgb="00000000"/>
      <sz val="10"/>
    </font>
  </fonts>
  <fills count="3">
    <fill>
      <patternFill/>
    </fill>
    <fill>
      <patternFill patternType="gray125"/>
    </fill>
    <fill>
      <patternFill patternType="solid">
        <fgColor rgb="00DB0011"/>
      </patternFill>
    </fill>
  </fills>
  <borders count="2">
    <border>
      <left/>
      <right/>
      <top/>
      <bottom/>
      <diagonal/>
    </border>
    <border>
      <bottom style="thin">
        <color rgb="00D0CEC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4" fillId="0" borderId="1" pivotButton="0" quotePrefix="0" xfId="0"/>
    <xf numFmtId="0" fontId="5" fillId="0" borderId="1"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left" vertical="center"/>
    </xf>
    <xf numFmtId="3" fontId="4" fillId="0" borderId="1" pivotButton="0" quotePrefix="0" xfId="0"/>
    <xf numFmtId="3" fontId="5" fillId="0" borderId="1" pivotButton="0" quotePrefix="0" xfId="0"/>
    <xf numFmtId="3" fontId="0" fillId="0" borderId="1" pivotButton="0" quotePrefix="0" xfId="0"/>
    <xf numFmtId="9" fontId="4" fillId="0" borderId="1" pivotButton="0" quotePrefix="0" xfId="0"/>
    <xf numFmtId="164" fontId="4" fillId="0" borderId="1" pivotButton="0" quotePrefix="0" xfId="0"/>
    <xf numFmtId="16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Credit spreads vs their own 3-year range, bp</a:t>
            </a:r>
          </a:p>
        </rich>
      </tx>
    </title>
    <plotArea>
      <barChart>
        <barDir val="col"/>
        <grouping val="clustered"/>
        <ser>
          <idx val="0"/>
          <order val="0"/>
          <tx>
            <v>Today</v>
          </tx>
          <spPr>
            <a:solidFill xmlns:a="http://schemas.openxmlformats.org/drawingml/2006/main">
              <a:srgbClr val="DB0011"/>
            </a:solidFill>
            <a:ln xmlns:a="http://schemas.openxmlformats.org/drawingml/2006/main">
              <a:noFill/>
              <a:prstDash val="solid"/>
            </a:ln>
          </spPr>
          <cat>
            <numRef>
              <f>'Credit'!$A$7:$A$10</f>
            </numRef>
          </cat>
          <val>
            <numRef>
              <f>'Credit'!$B$7:$B$10</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110"/>
        <axId val="10"/>
        <axId val="100"/>
      </barChart>
      <lineChart>
        <grouping val="standard"/>
        <ser>
          <idx val="1"/>
          <order val="1"/>
          <tx>
            <v>3y mean</v>
          </tx>
          <spPr>
            <a:ln xmlns:a="http://schemas.openxmlformats.org/drawingml/2006/main">
              <a:noFill/>
              <a:prstDash val="solid"/>
            </a:ln>
          </spPr>
          <marker>
            <symbol val="dash"/>
            <size val="18"/>
            <spPr>
              <a:solidFill xmlns:a="http://schemas.openxmlformats.org/drawingml/2006/main">
                <a:srgbClr val="44546A"/>
              </a:solidFill>
              <a:ln xmlns:a="http://schemas.openxmlformats.org/drawingml/2006/main" w="19050">
                <a:solidFill>
                  <a:srgbClr val="44546A"/>
                </a:solidFill>
                <a:prstDash val="solid"/>
              </a:ln>
            </spPr>
          </marker>
          <errBars>
            <errDir val="y"/>
            <errBarType val="both"/>
            <errValType val="cust"/>
            <noEndCap val="0"/>
            <minus>
              <numRef>
                <f>'Credit'!$G$7:$G$10</f>
              </numRef>
            </minus>
            <plus>
              <numRef>
                <f>'Credit'!$F$7:$F$10</f>
              </numRef>
            </plus>
          </errBars>
          <cat>
            <numRef>
              <f>'Credit'!$A$7:$A$10</f>
            </numRef>
          </cat>
          <val>
            <numRef>
              <f>'Credit'!$E$7:$E$10</f>
            </numRef>
          </val>
          <smooth val="0"/>
        </ser>
        <axId val="10"/>
        <axId val="100"/>
      </line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Curve slopes vs their own 5-year range, bp</a:t>
            </a:r>
          </a:p>
        </rich>
      </tx>
    </title>
    <plotArea>
      <barChart>
        <barDir val="col"/>
        <grouping val="clustered"/>
        <ser>
          <idx val="0"/>
          <order val="0"/>
          <tx>
            <v>Today</v>
          </tx>
          <spPr>
            <a:solidFill xmlns:a="http://schemas.openxmlformats.org/drawingml/2006/main">
              <a:srgbClr val="DB0011"/>
            </a:solidFill>
            <a:ln xmlns:a="http://schemas.openxmlformats.org/drawingml/2006/main">
              <a:noFill/>
              <a:prstDash val="solid"/>
            </a:ln>
          </spPr>
          <cat>
            <numRef>
              <f>'Curves'!$A$7:$A$13</f>
            </numRef>
          </cat>
          <val>
            <numRef>
              <f>'Curves'!$B$7:$B$13</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110"/>
        <axId val="10"/>
        <axId val="100"/>
      </barChart>
      <lineChart>
        <grouping val="standard"/>
        <ser>
          <idx val="1"/>
          <order val="1"/>
          <tx>
            <v>5y mean</v>
          </tx>
          <spPr>
            <a:ln xmlns:a="http://schemas.openxmlformats.org/drawingml/2006/main">
              <a:noFill/>
              <a:prstDash val="solid"/>
            </a:ln>
          </spPr>
          <marker>
            <symbol val="dash"/>
            <size val="18"/>
            <spPr>
              <a:solidFill xmlns:a="http://schemas.openxmlformats.org/drawingml/2006/main">
                <a:srgbClr val="44546A"/>
              </a:solidFill>
              <a:ln xmlns:a="http://schemas.openxmlformats.org/drawingml/2006/main" w="19050">
                <a:solidFill>
                  <a:srgbClr val="44546A"/>
                </a:solidFill>
                <a:prstDash val="solid"/>
              </a:ln>
            </spPr>
          </marker>
          <errBars>
            <errDir val="y"/>
            <errBarType val="both"/>
            <errValType val="cust"/>
            <noEndCap val="0"/>
            <minus>
              <numRef>
                <f>'Curves'!$G$7:$G$13</f>
              </numRef>
            </minus>
            <plus>
              <numRef>
                <f>'Curves'!$F$7:$F$13</f>
              </numRef>
            </plus>
          </errBars>
          <cat>
            <numRef>
              <f>'Curves'!$A$7:$A$13</f>
            </numRef>
          </cat>
          <val>
            <numRef>
              <f>'Curves'!$E$7:$E$13</f>
            </numRef>
          </val>
          <smooth val="0"/>
        </ser>
        <axId val="10"/>
        <axId val="100"/>
      </line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9</col>
      <colOff>0</colOff>
      <row>5</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5</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2" customWidth="1" min="1" max="1"/>
    <col width="104" customWidth="1" min="2" max="2"/>
  </cols>
  <sheetData>
    <row r="1">
      <c r="A1" s="1" t="inlineStr">
        <is>
          <t>APAC fixed income — curve and credit ranges</t>
        </is>
      </c>
    </row>
    <row r="2">
      <c r="A2" s="2" t="inlineStr">
        <is>
          <t>Values, not formulas. Opens anywhere and the charts draw immediately.</t>
        </is>
      </c>
    </row>
    <row r="3" ht="4" customHeight="1">
      <c r="A3" s="3" t="n"/>
      <c r="B3" s="3" t="n"/>
      <c r="C3" s="3" t="n"/>
      <c r="D3" s="3" t="n"/>
      <c r="E3" s="3" t="n"/>
      <c r="F3" s="3" t="n"/>
    </row>
    <row r="6" ht="44" customHeight="1">
      <c r="A6" s="4" t="inlineStr">
        <is>
          <t>What it shows</t>
        </is>
      </c>
      <c r="B6" s="5" t="inlineStr">
        <is>
          <t>Two ways to be paid in fixed income, each measured against its own history: credit risk, and curve position. Credit sits in the bottom decile of three years across every index here.</t>
        </is>
      </c>
    </row>
    <row r="7" ht="44" customHeight="1">
      <c r="A7" s="4" t="inlineStr">
        <is>
          <t>The curve window</t>
        </is>
      </c>
      <c r="B7" s="5" t="inlineStr">
        <is>
          <t>A common five years of MONTHLY observations to May-2026, sixty points per series. Every percentile is measured over the same period.</t>
        </is>
      </c>
    </row>
    <row r="8" ht="44" customHeight="1">
      <c r="A8" s="4" t="inlineStr">
        <is>
          <t>Korea and Australia</t>
        </is>
      </c>
      <c r="B8" s="5" t="inlineStr">
        <is>
          <t>3m10y rather than 2s10s — no free source publishes their 2-year yields. The row labels say so, and the metric difference is worth stating aloud rather than hiding.</t>
        </is>
      </c>
    </row>
    <row r="9" ht="44" customHeight="1">
      <c r="A9" s="4" t="inlineStr">
        <is>
          <t>Sources</t>
        </is>
      </c>
      <c r="B9" s="5" t="inlineStr">
        <is>
          <t>ICE BofA OAS via FRED; Japan Ministry of Finance daily JGB yields; US Treasury daily par yields; OECD rates via FRED for Korea and Australia. All free and checkable — none of this needs a terminal.</t>
        </is>
      </c>
    </row>
    <row r="10" ht="44" customHeight="1">
      <c r="A10" s="4" t="inlineStr">
        <is>
          <t>Rebuilding</t>
        </is>
      </c>
      <c r="B10" s="5" t="inlineStr">
        <is>
          <t>python3 data-puller/build_apac_fi_ranges.py. This file is a build artefact; fix the script rather than the workbook or the change is lost on the next rebuild.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Credit spreads vs their own 3-year range, bp</t>
        </is>
      </c>
    </row>
    <row r="2">
      <c r="A2" s="2" t="inlineStr">
        <is>
          <t>ICE BofA option-adjusted spreads, daily to 6-Aug-2026</t>
        </is>
      </c>
    </row>
    <row r="3" ht="4" customHeight="1">
      <c r="A3" s="3" t="n"/>
      <c r="B3" s="3" t="n"/>
      <c r="C3" s="3" t="n"/>
      <c r="D3" s="3" t="n"/>
      <c r="E3" s="3" t="n"/>
      <c r="F3" s="3" t="n"/>
      <c r="G3" s="3" t="n"/>
      <c r="H3" s="3" t="n"/>
    </row>
    <row r="4">
      <c r="A4" s="6" t="inlineStr">
        <is>
          <t>Every index here sits in the bottom decile of its own three years. Asia corporate at 82bp is 6bp off the tightest print in the sample, and EM corporate is at its tightest. There is no compensation left in credit risk, which is why the fixed income call has to be a curve call.</t>
        </is>
      </c>
    </row>
    <row r="6" ht="18" customHeight="1">
      <c r="A6" s="7" t="inlineStr">
        <is>
          <t>Series</t>
        </is>
      </c>
      <c r="B6" s="7" t="inlineStr">
        <is>
          <t>Current</t>
        </is>
      </c>
      <c r="C6" s="7" t="inlineStr">
        <is>
          <t>Min</t>
        </is>
      </c>
      <c r="D6" s="7" t="inlineStr">
        <is>
          <t>Max</t>
        </is>
      </c>
      <c r="E6" s="7" t="inlineStr">
        <is>
          <t>Mean</t>
        </is>
      </c>
      <c r="F6" s="7" t="inlineStr">
        <is>
          <t>Upper arm</t>
        </is>
      </c>
      <c r="G6" s="7" t="inlineStr">
        <is>
          <t>Lower arm</t>
        </is>
      </c>
      <c r="H6" s="7" t="inlineStr">
        <is>
          <t>Percentile</t>
        </is>
      </c>
    </row>
    <row r="7">
      <c r="A7" s="4" t="inlineStr">
        <is>
          <t>Asia corporate</t>
        </is>
      </c>
      <c r="B7" s="8" t="n">
        <v>82</v>
      </c>
      <c r="C7" s="9" t="n">
        <v>76</v>
      </c>
      <c r="D7" s="9" t="n">
        <v>219</v>
      </c>
      <c r="E7" s="9" t="n">
        <v>117</v>
      </c>
      <c r="F7" s="10">
        <f>IFERROR(D7-E7,"")</f>
        <v/>
      </c>
      <c r="G7" s="10">
        <f>IFERROR(E7-C7,"")</f>
        <v/>
      </c>
      <c r="H7" s="11" t="n">
        <v>0.06</v>
      </c>
    </row>
    <row r="8">
      <c r="A8" s="4" t="inlineStr">
        <is>
          <t>EM corporate</t>
        </is>
      </c>
      <c r="B8" s="8" t="n">
        <v>139</v>
      </c>
      <c r="C8" s="9" t="n">
        <v>138</v>
      </c>
      <c r="D8" s="9" t="n">
        <v>281</v>
      </c>
      <c r="E8" s="9" t="n">
        <v>186</v>
      </c>
      <c r="F8" s="10">
        <f>IFERROR(D8-E8,"")</f>
        <v/>
      </c>
      <c r="G8" s="10">
        <f>IFERROR(E8-C8,"")</f>
        <v/>
      </c>
      <c r="H8" s="11" t="n">
        <v>0</v>
      </c>
    </row>
    <row r="9">
      <c r="A9" s="4" t="inlineStr">
        <is>
          <t>US investment grade</t>
        </is>
      </c>
      <c r="B9" s="8" t="n">
        <v>78</v>
      </c>
      <c r="C9" s="9" t="n">
        <v>73</v>
      </c>
      <c r="D9" s="9" t="n">
        <v>133</v>
      </c>
      <c r="E9" s="9" t="n">
        <v>91</v>
      </c>
      <c r="F9" s="10">
        <f>IFERROR(D9-E9,"")</f>
        <v/>
      </c>
      <c r="G9" s="10">
        <f>IFERROR(E9-C9,"")</f>
        <v/>
      </c>
      <c r="H9" s="11" t="n">
        <v>0.13</v>
      </c>
    </row>
    <row r="10">
      <c r="A10" s="4" t="inlineStr">
        <is>
          <t>US high yield</t>
        </is>
      </c>
      <c r="B10" s="8" t="n">
        <v>271</v>
      </c>
      <c r="C10" s="9" t="n">
        <v>259</v>
      </c>
      <c r="D10" s="9" t="n">
        <v>461</v>
      </c>
      <c r="E10" s="9" t="n">
        <v>316</v>
      </c>
      <c r="F10" s="10">
        <f>IFERROR(D10-E10,"")</f>
        <v/>
      </c>
      <c r="G10" s="10">
        <f>IFERROR(E10-C10,"")</f>
        <v/>
      </c>
      <c r="H10" s="11" t="n">
        <v>0.09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Curve slopes vs their own 5-year range, bp</t>
        </is>
      </c>
    </row>
    <row r="2">
      <c r="A2" s="2" t="inlineStr">
        <is>
          <t>Monthly, common window to May-2026, 60 observations per series</t>
        </is>
      </c>
    </row>
    <row r="3" ht="4" customHeight="1">
      <c r="A3" s="3" t="n"/>
      <c r="B3" s="3" t="n"/>
      <c r="C3" s="3" t="n"/>
      <c r="D3" s="3" t="n"/>
      <c r="E3" s="3" t="n"/>
      <c r="F3" s="3" t="n"/>
      <c r="G3" s="3" t="n"/>
      <c r="H3" s="3" t="n"/>
    </row>
    <row r="4">
      <c r="A4" s="6" t="inlineStr">
        <is>
          <t>Four Japanese segments, two other Asian markets and one US reference. Korea and Australia are 3m10y because their 2-year yields are not published by any free source. Japan sits at the top of its range on the front segments and mid-range at 10s30s — the selection between those two is made on the sell-off test, not on the level.</t>
        </is>
      </c>
    </row>
    <row r="6" ht="18" customHeight="1">
      <c r="A6" s="7" t="inlineStr">
        <is>
          <t>Series</t>
        </is>
      </c>
      <c r="B6" s="7" t="inlineStr">
        <is>
          <t>Current</t>
        </is>
      </c>
      <c r="C6" s="7" t="inlineStr">
        <is>
          <t>Min</t>
        </is>
      </c>
      <c r="D6" s="7" t="inlineStr">
        <is>
          <t>Max</t>
        </is>
      </c>
      <c r="E6" s="7" t="inlineStr">
        <is>
          <t>Mean</t>
        </is>
      </c>
      <c r="F6" s="7" t="inlineStr">
        <is>
          <t>Upper arm</t>
        </is>
      </c>
      <c r="G6" s="7" t="inlineStr">
        <is>
          <t>Lower arm</t>
        </is>
      </c>
      <c r="H6" s="7" t="inlineStr">
        <is>
          <t>Percentile</t>
        </is>
      </c>
    </row>
    <row r="7">
      <c r="A7" s="4" t="inlineStr">
        <is>
          <t>JGB 2s10s</t>
        </is>
      </c>
      <c r="B7" s="12" t="n">
        <v>126</v>
      </c>
      <c r="C7" s="13" t="n">
        <v>15</v>
      </c>
      <c r="D7" s="13" t="n">
        <v>126</v>
      </c>
      <c r="E7" s="13" t="n">
        <v>54</v>
      </c>
      <c r="F7" s="10">
        <f>IFERROR(D7-E7,"")</f>
        <v/>
      </c>
      <c r="G7" s="10">
        <f>IFERROR(E7-C7,"")</f>
        <v/>
      </c>
      <c r="H7" s="11" t="n">
        <v>0.98</v>
      </c>
    </row>
    <row r="8">
      <c r="A8" s="4" t="inlineStr">
        <is>
          <t>JGB 5s10s</t>
        </is>
      </c>
      <c r="B8" s="12" t="n">
        <v>74</v>
      </c>
      <c r="C8" s="13" t="n">
        <v>14</v>
      </c>
      <c r="D8" s="13" t="n">
        <v>74</v>
      </c>
      <c r="E8" s="13" t="n">
        <v>35</v>
      </c>
      <c r="F8" s="10">
        <f>IFERROR(D8-E8,"")</f>
        <v/>
      </c>
      <c r="G8" s="10">
        <f>IFERROR(E8-C8,"")</f>
        <v/>
      </c>
      <c r="H8" s="11" t="n">
        <v>0.98</v>
      </c>
    </row>
    <row r="9">
      <c r="A9" s="4" t="inlineStr">
        <is>
          <t>JGB 10s20s</t>
        </is>
      </c>
      <c r="B9" s="12" t="n">
        <v>89</v>
      </c>
      <c r="C9" s="13" t="n">
        <v>37</v>
      </c>
      <c r="D9" s="13" t="n">
        <v>101</v>
      </c>
      <c r="E9" s="13" t="n">
        <v>71</v>
      </c>
      <c r="F9" s="10">
        <f>IFERROR(D9-E9,"")</f>
        <v/>
      </c>
      <c r="G9" s="10">
        <f>IFERROR(E9-C9,"")</f>
        <v/>
      </c>
      <c r="H9" s="11" t="n">
        <v>0.82</v>
      </c>
    </row>
    <row r="10">
      <c r="A10" s="4" t="inlineStr">
        <is>
          <t>JGB 10s30s</t>
        </is>
      </c>
      <c r="B10" s="12" t="n">
        <v>120</v>
      </c>
      <c r="C10" s="13" t="n">
        <v>57</v>
      </c>
      <c r="D10" s="13" t="n">
        <v>149</v>
      </c>
      <c r="E10" s="13" t="n">
        <v>102</v>
      </c>
      <c r="F10" s="10">
        <f>IFERROR(D10-E10,"")</f>
        <v/>
      </c>
      <c r="G10" s="10">
        <f>IFERROR(E10-C10,"")</f>
        <v/>
      </c>
      <c r="H10" s="11" t="n">
        <v>0.75</v>
      </c>
    </row>
    <row r="11">
      <c r="A11" s="4" t="inlineStr">
        <is>
          <t>Korea 3m10y</t>
        </is>
      </c>
      <c r="B11" s="12" t="n">
        <v>126</v>
      </c>
      <c r="C11" s="13" t="n">
        <v>-58</v>
      </c>
      <c r="D11" s="13" t="n">
        <v>165</v>
      </c>
      <c r="E11" s="13" t="n">
        <v>35</v>
      </c>
      <c r="F11" s="10">
        <f>IFERROR(D11-E11,"")</f>
        <v/>
      </c>
      <c r="G11" s="10">
        <f>IFERROR(E11-C11,"")</f>
        <v/>
      </c>
      <c r="H11" s="11" t="n">
        <v>0.87</v>
      </c>
    </row>
    <row r="12">
      <c r="A12" s="4" t="inlineStr">
        <is>
          <t>Australia 3m10y</t>
        </is>
      </c>
      <c r="B12" s="12" t="n">
        <v>55</v>
      </c>
      <c r="C12" s="13" t="n">
        <v>-50</v>
      </c>
      <c r="D12" s="13" t="n">
        <v>260</v>
      </c>
      <c r="E12" s="13" t="n">
        <v>61</v>
      </c>
      <c r="F12" s="10">
        <f>IFERROR(D12-E12,"")</f>
        <v/>
      </c>
      <c r="G12" s="10">
        <f>IFERROR(E12-C12,"")</f>
        <v/>
      </c>
      <c r="H12" s="11" t="n">
        <v>0.5</v>
      </c>
    </row>
    <row r="13">
      <c r="A13" s="4" t="inlineStr">
        <is>
          <t>UST 2s10s</t>
        </is>
      </c>
      <c r="B13" s="12" t="n">
        <v>47</v>
      </c>
      <c r="C13" s="13" t="n">
        <v>-106</v>
      </c>
      <c r="D13" s="13" t="n">
        <v>124</v>
      </c>
      <c r="E13" s="13" t="n">
        <v>10</v>
      </c>
      <c r="F13" s="10">
        <f>IFERROR(D13-E13,"")</f>
        <v/>
      </c>
      <c r="G13" s="10">
        <f>IFERROR(E13-C13,"")</f>
        <v/>
      </c>
      <c r="H13" s="11" t="n">
        <v>0.65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2026-08-09T12:49:21Z</dcterms:created>
  <dcterms:modified xmlns:dcterms="http://purl.org/dc/terms/" xmlns:xsi="http://www.w3.org/2001/XMLSchema-instance" xsi:type="dcterms:W3CDTF">2026-08-09T12:49:21Z</dcterms:modified>
</cp:coreProperties>
</file>