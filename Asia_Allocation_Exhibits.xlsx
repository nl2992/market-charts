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1_Equities" sheetId="1" state="visible" r:id="rId1"/>
    <sheet xmlns:r="http://schemas.openxmlformats.org/officeDocument/2006/relationships" name="Slide2_FixedIncome" sheetId="2" state="visible" r:id="rId2"/>
    <sheet xmlns:r="http://schemas.openxmlformats.org/officeDocument/2006/relationships" name="Slide3_CrossAsset" sheetId="3" state="visible" r:id="rId3"/>
    <sheet xmlns:r="http://schemas.openxmlformats.org/officeDocument/2006/relationships" name="JPX_Valuation" sheetId="4" state="visible" r:id="rId4"/>
    <sheet xmlns:r="http://schemas.openxmlformats.org/officeDocument/2006/relationships" name="TWSE_Valuation" sheetId="5" state="visible" r:id="rId5"/>
    <sheet xmlns:r="http://schemas.openxmlformats.org/officeDocument/2006/relationships" name="Free_Rates" sheetId="6" state="visible" r:id="rId6"/>
    <sheet xmlns:r="http://schemas.openxmlformats.org/officeDocument/2006/relationships" name="Gaps" sheetId="7" state="visible" r:id="rId7"/>
    <sheet xmlns:r="http://schemas.openxmlformats.org/officeDocument/2006/relationships" name="Notes" sheetId="8" state="visible" r:id="rId8"/>
  </sheets>
  <definedNames/>
  <calcPr calcId="124519" fullCalcOnLoad="1"/>
</workbook>
</file>

<file path=xl/styles.xml><?xml version="1.0" encoding="utf-8"?>
<styleSheet xmlns="http://schemas.openxmlformats.org/spreadsheetml/2006/main">
  <numFmts count="5">
    <numFmt numFmtId="164" formatCode="yyyy-mm-dd"/>
    <numFmt numFmtId="165" formatCode="dd-mmm-yy"/>
    <numFmt numFmtId="166" formatCode="0.000"/>
    <numFmt numFmtId="167" formatCode="+0.0;-0.0"/>
    <numFmt numFmtId="168" formatCode="0.0"/>
  </numFmts>
  <fonts count="10">
    <font>
      <name val="Calibri"/>
      <family val="2"/>
      <color theme="1"/>
      <sz val="11"/>
      <scheme val="minor"/>
    </font>
    <font>
      <name val="Arial"/>
      <b val="1"/>
      <color rgb="00000000"/>
      <sz val="14"/>
    </font>
    <font>
      <name val="Arial"/>
      <color rgb="00767576"/>
      <sz val="9"/>
    </font>
    <font>
      <name val="Arial"/>
      <b val="1"/>
      <color rgb="00FFFFFF"/>
      <sz val="10"/>
    </font>
    <font>
      <name val="Arial"/>
      <color rgb="00000000"/>
      <sz val="10"/>
    </font>
    <font>
      <name val="Arial"/>
      <b val="1"/>
      <color rgb="00000000"/>
      <sz val="11"/>
    </font>
    <font>
      <name val="Arial"/>
      <b val="1"/>
      <color rgb="00767576"/>
      <sz val="10"/>
    </font>
    <font>
      <name val="Arial"/>
      <b val="1"/>
      <color rgb="00DB0011"/>
      <sz val="10"/>
    </font>
    <font>
      <name val="Arial"/>
      <b val="1"/>
      <color rgb="0000847F"/>
      <sz val="10"/>
    </font>
    <font>
      <name val="Arial"/>
      <b val="1"/>
      <color rgb="00000000"/>
      <sz val="10"/>
    </font>
  </fonts>
  <fills count="3">
    <fill>
      <patternFill/>
    </fill>
    <fill>
      <patternFill patternType="gray125"/>
    </fill>
    <fill>
      <patternFill patternType="solid">
        <fgColor rgb="00DB0011"/>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2" borderId="0" applyAlignment="1" pivotButton="0" quotePrefix="0" xfId="0">
      <alignment horizontal="left" vertical="center" wrapText="1"/>
    </xf>
    <xf numFmtId="0" fontId="4" fillId="0" borderId="0" pivotButton="0" quotePrefix="0" xfId="0"/>
    <xf numFmtId="2" fontId="4" fillId="0" borderId="0" pivotButton="0" quotePrefix="0" xfId="0"/>
    <xf numFmtId="167" fontId="4" fillId="0" borderId="0" pivotButton="0" quotePrefix="0" xfId="0"/>
    <xf numFmtId="0" fontId="2" fillId="0" borderId="0" applyAlignment="1" pivotButton="0" quotePrefix="0" xfId="0">
      <alignment vertical="top" wrapText="1"/>
    </xf>
    <xf numFmtId="3" fontId="4" fillId="0" borderId="0" pivotButton="0" quotePrefix="0" xfId="0"/>
    <xf numFmtId="168" fontId="4" fillId="0" borderId="0" pivotButton="0" quotePrefix="0" xfId="0"/>
    <xf numFmtId="0" fontId="5" fillId="0" borderId="0" pivotButton="0" quotePrefix="0" xfId="0"/>
    <xf numFmtId="0" fontId="6" fillId="0" borderId="0" pivotButton="0" quotePrefix="0" xfId="0"/>
    <xf numFmtId="0" fontId="4" fillId="0" borderId="0" applyAlignment="1" pivotButton="0" quotePrefix="0" xfId="0">
      <alignment vertical="top" wrapText="1"/>
    </xf>
    <xf numFmtId="0" fontId="7" fillId="0" borderId="0" pivotButton="0" quotePrefix="0" xfId="0"/>
    <xf numFmtId="0" fontId="8" fillId="0" borderId="0" pivotButton="0" quotePrefix="0" xfId="0"/>
    <xf numFmtId="166" fontId="4" fillId="0" borderId="0" pivotButton="0" quotePrefix="0" xfId="0"/>
    <xf numFmtId="165" fontId="4"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Trailing P/E, five markets on one basis</a:t>
            </a:r>
          </a:p>
        </rich>
      </tx>
    </title>
    <plotArea>
      <barChart>
        <barDir val="col"/>
        <grouping val="clustered"/>
        <varyColors val="0"/>
        <ser>
          <idx val="0"/>
          <order val="0"/>
          <tx>
            <v>Trailing P/E, five markets on one basis</v>
          </tx>
          <spPr>
            <a:solidFill xmlns:a="http://schemas.openxmlformats.org/drawingml/2006/main">
              <a:srgbClr val="DB0011"/>
            </a:solidFill>
            <a:ln xmlns:a="http://schemas.openxmlformats.org/drawingml/2006/main">
              <a:noFill/>
              <a:prstDash val="solid"/>
            </a:ln>
          </spPr>
          <invertIfNegative val="0"/>
          <cat>
            <numRef>
              <f>'Slide1_Equities'!$A$7:$A$11</f>
            </numRef>
          </cat>
          <val>
            <numRef>
              <f>'Slide1_Equities'!$B$7:$B$11</f>
            </numRef>
          </val>
        </ser>
        <dLbls>
          <numFmt formatCode="0.0"/>
          <txPr>
            <a:bodyPr xmlns:a="http://schemas.openxmlformats.org/drawingml/2006/main"/>
            <a:p xmlns:a="http://schemas.openxmlformats.org/drawingml/2006/main">
              <a:pPr>
                <a:defRPr sz="850" b="1">
                  <a:solidFill>
                    <a:srgbClr val="000000"/>
                  </a:solidFill>
                  <a:latin typeface="Arial"/>
                </a:defRPr>
              </a:pPr>
              <a:r>
                <a:t/>
              </a:r>
              <a:endParaRPr sz="850" b="1">
                <a:solidFill>
                  <a:srgbClr val="000000"/>
                </a:solidFill>
                <a:latin typeface="Arial"/>
              </a:endParaRPr>
            </a:p>
          </txPr>
          <showLegendKey val="0"/>
          <showVal val="1"/>
          <showCatName val="0"/>
          <showSerName val="0"/>
          <showBubbleSize val="0"/>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Times earnings</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Where each multiple sits against its own 5 year mean</a:t>
            </a:r>
          </a:p>
        </rich>
      </tx>
    </title>
    <plotArea>
      <barChart>
        <barDir val="col"/>
        <grouping val="clustered"/>
        <varyColors val="0"/>
        <ser>
          <idx val="0"/>
          <order val="0"/>
          <tx>
            <v>Current</v>
          </tx>
          <spPr>
            <a:solidFill xmlns:a="http://schemas.openxmlformats.org/drawingml/2006/main">
              <a:srgbClr val="DB0011"/>
            </a:solidFill>
            <a:ln xmlns:a="http://schemas.openxmlformats.org/drawingml/2006/main">
              <a:noFill/>
              <a:prstDash val="solid"/>
            </a:ln>
          </spPr>
          <invertIfNegative val="0"/>
          <cat>
            <numRef>
              <f>'Slide1_Equities'!$A$14:$A$15</f>
            </numRef>
          </cat>
          <val>
            <numRef>
              <f>'Slide1_Equities'!$B$14:$B$15</f>
            </numRef>
          </val>
        </ser>
        <ser>
          <idx val="1"/>
          <order val="1"/>
          <tx>
            <v>5y mean, band is 1 SD</v>
          </tx>
          <spPr>
            <a:solidFill xmlns:a="http://schemas.openxmlformats.org/drawingml/2006/main">
              <a:srgbClr val="D7D8D6"/>
            </a:solidFill>
            <a:ln xmlns:a="http://schemas.openxmlformats.org/drawingml/2006/main">
              <a:noFill/>
              <a:prstDash val="solid"/>
            </a:ln>
          </spPr>
          <invertIfNegative val="0"/>
          <errBars>
            <errDir val="y"/>
            <errBarType val="both"/>
            <errValType val="cust"/>
            <noEndCap val="0"/>
            <minus>
              <numRef>
                <f>'Slide1_Equities'!$F$14:$F$15</f>
              </numRef>
            </minus>
            <plus>
              <numRef>
                <f>'Slide1_Equities'!$E$14:$E$15</f>
              </numRef>
            </plus>
          </errBars>
          <cat>
            <numRef>
              <f>'Slide1_Equities'!$A$14:$A$15</f>
            </numRef>
          </cat>
          <val>
            <numRef>
              <f>'Slide1_Equities'!$C$14:$C$15</f>
            </numRef>
          </val>
        </ser>
        <dLbls>
          <numFmt formatCode="0.0"/>
          <txPr>
            <a:bodyPr xmlns:a="http://schemas.openxmlformats.org/drawingml/2006/main"/>
            <a:p xmlns:a="http://schemas.openxmlformats.org/drawingml/2006/main">
              <a:pPr>
                <a:defRPr sz="850" b="1">
                  <a:solidFill>
                    <a:srgbClr val="000000"/>
                  </a:solidFill>
                  <a:latin typeface="Arial"/>
                </a:defRPr>
              </a:pPr>
              <a:r>
                <a:t/>
              </a:r>
              <a:endParaRPr sz="850" b="1">
                <a:solidFill>
                  <a:srgbClr val="000000"/>
                </a:solidFill>
                <a:latin typeface="Arial"/>
              </a:endParaRPr>
            </a:p>
          </txPr>
          <showLegendKey val="0"/>
          <showVal val="1"/>
          <showCatName val="0"/>
          <showSerName val="0"/>
          <showBubbleSize val="0"/>
        </dLbls>
        <gapWidth val="60"/>
        <overlap val="-1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Times earnings</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Japan trailing PER against its 5 year band</a:t>
            </a:r>
          </a:p>
        </rich>
      </tx>
    </title>
    <plotArea>
      <lineChart>
        <grouping val="standard"/>
        <ser>
          <idx val="0"/>
          <order val="0"/>
          <tx>
            <v>Trailing PER</v>
          </tx>
          <spPr>
            <a:ln xmlns:a="http://schemas.openxmlformats.org/drawingml/2006/main" w="26000">
              <a:solidFill>
                <a:srgbClr val="DB0011"/>
              </a:solidFill>
              <a:prstDash val="solid"/>
            </a:ln>
          </spPr>
          <marker>
            <symbol val="none"/>
            <spPr>
              <a:ln xmlns:a="http://schemas.openxmlformats.org/drawingml/2006/main">
                <a:prstDash val="solid"/>
              </a:ln>
            </spPr>
          </marker>
          <cat>
            <numRef>
              <f>'JPX_Valuation'!$A$7:$A$85</f>
            </numRef>
          </cat>
          <val>
            <numRef>
              <f>'JPX_Valuation'!$B$7:$B$85</f>
            </numRef>
          </val>
          <smooth val="0"/>
        </ser>
        <ser>
          <idx val="1"/>
          <order val="1"/>
          <tx>
            <v>5y mean</v>
          </tx>
          <spPr>
            <a:ln xmlns:a="http://schemas.openxmlformats.org/drawingml/2006/main" w="14000">
              <a:solidFill>
                <a:srgbClr val="44546A"/>
              </a:solidFill>
              <a:prstDash val="dash"/>
            </a:ln>
          </spPr>
          <marker>
            <symbol val="none"/>
            <spPr>
              <a:ln xmlns:a="http://schemas.openxmlformats.org/drawingml/2006/main">
                <a:prstDash val="solid"/>
              </a:ln>
            </spPr>
          </marker>
          <cat>
            <numRef>
              <f>'JPX_Valuation'!$A$7:$A$85</f>
            </numRef>
          </cat>
          <val>
            <numRef>
              <f>'JPX_Valuation'!$P$7:$P$85</f>
            </numRef>
          </val>
          <smooth val="0"/>
        </ser>
        <ser>
          <idx val="2"/>
          <order val="2"/>
          <tx>
            <v>+1 SD</v>
          </tx>
          <spPr>
            <a:ln xmlns:a="http://schemas.openxmlformats.org/drawingml/2006/main" w="12000">
              <a:solidFill>
                <a:srgbClr val="D7D8D6"/>
              </a:solidFill>
              <a:prstDash val="solid"/>
            </a:ln>
          </spPr>
          <marker>
            <symbol val="none"/>
            <spPr>
              <a:ln xmlns:a="http://schemas.openxmlformats.org/drawingml/2006/main">
                <a:prstDash val="solid"/>
              </a:ln>
            </spPr>
          </marker>
          <cat>
            <numRef>
              <f>'JPX_Valuation'!$A$7:$A$85</f>
            </numRef>
          </cat>
          <val>
            <numRef>
              <f>'JPX_Valuation'!$Q$7:$Q$85</f>
            </numRef>
          </val>
          <smooth val="0"/>
        </ser>
        <ser>
          <idx val="3"/>
          <order val="3"/>
          <tx>
            <v>-1 SD</v>
          </tx>
          <spPr>
            <a:ln xmlns:a="http://schemas.openxmlformats.org/drawingml/2006/main" w="12000">
              <a:solidFill>
                <a:srgbClr val="D7D8D6"/>
              </a:solidFill>
              <a:prstDash val="solid"/>
            </a:ln>
          </spPr>
          <marker>
            <symbol val="none"/>
            <spPr>
              <a:ln xmlns:a="http://schemas.openxmlformats.org/drawingml/2006/main">
                <a:prstDash val="solid"/>
              </a:ln>
            </spPr>
          </marker>
          <cat>
            <numRef>
              <f>'JPX_Valuation'!$A$7:$A$85</f>
            </numRef>
          </cat>
          <val>
            <numRef>
              <f>'JPX_Valuation'!$R$7:$R$85</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8"/>
        <tickMarkSkip val="8"/>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Times earnings</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Japan earnings momentum, trailing EPS against a year earlier</a:t>
            </a:r>
          </a:p>
        </rich>
      </tx>
    </title>
    <plotArea>
      <lineChart>
        <grouping val="standard"/>
        <varyColors val="0"/>
        <ser>
          <idx val="0"/>
          <order val="0"/>
          <tx>
            <v>Trailing EPS, 12m change</v>
          </tx>
          <spPr>
            <a:ln xmlns:a="http://schemas.openxmlformats.org/drawingml/2006/main" w="26000">
              <a:solidFill>
                <a:srgbClr val="DB0011"/>
              </a:solidFill>
              <a:prstDash val="solid"/>
            </a:ln>
          </spPr>
          <marker>
            <symbol val="none"/>
            <spPr>
              <a:ln xmlns:a="http://schemas.openxmlformats.org/drawingml/2006/main">
                <a:prstDash val="solid"/>
              </a:ln>
            </spPr>
          </marker>
          <cat>
            <numRef>
              <f>'JPX_Valuation'!$A$19:$A$85</f>
            </numRef>
          </cat>
          <val>
            <numRef>
              <f>'JPX_Valuation'!$H$19:$H$85</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7"/>
        <tickMarkSkip val="7"/>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 cent</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Japan sector earnings growth, realised not forecast</a:t>
            </a:r>
          </a:p>
        </rich>
      </tx>
    </title>
    <plotArea>
      <barChart>
        <barDir val="col"/>
        <grouping val="clustered"/>
        <varyColors val="0"/>
        <ser>
          <idx val="0"/>
          <order val="0"/>
          <tx>
            <v>Japan sector earnings growth, realised not forecast</v>
          </tx>
          <spPr>
            <a:solidFill xmlns:a="http://schemas.openxmlformats.org/drawingml/2006/main">
              <a:srgbClr val="DB0011"/>
            </a:solidFill>
            <a:ln xmlns:a="http://schemas.openxmlformats.org/drawingml/2006/main">
              <a:noFill/>
              <a:prstDash val="solid"/>
            </a:ln>
          </spPr>
          <invertIfNegative val="0"/>
          <cat>
            <numRef>
              <f>'Slide1_Equities'!$A$18:$A$23</f>
            </numRef>
          </cat>
          <val>
            <numRef>
              <f>'Slide1_Equities'!$B$18:$B$23</f>
            </numRef>
          </val>
        </ser>
        <dLbls>
          <numFmt formatCode="+0;-0"/>
          <txPr>
            <a:bodyPr xmlns:a="http://schemas.openxmlformats.org/drawingml/2006/main"/>
            <a:p xmlns:a="http://schemas.openxmlformats.org/drawingml/2006/main">
              <a:pPr>
                <a:defRPr sz="850" b="1">
                  <a:solidFill>
                    <a:srgbClr val="000000"/>
                  </a:solidFill>
                  <a:latin typeface="Arial"/>
                </a:defRPr>
              </a:pPr>
              <a:r>
                <a:t/>
              </a:r>
              <a:endParaRPr sz="850" b="1">
                <a:solidFill>
                  <a:srgbClr val="000000"/>
                </a:solidFill>
                <a:latin typeface="Arial"/>
              </a:endParaRPr>
            </a:p>
          </txPr>
          <showLegendKey val="0"/>
          <showVal val="1"/>
          <showCatName val="0"/>
          <showSerName val="0"/>
          <showBubbleSize val="0"/>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 cent, year on year</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Nominal 10y yield where a public source exists</a:t>
            </a:r>
          </a:p>
        </rich>
      </tx>
    </title>
    <plotArea>
      <barChart>
        <barDir val="col"/>
        <grouping val="clustered"/>
        <varyColors val="0"/>
        <ser>
          <idx val="0"/>
          <order val="0"/>
          <tx>
            <v>Nominal 10y yield where a public source exists</v>
          </tx>
          <spPr>
            <a:solidFill xmlns:a="http://schemas.openxmlformats.org/drawingml/2006/main">
              <a:srgbClr val="DB0011"/>
            </a:solidFill>
            <a:ln xmlns:a="http://schemas.openxmlformats.org/drawingml/2006/main">
              <a:noFill/>
              <a:prstDash val="solid"/>
            </a:ln>
          </spPr>
          <invertIfNegative val="0"/>
          <cat>
            <numRef>
              <f>'Slide2_FixedIncome'!$A$14:$A$17</f>
            </numRef>
          </cat>
          <val>
            <numRef>
              <f>'Slide2_FixedIncome'!$B$14:$B$17</f>
            </numRef>
          </val>
        </ser>
        <dLbls>
          <numFmt formatCode="0.00"/>
          <txPr>
            <a:bodyPr xmlns:a="http://schemas.openxmlformats.org/drawingml/2006/main"/>
            <a:p xmlns:a="http://schemas.openxmlformats.org/drawingml/2006/main">
              <a:pPr>
                <a:defRPr sz="850" b="1">
                  <a:solidFill>
                    <a:srgbClr val="000000"/>
                  </a:solidFill>
                  <a:latin typeface="Arial"/>
                </a:defRPr>
              </a:pPr>
              <a:r>
                <a:t/>
              </a:r>
              <a:endParaRPr sz="850" b="1">
                <a:solidFill>
                  <a:srgbClr val="000000"/>
                </a:solidFill>
                <a:latin typeface="Arial"/>
              </a:endParaRPr>
            </a:p>
          </txPr>
          <showLegendKey val="0"/>
          <showVal val="1"/>
          <showCatName val="0"/>
          <showSerName val="0"/>
          <showBubbleSize val="0"/>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 cent</a:t>
                </a:r>
              </a:p>
            </rich>
          </tx>
        </title>
        <numFmt formatCode="0.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The wage round against prices</a:t>
            </a:r>
          </a:p>
        </rich>
      </tx>
    </title>
    <plotArea>
      <lineChart>
        <grouping val="standard"/>
        <ser>
          <idx val="0"/>
          <order val="0"/>
          <tx>
            <v>Shunto settlement</v>
          </tx>
          <spPr>
            <a:ln xmlns:a="http://schemas.openxmlformats.org/drawingml/2006/main" w="26000">
              <a:solidFill>
                <a:srgbClr val="DB0011"/>
              </a:solidFill>
              <a:prstDash val="solid"/>
            </a:ln>
          </spPr>
          <marker>
            <symbol val="none"/>
            <spPr>
              <a:ln xmlns:a="http://schemas.openxmlformats.org/drawingml/2006/main">
                <a:prstDash val="solid"/>
              </a:ln>
            </spPr>
          </marker>
          <cat>
            <numRef>
              <f>'Slide2_FixedIncome'!$A$21:$A$26</f>
            </numRef>
          </cat>
          <val>
            <numRef>
              <f>'Slide2_FixedIncome'!$B$21:$B$26</f>
            </numRef>
          </val>
          <smooth val="0"/>
        </ser>
        <ser>
          <idx val="1"/>
          <order val="1"/>
          <tx>
            <v>Core-core CPI, latest print</v>
          </tx>
          <spPr>
            <a:ln xmlns:a="http://schemas.openxmlformats.org/drawingml/2006/main" w="22000">
              <a:solidFill>
                <a:srgbClr val="44546A"/>
              </a:solidFill>
              <a:prstDash val="solid"/>
            </a:ln>
          </spPr>
          <marker>
            <symbol val="none"/>
            <spPr>
              <a:ln xmlns:a="http://schemas.openxmlformats.org/drawingml/2006/main">
                <a:prstDash val="solid"/>
              </a:ln>
            </spPr>
          </marker>
          <cat>
            <numRef>
              <f>'Slide2_FixedIncome'!$A$21:$A$26</f>
            </numRef>
          </cat>
          <val>
            <numRef>
              <f>'Slide2_FixedIncome'!$C$21:$C$26</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1"/>
        <tickMarkSkip val="1"/>
      </catAx>
      <valAx>
        <axId val="100"/>
        <scaling>
          <orientation val="minMax"/>
          <max val="6"/>
          <min val="0"/>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 cent</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000000"/>
              </a:solidFill>
              <a:latin typeface="Arial"/>
            </a:defRPr>
          </a:pPr>
          <a:r>
            <a:t/>
          </a:r>
          <a:endParaRPr sz="900" b="0">
            <a:solidFill>
              <a:srgbClr val="000000"/>
            </a:solidFill>
            <a:latin typeface="Arial"/>
          </a:endParaRPr>
        </a:p>
      </txPr>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Curve slope against its five year range</a:t>
            </a:r>
          </a:p>
        </rich>
      </tx>
    </title>
    <plotArea>
      <barChart>
        <barDir val="col"/>
        <grouping val="clustered"/>
        <varyColors val="0"/>
        <ser>
          <idx val="0"/>
          <order val="0"/>
          <tx>
            <v>Curve slope against its five year range</v>
          </tx>
          <spPr>
            <a:solidFill xmlns:a="http://schemas.openxmlformats.org/drawingml/2006/main">
              <a:srgbClr val="DB0011"/>
            </a:solidFill>
            <a:ln xmlns:a="http://schemas.openxmlformats.org/drawingml/2006/main">
              <a:noFill/>
              <a:prstDash val="solid"/>
            </a:ln>
          </spPr>
          <invertIfNegative val="0"/>
          <errBars>
            <errDir val="y"/>
            <errBarType val="both"/>
            <errValType val="cust"/>
            <noEndCap val="0"/>
            <minus>
              <numRef>
                <f>'Slide2_FixedIncome'!$F$30:$F$33</f>
              </numRef>
            </minus>
            <plus>
              <numRef>
                <f>'Slide2_FixedIncome'!$E$30:$E$33</f>
              </numRef>
            </plus>
          </errBars>
          <cat>
            <numRef>
              <f>'Slide2_FixedIncome'!$A$30:$A$33</f>
            </numRef>
          </cat>
          <val>
            <numRef>
              <f>'Slide2_FixedIncome'!$B$30:$B$33</f>
            </numRef>
          </val>
        </ser>
        <dLbls>
          <numFmt formatCode="#,##0"/>
          <txPr>
            <a:bodyPr xmlns:a="http://schemas.openxmlformats.org/drawingml/2006/main"/>
            <a:p xmlns:a="http://schemas.openxmlformats.org/drawingml/2006/main">
              <a:pPr>
                <a:defRPr sz="850" b="1">
                  <a:solidFill>
                    <a:srgbClr val="000000"/>
                  </a:solidFill>
                  <a:latin typeface="Arial"/>
                </a:defRPr>
              </a:pPr>
              <a:r>
                <a:t/>
              </a:r>
              <a:endParaRPr sz="850" b="1">
                <a:solidFill>
                  <a:srgbClr val="000000"/>
                </a:solidFill>
                <a:latin typeface="Arial"/>
              </a:endParaRPr>
            </a:p>
          </txPr>
          <showLegendKey val="0"/>
          <showVal val="1"/>
          <showCatName val="0"/>
          <showSerName val="0"/>
          <showBubbleSize val="0"/>
        </dLbls>
        <gapWidth val="60"/>
        <axId val="10"/>
        <axId val="100"/>
      </bar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Basis points</a:t>
                </a:r>
              </a:p>
            </rich>
          </tx>
        </title>
        <numFmt formatCode="#,##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sz="1200" b="1">
                <a:solidFill>
                  <a:srgbClr val="000000"/>
                </a:solidFill>
                <a:latin typeface="Arial"/>
              </a:defRPr>
            </a:pPr>
            <a:r>
              <a:rPr sz="1200" b="1">
                <a:solidFill>
                  <a:srgbClr val="000000"/>
                </a:solidFill>
                <a:latin typeface="Arial"/>
              </a:rPr>
              <a:t>Japan equity risk premium, and where it sits now</a:t>
            </a:r>
          </a:p>
        </rich>
      </tx>
    </title>
    <plotArea>
      <lineChart>
        <grouping val="standard"/>
        <varyColors val="0"/>
        <ser>
          <idx val="0"/>
          <order val="0"/>
          <tx>
            <v>Earnings yield less JGB 10y</v>
          </tx>
          <spPr>
            <a:ln xmlns:a="http://schemas.openxmlformats.org/drawingml/2006/main" w="26000">
              <a:solidFill>
                <a:srgbClr val="DB0011"/>
              </a:solidFill>
              <a:prstDash val="solid"/>
            </a:ln>
          </spPr>
          <marker>
            <symbol val="none"/>
            <spPr>
              <a:ln xmlns:a="http://schemas.openxmlformats.org/drawingml/2006/main">
                <a:prstDash val="solid"/>
              </a:ln>
            </spPr>
          </marker>
          <cat>
            <numRef>
              <f>'JPX_Valuation'!$A$7:$A$85</f>
            </numRef>
          </cat>
          <val>
            <numRef>
              <f>'JPX_Valuation'!$G$7:$G$85</f>
            </numRef>
          </val>
          <smooth val="0"/>
        </ser>
        <axId val="10"/>
        <axId val="100"/>
      </lineChart>
      <catAx>
        <axId val="10"/>
        <scaling>
          <orientation val="minMax"/>
        </scaling>
        <delete val="0"/>
        <axPos val="b"/>
        <majorTickMark val="none"/>
        <minorTickMark val="none"/>
        <tickLblPos val="low"/>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0"/>
        <lblOffset val="100"/>
        <tickLblSkip val="8"/>
        <tickMarkSkip val="8"/>
      </catAx>
      <valAx>
        <axId val="100"/>
        <scaling>
          <orientation val="minMax"/>
        </scaling>
        <delete val="0"/>
        <axPos val="l"/>
        <majorGridlines>
          <spPr>
            <a:ln xmlns:a="http://schemas.openxmlformats.org/drawingml/2006/main" w="3175">
              <a:solidFill>
                <a:srgbClr val="D0CECE"/>
              </a:solidFill>
              <a:prstDash val="solid"/>
            </a:ln>
          </spPr>
        </majorGridlines>
        <title>
          <tx>
            <rich>
              <a:bodyPr xmlns:a="http://schemas.openxmlformats.org/drawingml/2006/main"/>
              <a:p xmlns:a="http://schemas.openxmlformats.org/drawingml/2006/main">
                <a:pPr>
                  <a:defRPr sz="950" b="0">
                    <a:solidFill>
                      <a:srgbClr val="767576"/>
                    </a:solidFill>
                    <a:latin typeface="Arial"/>
                  </a:defRPr>
                </a:pPr>
                <a:r>
                  <a:t>Percentage points</a:t>
                </a:r>
              </a:p>
            </rich>
          </tx>
        </title>
        <numFmt formatCode="0.0" sourceLinked="0"/>
        <majorTickMark val="none"/>
        <minorTickMark val="none"/>
        <tickLblPos val="nextTo"/>
        <spPr>
          <a:ln xmlns:a="http://schemas.openxmlformats.org/drawingml/2006/main" w="6350">
            <a:solidFill>
              <a:srgbClr val="D0CECE"/>
            </a:solidFill>
            <a:prstDash val="solid"/>
          </a:ln>
        </spPr>
        <txPr>
          <a:bodyPr xmlns:a="http://schemas.openxmlformats.org/drawingml/2006/main"/>
          <a:p xmlns:a="http://schemas.openxmlformats.org/drawingml/2006/main">
            <a:pPr>
              <a:defRPr sz="950" b="0">
                <a:solidFill>
                  <a:srgbClr val="767576"/>
                </a:solidFill>
                <a:latin typeface="Arial"/>
              </a:defRPr>
            </a:pPr>
            <a:r>
              <a:t/>
            </a:r>
            <a:endParaRPr sz="950" b="0">
              <a:solidFill>
                <a:srgbClr val="767576"/>
              </a:solidFill>
              <a:latin typeface="Arial"/>
            </a:endParaRPr>
          </a:p>
        </txPr>
        <crossAx val="10"/>
      </valAx>
    </plotArea>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3.xml.rels><Relationships xmlns="http://schemas.openxmlformats.org/package/2006/relationships"><Relationship Type="http://schemas.openxmlformats.org/officeDocument/2006/relationships/chart" Target="/xl/charts/chart9.xml" Id="rId1"/></Relationships>
</file>

<file path=xl/drawings/drawing1.xml><?xml version="1.0" encoding="utf-8"?>
<wsDr xmlns="http://schemas.openxmlformats.org/drawingml/2006/spreadsheetDrawing">
  <oneCellAnchor>
    <from>
      <col>6</col>
      <colOff>0</colOff>
      <row>4</row>
      <rowOff>0</rowOff>
    </from>
    <ext cx="75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27</row>
      <rowOff>0</rowOff>
    </from>
    <ext cx="7560000" cy="37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50</row>
      <rowOff>0</rowOff>
    </from>
    <ext cx="7560000" cy="37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73</row>
      <rowOff>0</rowOff>
    </from>
    <ext cx="7560000" cy="37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6</col>
      <colOff>0</colOff>
      <row>96</row>
      <rowOff>0</rowOff>
    </from>
    <ext cx="7560000" cy="37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2.xml><?xml version="1.0" encoding="utf-8"?>
<wsDr xmlns="http://schemas.openxmlformats.org/drawingml/2006/spreadsheetDrawing">
  <oneCellAnchor>
    <from>
      <col>6</col>
      <colOff>0</colOff>
      <row>4</row>
      <rowOff>0</rowOff>
    </from>
    <ext cx="75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27</row>
      <rowOff>0</rowOff>
    </from>
    <ext cx="7560000" cy="37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50</row>
      <rowOff>0</rowOff>
    </from>
    <ext cx="7560000" cy="37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5</col>
      <colOff>0</colOff>
      <row>4</row>
      <rowOff>0</rowOff>
    </from>
    <ext cx="756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DB0011"/>
    <outlinePr summaryBelow="1" summaryRight="1"/>
    <pageSetUpPr/>
  </sheetPr>
  <dimension ref="A1:Z25"/>
  <sheetViews>
    <sheetView showGridLines="0" workbookViewId="0">
      <selection activeCell="A1" sqref="A1"/>
    </sheetView>
  </sheetViews>
  <sheetFormatPr baseColWidth="8" defaultRowHeight="15"/>
  <cols>
    <col width="24" customWidth="1" min="1" max="1"/>
    <col width="20" customWidth="1" min="2" max="2"/>
    <col width="13" customWidth="1" min="3" max="3"/>
    <col width="13" customWidth="1" min="4" max="4"/>
    <col width="13" customWidth="1" min="5" max="5"/>
    <col width="13" customWidth="1" min="6" max="6"/>
    <col width="24" customWidth="1" min="25" max="25"/>
    <col width="14" customWidth="1" min="26" max="26"/>
  </cols>
  <sheetData>
    <row r="1">
      <c r="A1" s="1" t="inlineStr">
        <is>
          <t>Equities</t>
        </is>
      </c>
    </row>
    <row r="2">
      <c r="A2" s="2" t="inlineStr">
        <is>
          <t>All five markets on one trailing multiple from a single provider, then Japan and Taiwan against their own history because only those two exchanges publish enough of it.</t>
        </is>
      </c>
    </row>
    <row r="3" ht="4" customHeight="1">
      <c r="A3" s="3" t="n"/>
      <c r="B3" s="3" t="n"/>
      <c r="C3" s="3" t="n"/>
      <c r="D3" s="3" t="n"/>
      <c r="E3" s="3" t="n"/>
      <c r="F3" s="3" t="n"/>
      <c r="G3" s="3" t="n"/>
      <c r="H3" s="3" t="n"/>
      <c r="I3" s="3" t="n"/>
      <c r="J3" s="3" t="n"/>
      <c r="K3" s="3" t="n"/>
      <c r="L3" s="3" t="n"/>
    </row>
    <row r="6" ht="26" customHeight="1">
      <c r="A6" s="4" t="inlineStr">
        <is>
          <t>Market</t>
        </is>
      </c>
      <c r="B6" s="4" t="inlineStr">
        <is>
          <t>Trailing P/E</t>
        </is>
      </c>
      <c r="C6" s="4" t="inlineStr">
        <is>
          <t>P/B</t>
        </is>
      </c>
      <c r="D6" s="4" t="inlineStr">
        <is>
          <t>Via</t>
        </is>
      </c>
      <c r="Y6" s="4" t="inlineStr">
        <is>
          <t>Statistic</t>
        </is>
      </c>
      <c r="Z6" s="4" t="inlineStr">
        <is>
          <t>Value</t>
        </is>
      </c>
    </row>
    <row r="7">
      <c r="A7" s="5" t="inlineStr">
        <is>
          <t>China</t>
        </is>
      </c>
      <c r="B7" s="6" t="n">
        <v>13.99</v>
      </c>
      <c r="C7" s="6" t="n">
        <v>1.7</v>
      </c>
      <c r="D7" s="2" t="inlineStr">
        <is>
          <t>MCHI</t>
        </is>
      </c>
      <c r="Y7" s="5" t="inlineStr">
        <is>
          <t>Latest PER</t>
        </is>
      </c>
      <c r="Z7" s="6">
        <f>'JPX_Valuation'!$B$85</f>
        <v/>
      </c>
    </row>
    <row r="8">
      <c r="A8" s="5" t="inlineStr">
        <is>
          <t>Hong Kong</t>
        </is>
      </c>
      <c r="B8" s="6" t="n">
        <v>18.47</v>
      </c>
      <c r="C8" s="6" t="n">
        <v>1.22</v>
      </c>
      <c r="D8" s="2" t="inlineStr">
        <is>
          <t>EWH</t>
        </is>
      </c>
      <c r="Y8" s="5" t="inlineStr">
        <is>
          <t>5y mean</t>
        </is>
      </c>
      <c r="Z8" s="6">
        <f>AVERAGE('JPX_Valuation'!$B$26:$B$85)</f>
        <v/>
      </c>
    </row>
    <row r="9">
      <c r="A9" s="5" t="inlineStr">
        <is>
          <t>Korea</t>
        </is>
      </c>
      <c r="B9" s="6" t="n">
        <v>17.57</v>
      </c>
      <c r="C9" s="6" t="n">
        <v>1.65</v>
      </c>
      <c r="D9" s="2" t="inlineStr">
        <is>
          <t>EWY</t>
        </is>
      </c>
      <c r="Y9" s="5" t="inlineStr">
        <is>
          <t>5y SD</t>
        </is>
      </c>
      <c r="Z9" s="6">
        <f>STDEV('JPX_Valuation'!$B$26:$B$85)</f>
        <v/>
      </c>
    </row>
    <row r="10">
      <c r="A10" s="5" t="inlineStr">
        <is>
          <t>Japan</t>
        </is>
      </c>
      <c r="B10" s="6" t="n">
        <v>19.01</v>
      </c>
      <c r="C10" s="6" t="n">
        <v>2.02</v>
      </c>
      <c r="D10" s="2" t="inlineStr">
        <is>
          <t>EWJ</t>
        </is>
      </c>
      <c r="Y10" s="5" t="inlineStr">
        <is>
          <t>SD from mean</t>
        </is>
      </c>
      <c r="Z10" s="6">
        <f>IFERROR(($Z$7-$Z$8)/$Z$9,"")</f>
        <v/>
      </c>
    </row>
    <row r="11">
      <c r="A11" s="5" t="inlineStr">
        <is>
          <t>Taiwan</t>
        </is>
      </c>
      <c r="B11" s="6" t="n">
        <v>27.25</v>
      </c>
      <c r="C11" s="6" t="n">
        <v>4.47</v>
      </c>
      <c r="D11" s="2" t="inlineStr">
        <is>
          <t>EWT</t>
        </is>
      </c>
      <c r="Y11" s="5" t="inlineStr">
        <is>
          <t>5y low</t>
        </is>
      </c>
      <c r="Z11" s="6">
        <f>MIN('JPX_Valuation'!$B$26:$B$85)</f>
        <v/>
      </c>
    </row>
    <row r="12">
      <c r="Y12" s="5" t="inlineStr">
        <is>
          <t>5y high</t>
        </is>
      </c>
      <c r="Z12" s="6">
        <f>MAX('JPX_Valuation'!$B$26:$B$85)</f>
        <v/>
      </c>
    </row>
    <row r="13" ht="26" customHeight="1">
      <c r="A13" s="4" t="inlineStr">
        <is>
          <t>Market</t>
        </is>
      </c>
      <c r="B13" s="4" t="inlineStr">
        <is>
          <t>Now</t>
        </is>
      </c>
      <c r="C13" s="4" t="inlineStr">
        <is>
          <t>5y mean</t>
        </is>
      </c>
      <c r="D13" s="4" t="inlineStr">
        <is>
          <t>5y SD</t>
        </is>
      </c>
      <c r="E13" s="4" t="inlineStr">
        <is>
          <t>To +1SD</t>
        </is>
      </c>
      <c r="F13" s="4" t="inlineStr">
        <is>
          <t>To -1SD</t>
        </is>
      </c>
    </row>
    <row r="14">
      <c r="A14" s="5" t="inlineStr">
        <is>
          <t>Japan, JPX simple average</t>
        </is>
      </c>
      <c r="B14" s="6">
        <f>'JPX_Valuation'!$B$85</f>
        <v/>
      </c>
      <c r="C14" s="6">
        <f>AVERAGE('JPX_Valuation'!$B$26:$B$85)</f>
        <v/>
      </c>
      <c r="D14" s="6">
        <f>STDEV('JPX_Valuation'!$B$26:$B$85)</f>
        <v/>
      </c>
      <c r="E14" s="6">
        <f>$D14</f>
        <v/>
      </c>
      <c r="F14" s="6">
        <f>$D14</f>
        <v/>
      </c>
    </row>
    <row r="15">
      <c r="A15" s="5" t="inlineStr">
        <is>
          <t>Taiwan, TWSE median</t>
        </is>
      </c>
      <c r="B15" s="6">
        <f>'TWSE_Valuation'!$C$85</f>
        <v/>
      </c>
      <c r="C15" s="6">
        <f>AVERAGE('TWSE_Valuation'!$C$26:$C$85)</f>
        <v/>
      </c>
      <c r="D15" s="6">
        <f>STDEV('TWSE_Valuation'!$C$26:$C$85)</f>
        <v/>
      </c>
      <c r="E15" s="6">
        <f>$D15</f>
        <v/>
      </c>
      <c r="F15" s="6">
        <f>$D15</f>
        <v/>
      </c>
    </row>
    <row r="17" ht="26" customHeight="1">
      <c r="A17" s="4" t="inlineStr">
        <is>
          <t>Sector</t>
        </is>
      </c>
      <c r="B17" s="4" t="inlineStr">
        <is>
          <t>EPS 12m change, %</t>
        </is>
      </c>
    </row>
    <row r="18">
      <c r="A18" s="5" t="inlineStr">
        <is>
          <t>Machinery</t>
        </is>
      </c>
      <c r="B18" s="7">
        <f>IFERROR(('JPX_Valuation'!$I$85/'JPX_Valuation'!$I$73-1)*100,"")</f>
        <v/>
      </c>
    </row>
    <row r="19">
      <c r="A19" s="5" t="inlineStr">
        <is>
          <t>Electric appliances</t>
        </is>
      </c>
      <c r="B19" s="7">
        <f>IFERROR(('JPX_Valuation'!$J$85/'JPX_Valuation'!$J$73-1)*100,"")</f>
        <v/>
      </c>
    </row>
    <row r="20">
      <c r="A20" s="5" t="inlineStr">
        <is>
          <t>Transport equipment</t>
        </is>
      </c>
      <c r="B20" s="7">
        <f>IFERROR(('JPX_Valuation'!$K$85/'JPX_Valuation'!$K$73-1)*100,"")</f>
        <v/>
      </c>
    </row>
    <row r="21">
      <c r="A21" s="5" t="inlineStr">
        <is>
          <t>Chemicals</t>
        </is>
      </c>
      <c r="B21" s="7">
        <f>IFERROR(('JPX_Valuation'!$L$85/'JPX_Valuation'!$L$73-1)*100,"")</f>
        <v/>
      </c>
    </row>
    <row r="22">
      <c r="A22" s="5" t="inlineStr">
        <is>
          <t>Iron and steel</t>
        </is>
      </c>
      <c r="B22" s="7">
        <f>IFERROR(('JPX_Valuation'!$M$85/'JPX_Valuation'!$M$73-1)*100,"")</f>
        <v/>
      </c>
    </row>
    <row r="23">
      <c r="A23" s="5" t="inlineStr">
        <is>
          <t>Banks</t>
        </is>
      </c>
      <c r="B23" s="7">
        <f>IFERROR(('JPX_Valuation'!$N$85/'JPX_Valuation'!$N$73-1)*100,"")</f>
        <v/>
      </c>
    </row>
    <row r="25" ht="72" customHeight="1">
      <c r="A25" s="8" t="inlineStr">
        <is>
          <t>All five multiples are trailing, on the fund rather than the index, and come from one provider so the comparison is a single definition applied five times. The five year band is drawn only for Japan and Taiwan: those two exchanges publish enough history to compute one, and their figures are on their own definitions, JPX a simple average across companies and TWSE a median, so read each against its own mean and not against the other. Sector growth is realised, not forecast. See the Gaps sheet for what a forward multiple would need.</t>
        </is>
      </c>
    </row>
  </sheetData>
  <mergeCells count="1">
    <mergeCell ref="A25:E2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DB0011"/>
    <outlinePr summaryBelow="1" summaryRight="1"/>
    <pageSetUpPr/>
  </sheetPr>
  <dimension ref="A1:L35"/>
  <sheetViews>
    <sheetView showGridLines="0" workbookViewId="0">
      <selection activeCell="A1" sqref="A1"/>
    </sheetView>
  </sheetViews>
  <sheetFormatPr baseColWidth="8" defaultRowHeight="15"/>
  <cols>
    <col width="24" customWidth="1" min="1" max="1"/>
    <col width="14" customWidth="1" min="2" max="2"/>
    <col width="12" customWidth="1" min="3" max="3"/>
    <col width="12" customWidth="1" min="4" max="4"/>
    <col width="12" customWidth="1" min="5" max="5"/>
    <col width="12" customWidth="1" min="6" max="6"/>
  </cols>
  <sheetData>
    <row r="1">
      <c r="A1" s="1" t="inlineStr">
        <is>
          <t>Fixed income</t>
        </is>
      </c>
    </row>
    <row r="2">
      <c r="A2" s="2" t="inlineStr">
        <is>
          <t>Real yields where both legs are public, the wage round against prices, and each curve against its own five year range.</t>
        </is>
      </c>
    </row>
    <row r="3" ht="4" customHeight="1">
      <c r="A3" s="3" t="n"/>
      <c r="B3" s="3" t="n"/>
      <c r="C3" s="3" t="n"/>
      <c r="D3" s="3" t="n"/>
      <c r="E3" s="3" t="n"/>
      <c r="F3" s="3" t="n"/>
      <c r="G3" s="3" t="n"/>
      <c r="H3" s="3" t="n"/>
      <c r="I3" s="3" t="n"/>
      <c r="J3" s="3" t="n"/>
      <c r="K3" s="3" t="n"/>
      <c r="L3" s="3" t="n"/>
    </row>
    <row r="6" ht="26" customHeight="1">
      <c r="A6" s="4" t="inlineStr">
        <is>
          <t>Market</t>
        </is>
      </c>
      <c r="B6" s="4" t="inlineStr">
        <is>
          <t>Nominal 10y</t>
        </is>
      </c>
      <c r="C6" s="4" t="inlineStr">
        <is>
          <t>Core CPI, yoy</t>
        </is>
      </c>
      <c r="D6" s="4" t="inlineStr">
        <is>
          <t>Real 10y</t>
        </is>
      </c>
      <c r="E6" s="4" t="inlineStr">
        <is>
          <t>Source</t>
        </is>
      </c>
    </row>
    <row r="7" ht="40" customHeight="1">
      <c r="A7" s="5" t="inlineStr">
        <is>
          <t>Japan 10y</t>
        </is>
      </c>
      <c r="B7" s="6">
        <f>'Free_Rates'!$C$559</f>
        <v/>
      </c>
      <c r="C7" s="6" t="n">
        <v>2</v>
      </c>
      <c r="D7" s="6">
        <f>IF(OR($B7="",$C7=""),"",$B7-$C7)</f>
        <v/>
      </c>
      <c r="E7" s="8" t="inlineStr">
        <is>
          <t>MOF daily curve, and the July core-core print</t>
        </is>
      </c>
    </row>
    <row r="8" ht="40" customHeight="1">
      <c r="A8" s="5" t="inlineStr">
        <is>
          <t>Korea 10y</t>
        </is>
      </c>
      <c r="B8" s="6">
        <f>'Free_Rates'!$G$559</f>
        <v/>
      </c>
      <c r="C8" s="6" t="n"/>
      <c r="D8" s="6">
        <f>IF(OR($B8="",$C8=""),"",$B8-$C8)</f>
        <v/>
      </c>
      <c r="E8" s="8" t="inlineStr">
        <is>
          <t>Nominal from FRED, monthly and about 2 months stale. No open core CPI, so no real yield.</t>
        </is>
      </c>
    </row>
    <row r="9" ht="40" customHeight="1">
      <c r="A9" s="5" t="inlineStr">
        <is>
          <t>China 10y</t>
        </is>
      </c>
      <c r="B9" s="6" t="n"/>
      <c r="C9" s="6" t="n"/>
      <c r="D9" s="6">
        <f>IF(OR($B9="",$C9=""),"",$B9-$C9)</f>
        <v/>
      </c>
      <c r="E9" s="8" t="inlineStr">
        <is>
          <t>No open publisher for either leg</t>
        </is>
      </c>
    </row>
    <row r="10" ht="40" customHeight="1">
      <c r="A10" s="5" t="inlineStr">
        <is>
          <t>Hong Kong 10y</t>
        </is>
      </c>
      <c r="B10" s="6" t="n"/>
      <c r="C10" s="6" t="n"/>
      <c r="D10" s="6">
        <f>IF(OR($B10="",$C10=""),"",$B10-$C10)</f>
        <v/>
      </c>
      <c r="E10" s="8" t="inlineStr">
        <is>
          <t>No open publisher for either leg</t>
        </is>
      </c>
    </row>
    <row r="11" ht="40" customHeight="1">
      <c r="A11" s="5" t="inlineStr">
        <is>
          <t>Taiwan 10y</t>
        </is>
      </c>
      <c r="B11" s="6" t="n"/>
      <c r="C11" s="6" t="n"/>
      <c r="D11" s="6">
        <f>IF(OR($B11="",$C11=""),"",$B11-$C11)</f>
        <v/>
      </c>
      <c r="E11" s="8" t="inlineStr">
        <is>
          <t>No open publisher for either leg</t>
        </is>
      </c>
    </row>
    <row r="13" ht="26" customHeight="1">
      <c r="A13" s="4" t="inlineStr">
        <is>
          <t>Market</t>
        </is>
      </c>
      <c r="B13" s="4" t="inlineStr">
        <is>
          <t>Nominal 10y, %</t>
        </is>
      </c>
    </row>
    <row r="14">
      <c r="A14" s="5" t="inlineStr">
        <is>
          <t>Japan</t>
        </is>
      </c>
      <c r="B14" s="6">
        <f>'Free_Rates'!$C$559</f>
        <v/>
      </c>
    </row>
    <row r="15">
      <c r="A15" s="5" t="inlineStr">
        <is>
          <t>Korea</t>
        </is>
      </c>
      <c r="B15" s="6">
        <f>'Free_Rates'!$G$559</f>
        <v/>
      </c>
    </row>
    <row r="16">
      <c r="A16" s="5" t="inlineStr">
        <is>
          <t>United States</t>
        </is>
      </c>
      <c r="B16" s="6">
        <f>'Free_Rates'!$F$559</f>
        <v/>
      </c>
    </row>
    <row r="17">
      <c r="A17" s="5" t="inlineStr">
        <is>
          <t>Euro area AAA</t>
        </is>
      </c>
      <c r="B17" s="6">
        <f>'Free_Rates'!$J$559</f>
        <v/>
      </c>
    </row>
    <row r="20" ht="26" customHeight="1">
      <c r="A20" s="4" t="inlineStr">
        <is>
          <t>Year</t>
        </is>
      </c>
      <c r="B20" s="4" t="inlineStr">
        <is>
          <t>Shunto, %</t>
        </is>
      </c>
      <c r="C20" s="4" t="inlineStr">
        <is>
          <t>Core-core CPI, yoy %</t>
        </is>
      </c>
    </row>
    <row r="21">
      <c r="A21" s="5" t="n">
        <v>2021</v>
      </c>
      <c r="B21" s="6" t="n">
        <v>1.78</v>
      </c>
      <c r="C21" s="6" t="n"/>
    </row>
    <row r="22">
      <c r="A22" s="5" t="n">
        <v>2022</v>
      </c>
      <c r="B22" s="6" t="n">
        <v>2.07</v>
      </c>
      <c r="C22" s="6" t="n"/>
    </row>
    <row r="23">
      <c r="A23" s="5" t="n">
        <v>2023</v>
      </c>
      <c r="B23" s="6" t="n">
        <v>3.58</v>
      </c>
      <c r="C23" s="6" t="n"/>
    </row>
    <row r="24">
      <c r="A24" s="5" t="n">
        <v>2024</v>
      </c>
      <c r="B24" s="6" t="n">
        <v>5.1</v>
      </c>
      <c r="C24" s="6" t="n"/>
    </row>
    <row r="25">
      <c r="A25" s="5" t="n">
        <v>2025</v>
      </c>
      <c r="B25" s="6" t="n">
        <v>5.25</v>
      </c>
      <c r="C25" s="6" t="n"/>
    </row>
    <row r="26">
      <c r="A26" s="5" t="n">
        <v>2026</v>
      </c>
      <c r="B26" s="6" t="n">
        <v>5.01</v>
      </c>
      <c r="C26" s="6" t="n">
        <v>2</v>
      </c>
    </row>
    <row r="27" ht="44" customHeight="1">
      <c r="A27" s="8" t="inlineStr">
        <is>
          <t>Only two core-core prints could be sourced openly, June and July 2026, so the CPI line is those points and not a series. The OIS-implied policy path the brief asked for is dealer data with no open equivalent and is not drawn.</t>
        </is>
      </c>
    </row>
    <row r="29" ht="26" customHeight="1">
      <c r="A29" s="4" t="inlineStr">
        <is>
          <t>Curve</t>
        </is>
      </c>
      <c r="B29" s="4" t="inlineStr">
        <is>
          <t>Current, bp</t>
        </is>
      </c>
      <c r="C29" s="4" t="inlineStr">
        <is>
          <t>5y low</t>
        </is>
      </c>
      <c r="D29" s="4" t="inlineStr">
        <is>
          <t>5y high</t>
        </is>
      </c>
      <c r="E29" s="4" t="inlineStr">
        <is>
          <t>To high</t>
        </is>
      </c>
      <c r="F29" s="4" t="inlineStr">
        <is>
          <t>To low</t>
        </is>
      </c>
    </row>
    <row r="30">
      <c r="A30" s="5" t="inlineStr">
        <is>
          <t>JGB 2s10s</t>
        </is>
      </c>
      <c r="B30" s="9">
        <f>'Free_Rates'!$M$559</f>
        <v/>
      </c>
      <c r="C30" s="9">
        <f>MIN('Free_Rates'!$M$299:$M$559)</f>
        <v/>
      </c>
      <c r="D30" s="9">
        <f>MAX('Free_Rates'!$M$299:$M$559)</f>
        <v/>
      </c>
      <c r="E30" s="9">
        <f>MAX($D30-$B30,0)</f>
        <v/>
      </c>
      <c r="F30" s="9">
        <f>MAX($B30-$C30,0)</f>
        <v/>
      </c>
    </row>
    <row r="31">
      <c r="A31" s="5" t="inlineStr">
        <is>
          <t>JGB 10s30s</t>
        </is>
      </c>
      <c r="B31" s="9">
        <f>'Free_Rates'!$N$559</f>
        <v/>
      </c>
      <c r="C31" s="9">
        <f>MIN('Free_Rates'!$N$299:$N$559)</f>
        <v/>
      </c>
      <c r="D31" s="9">
        <f>MAX('Free_Rates'!$N$299:$N$559)</f>
        <v/>
      </c>
      <c r="E31" s="9">
        <f>MAX($D31-$B31,0)</f>
        <v/>
      </c>
      <c r="F31" s="9">
        <f>MAX($B31-$C31,0)</f>
        <v/>
      </c>
    </row>
    <row r="32">
      <c r="A32" s="5" t="inlineStr">
        <is>
          <t>UST 2s10s</t>
        </is>
      </c>
      <c r="B32" s="9">
        <f>'Free_Rates'!$O$559</f>
        <v/>
      </c>
      <c r="C32" s="9">
        <f>MIN('Free_Rates'!$O$299:$O$559)</f>
        <v/>
      </c>
      <c r="D32" s="9">
        <f>MAX('Free_Rates'!$O$299:$O$559)</f>
        <v/>
      </c>
      <c r="E32" s="9">
        <f>MAX($D32-$B32,0)</f>
        <v/>
      </c>
      <c r="F32" s="9">
        <f>MAX($B32-$C32,0)</f>
        <v/>
      </c>
    </row>
    <row r="33">
      <c r="A33" s="5" t="inlineStr">
        <is>
          <t>Euro AAA 2s10s</t>
        </is>
      </c>
      <c r="B33" s="9">
        <f>'Free_Rates'!$P$559</f>
        <v/>
      </c>
      <c r="C33" s="9">
        <f>MIN('Free_Rates'!$P$299:$P$559)</f>
        <v/>
      </c>
      <c r="D33" s="9">
        <f>MAX('Free_Rates'!$P$299:$P$559)</f>
        <v/>
      </c>
      <c r="E33" s="9">
        <f>MAX($D33-$B33,0)</f>
        <v/>
      </c>
      <c r="F33" s="9">
        <f>MAX($B33-$C33,0)</f>
        <v/>
      </c>
    </row>
    <row r="35" ht="30" customHeight="1">
      <c r="A35" s="8" t="inlineStr">
        <is>
          <t>KTB 3s10s is not drawn: Korea publishes no open 3y series. The euro leg is the ECB's euro area AAA curve, which is dominated by Bunds but is not identical to them.</t>
        </is>
      </c>
    </row>
  </sheetData>
  <mergeCells count="2">
    <mergeCell ref="A27:E27"/>
    <mergeCell ref="A35:F3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DB0011"/>
    <outlinePr summaryBelow="1" summaryRight="1"/>
    <pageSetUpPr/>
  </sheetPr>
  <dimension ref="A1:L25"/>
  <sheetViews>
    <sheetView showGridLines="0" workbookViewId="0">
      <selection activeCell="A1" sqref="A1"/>
    </sheetView>
  </sheetViews>
  <sheetFormatPr baseColWidth="8" defaultRowHeight="15"/>
  <cols>
    <col width="26" customWidth="1" min="1" max="1"/>
    <col width="16" customWidth="1" min="2" max="2"/>
    <col width="96" customWidth="1" min="3" max="3"/>
    <col width="66" customWidth="1" min="4" max="4"/>
  </cols>
  <sheetData>
    <row r="1">
      <c r="A1" s="1" t="inlineStr">
        <is>
          <t>Cross-asset</t>
        </is>
      </c>
    </row>
    <row r="2">
      <c r="A2" s="2" t="inlineStr">
        <is>
          <t>What Japanese equity pays over the JGB, against its own history, and the resulting book.</t>
        </is>
      </c>
    </row>
    <row r="3" ht="4" customHeight="1">
      <c r="A3" s="3" t="n"/>
      <c r="B3" s="3" t="n"/>
      <c r="C3" s="3" t="n"/>
      <c r="D3" s="3" t="n"/>
      <c r="E3" s="3" t="n"/>
      <c r="F3" s="3" t="n"/>
      <c r="G3" s="3" t="n"/>
      <c r="H3" s="3" t="n"/>
      <c r="I3" s="3" t="n"/>
      <c r="J3" s="3" t="n"/>
      <c r="K3" s="3" t="n"/>
      <c r="L3" s="3" t="n"/>
    </row>
    <row r="6" ht="26" customHeight="1">
      <c r="A6" s="4" t="inlineStr">
        <is>
          <t>Measure</t>
        </is>
      </c>
      <c r="B6" s="4" t="inlineStr">
        <is>
          <t>Value</t>
        </is>
      </c>
    </row>
    <row r="7">
      <c r="A7" s="5" t="inlineStr">
        <is>
          <t>Earnings yield, %</t>
        </is>
      </c>
      <c r="B7" s="6">
        <f>'JPX_Valuation'!$E$85</f>
        <v/>
      </c>
    </row>
    <row r="8">
      <c r="A8" s="5" t="inlineStr">
        <is>
          <t>JGB 10y, %</t>
        </is>
      </c>
      <c r="B8" s="6">
        <f>'JPX_Valuation'!$F$85</f>
        <v/>
      </c>
    </row>
    <row r="9">
      <c r="A9" s="5" t="inlineStr">
        <is>
          <t>Equity risk premium, pp</t>
        </is>
      </c>
      <c r="B9" s="6">
        <f>'JPX_Valuation'!$G$85</f>
        <v/>
      </c>
    </row>
    <row r="10">
      <c r="A10" s="5" t="inlineStr">
        <is>
          <t>Percentile since 2020</t>
        </is>
      </c>
      <c r="B10" s="10">
        <f>IFERROR(COUNTIF('JPX_Valuation'!$G$7:$G$85,"&lt;"&amp;$B$9)/COUNT('JPX_Valuation'!$G$7:$G$85)*100,"")</f>
        <v/>
      </c>
    </row>
    <row r="11">
      <c r="A11" s="5" t="inlineStr">
        <is>
          <t>Months observed</t>
        </is>
      </c>
      <c r="B11" s="9">
        <f>COUNT('JPX_Valuation'!$G$7:$G$85)</f>
        <v/>
      </c>
    </row>
    <row r="12">
      <c r="A12" s="5" t="inlineStr">
        <is>
          <t>Lowest since 2020</t>
        </is>
      </c>
      <c r="B12" s="6">
        <f>MIN('JPX_Valuation'!$G$7:$G$85)</f>
        <v/>
      </c>
    </row>
    <row r="13">
      <c r="A13" s="5" t="inlineStr">
        <is>
          <t>Highest since 2020</t>
        </is>
      </c>
      <c r="B13" s="6">
        <f>MAX('JPX_Valuation'!$G$7:$G$85)</f>
        <v/>
      </c>
    </row>
    <row r="16">
      <c r="A16" s="11" t="inlineStr">
        <is>
          <t>The book</t>
        </is>
      </c>
    </row>
    <row r="17" ht="26" customHeight="1">
      <c r="A17" s="4" t="inlineStr">
        <is>
          <t>Exposure</t>
        </is>
      </c>
      <c r="B17" s="4" t="inlineStr">
        <is>
          <t>Call</t>
        </is>
      </c>
      <c r="C17" s="4" t="inlineStr">
        <is>
          <t>Why</t>
        </is>
      </c>
    </row>
    <row r="18" ht="30" customHeight="1">
      <c r="A18" s="5" t="inlineStr">
        <is>
          <t>China / HK equity</t>
        </is>
      </c>
      <c r="B18" s="12" t="inlineStr">
        <is>
          <t>Neutral</t>
        </is>
      </c>
      <c r="C18" s="13" t="inlineStr">
        <is>
          <t>Cheap on every screen and policy is supportive, but it is the most tariff-exposed earnings base in the region. Cheapness is not a catalyst.</t>
        </is>
      </c>
    </row>
    <row r="19" ht="30" customHeight="1">
      <c r="A19" s="5" t="inlineStr">
        <is>
          <t>Korea equity</t>
        </is>
      </c>
      <c r="B19" s="14" t="inlineStr">
        <is>
          <t>Underweight</t>
        </is>
      </c>
      <c r="C19" s="13" t="inlineStr">
        <is>
          <t>Terminal value, not near-term earnings, is the question after DUV. Largest energy import bill in the region and defensive BoK tightening.</t>
        </is>
      </c>
    </row>
    <row r="20" ht="30" customHeight="1">
      <c r="A20" s="5" t="inlineStr">
        <is>
          <t>Taiwan equity</t>
        </is>
      </c>
      <c r="B20" s="14" t="inlineStr">
        <is>
          <t>Underweight</t>
        </is>
      </c>
      <c r="C20" s="13" t="inlineStr">
        <is>
          <t>Same AI concentration as Korea with less valuation cushion. The tariff pass-through lands on the electronics supply chain.</t>
        </is>
      </c>
    </row>
    <row r="21" ht="30" customHeight="1">
      <c r="A21" s="5" t="inlineStr">
        <is>
          <t>Japan equity</t>
        </is>
      </c>
      <c r="B21" s="15" t="inlineStr">
        <is>
          <t>Overweight</t>
        </is>
      </c>
      <c r="C21" s="13" t="inlineStr">
        <is>
          <t>The only market where policy normalisation expands earnings rather than compressing them. Banks and domestic demand, not the index.</t>
        </is>
      </c>
    </row>
    <row r="22" ht="30" customHeight="1">
      <c r="A22" s="5" t="inlineStr">
        <is>
          <t>Japan duration</t>
        </is>
      </c>
      <c r="B22" s="14" t="inlineStr">
        <is>
          <t>Underweight</t>
        </is>
      </c>
      <c r="C22" s="13" t="inlineStr">
        <is>
          <t>The other side of the same trade. Normalisation plus super-long supply against a demand base whose duration need is largely met.</t>
        </is>
      </c>
    </row>
    <row r="23" ht="30" customHeight="1">
      <c r="A23" s="5" t="inlineStr">
        <is>
          <t>China duration</t>
        </is>
      </c>
      <c r="B23" s="15" t="inlineStr">
        <is>
          <t>Overweight</t>
        </is>
      </c>
      <c r="C23" s="13" t="inlineStr">
        <is>
          <t>The one place in the region with a genuine disinflation problem, so real yields are high and the policy bias is one way. It also hedges the equity underweight above.</t>
        </is>
      </c>
    </row>
    <row r="25" ht="30" customHeight="1">
      <c r="A25" s="8" t="inlineStr">
        <is>
          <t>The calls are judgement, not measurement. Say so out loud before the panel asks. Only Japan is drawn above because it is the only market in the set with an openly published multiple.</t>
        </is>
      </c>
    </row>
  </sheetData>
  <mergeCells count="1">
    <mergeCell ref="A25:D2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8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6" max="16"/>
    <col width="13" customWidth="1" min="17" max="17"/>
    <col width="13" customWidth="1" min="18" max="18"/>
  </cols>
  <sheetData>
    <row r="1">
      <c r="A1" s="1" t="inlineStr">
        <is>
          <t>Japanese valuation, from the Tokyo exchange</t>
        </is>
      </c>
    </row>
    <row r="2">
      <c r="A2" s="2" t="inlineStr">
        <is>
          <t>Monthly. Simple average trailing PER, PBR and earnings per share for the Prime market, formerly the First Section. Trailing on reported earnings, not a forward consensus multiple.</t>
        </is>
      </c>
    </row>
    <row r="3" ht="4" customHeight="1">
      <c r="A3" s="3" t="n"/>
      <c r="B3" s="3" t="n"/>
      <c r="C3" s="3" t="n"/>
      <c r="D3" s="3" t="n"/>
      <c r="E3" s="3" t="n"/>
      <c r="F3" s="3" t="n"/>
      <c r="G3" s="3" t="n"/>
      <c r="H3" s="3" t="n"/>
      <c r="I3" s="3" t="n"/>
      <c r="J3" s="3" t="n"/>
      <c r="K3" s="3" t="n"/>
      <c r="L3" s="3" t="n"/>
      <c r="M3" s="3" t="n"/>
    </row>
    <row r="6" ht="26" customHeight="1">
      <c r="A6" s="4" t="inlineStr">
        <is>
          <t>Month</t>
        </is>
      </c>
      <c r="B6" s="4" t="inlineStr">
        <is>
          <t>Market PER</t>
        </is>
      </c>
      <c r="C6" s="4" t="inlineStr">
        <is>
          <t>Market PBR</t>
        </is>
      </c>
      <c r="D6" s="4" t="inlineStr">
        <is>
          <t>Market EPS</t>
        </is>
      </c>
      <c r="E6" s="4" t="inlineStr">
        <is>
          <t>Earnings yield %</t>
        </is>
      </c>
      <c r="F6" s="4" t="inlineStr">
        <is>
          <t>JGB 10y</t>
        </is>
      </c>
      <c r="G6" s="4" t="inlineStr">
        <is>
          <t>ERP, pp</t>
        </is>
      </c>
      <c r="H6" s="4" t="inlineStr">
        <is>
          <t>EPS 12m change %</t>
        </is>
      </c>
      <c r="I6" s="4" t="inlineStr">
        <is>
          <t>Machinery EPS</t>
        </is>
      </c>
      <c r="J6" s="4" t="inlineStr">
        <is>
          <t>Electric appliances EPS</t>
        </is>
      </c>
      <c r="K6" s="4" t="inlineStr">
        <is>
          <t>Transport equipment EPS</t>
        </is>
      </c>
      <c r="L6" s="4" t="inlineStr">
        <is>
          <t>Chemicals EPS</t>
        </is>
      </c>
      <c r="M6" s="4" t="inlineStr">
        <is>
          <t>Iron and steel EPS</t>
        </is>
      </c>
      <c r="N6" s="4" t="inlineStr">
        <is>
          <t>Banks EPS</t>
        </is>
      </c>
      <c r="P6" s="4" t="inlineStr">
        <is>
          <t>5y mean</t>
        </is>
      </c>
      <c r="Q6" s="4" t="inlineStr">
        <is>
          <t>Mean +1SD</t>
        </is>
      </c>
      <c r="R6" s="4" t="inlineStr">
        <is>
          <t>Mean -1SD</t>
        </is>
      </c>
    </row>
    <row r="7">
      <c r="A7" s="5" t="inlineStr">
        <is>
          <t>2020-01</t>
        </is>
      </c>
      <c r="B7" s="6" t="n">
        <v>17.2</v>
      </c>
      <c r="C7" s="6" t="n">
        <v>1.2</v>
      </c>
      <c r="D7" s="6" t="n">
        <v>130.72</v>
      </c>
      <c r="E7" s="6">
        <f>IFERROR(100/$B7,"")</f>
        <v/>
      </c>
      <c r="F7" s="16" t="n">
        <v>-0.061</v>
      </c>
      <c r="G7" s="6">
        <f>IFERROR($E7-$F7,"")</f>
        <v/>
      </c>
      <c r="H7" s="7" t="n"/>
      <c r="I7" s="6" t="n">
        <v>161.96</v>
      </c>
      <c r="J7" s="6" t="n">
        <v>141.8</v>
      </c>
      <c r="K7" s="6" t="n">
        <v>130.7</v>
      </c>
      <c r="L7" s="6" t="n">
        <v>158.44</v>
      </c>
      <c r="M7" s="6" t="n">
        <v>137.5</v>
      </c>
      <c r="N7" s="6" t="n">
        <v>180.61</v>
      </c>
      <c r="P7" s="6" t="n"/>
      <c r="Q7" s="6" t="n"/>
      <c r="R7" s="6" t="n"/>
    </row>
    <row r="8">
      <c r="A8" s="5" t="inlineStr">
        <is>
          <t>2020-02</t>
        </is>
      </c>
      <c r="B8" s="6" t="n">
        <v>14.9</v>
      </c>
      <c r="C8" s="6" t="n">
        <v>1</v>
      </c>
      <c r="D8" s="6" t="n">
        <v>130.49</v>
      </c>
      <c r="E8" s="6">
        <f>IFERROR(100/$B8,"")</f>
        <v/>
      </c>
      <c r="F8" s="16" t="n">
        <v>-0.153</v>
      </c>
      <c r="G8" s="6">
        <f>IFERROR($E8-$F8,"")</f>
        <v/>
      </c>
      <c r="H8" s="7" t="n"/>
      <c r="I8" s="6" t="n">
        <v>160.22</v>
      </c>
      <c r="J8" s="6" t="n">
        <v>141.75</v>
      </c>
      <c r="K8" s="6" t="n">
        <v>130.7</v>
      </c>
      <c r="L8" s="6" t="n">
        <v>158.78</v>
      </c>
      <c r="M8" s="6" t="n">
        <v>137.5</v>
      </c>
      <c r="N8" s="6" t="n">
        <v>180.56</v>
      </c>
      <c r="P8" s="6" t="n"/>
      <c r="Q8" s="6" t="n"/>
      <c r="R8" s="6" t="n"/>
    </row>
    <row r="9">
      <c r="A9" s="5" t="inlineStr">
        <is>
          <t>2020-03</t>
        </is>
      </c>
      <c r="B9" s="6" t="n">
        <v>14.5</v>
      </c>
      <c r="C9" s="6" t="n">
        <v>1</v>
      </c>
      <c r="D9" s="6" t="n">
        <v>127.75</v>
      </c>
      <c r="E9" s="6">
        <f>IFERROR(100/$B9,"")</f>
        <v/>
      </c>
      <c r="F9" s="16" t="n">
        <v>0.024</v>
      </c>
      <c r="G9" s="6">
        <f>IFERROR($E9-$F9,"")</f>
        <v/>
      </c>
      <c r="H9" s="7" t="n"/>
      <c r="I9" s="6" t="n">
        <v>150.22</v>
      </c>
      <c r="J9" s="6" t="n">
        <v>137.53</v>
      </c>
      <c r="K9" s="6" t="n">
        <v>129.52</v>
      </c>
      <c r="L9" s="6" t="n">
        <v>152.94</v>
      </c>
      <c r="M9" s="6" t="n">
        <v>133.85</v>
      </c>
      <c r="N9" s="6" t="n">
        <v>180.58</v>
      </c>
      <c r="P9" s="6" t="n"/>
      <c r="Q9" s="6" t="n"/>
      <c r="R9" s="6" t="n"/>
    </row>
    <row r="10">
      <c r="A10" s="5" t="inlineStr">
        <is>
          <t>2020-04</t>
        </is>
      </c>
      <c r="B10" s="6" t="n">
        <v>15.3</v>
      </c>
      <c r="C10" s="6" t="n">
        <v>1</v>
      </c>
      <c r="D10" s="6" t="n">
        <v>127.63</v>
      </c>
      <c r="E10" s="6">
        <f>IFERROR(100/$B10,"")</f>
        <v/>
      </c>
      <c r="F10" s="16" t="n">
        <v>-0.02</v>
      </c>
      <c r="G10" s="6">
        <f>IFERROR($E10-$F10,"")</f>
        <v/>
      </c>
      <c r="H10" s="7" t="n"/>
      <c r="I10" s="6" t="n">
        <v>150.23</v>
      </c>
      <c r="J10" s="6" t="n">
        <v>137.45</v>
      </c>
      <c r="K10" s="6" t="n">
        <v>129.52</v>
      </c>
      <c r="L10" s="6" t="n">
        <v>153.34</v>
      </c>
      <c r="M10" s="6" t="n">
        <v>133.85</v>
      </c>
      <c r="N10" s="6" t="n">
        <v>180.97</v>
      </c>
      <c r="P10" s="6" t="n"/>
      <c r="Q10" s="6" t="n"/>
      <c r="R10" s="6" t="n"/>
    </row>
    <row r="11">
      <c r="A11" s="5" t="inlineStr">
        <is>
          <t>2020-05</t>
        </is>
      </c>
      <c r="B11" s="6" t="n">
        <v>16.6</v>
      </c>
      <c r="C11" s="6" t="n">
        <v>1.1</v>
      </c>
      <c r="D11" s="6" t="n">
        <v>127.08</v>
      </c>
      <c r="E11" s="6">
        <f>IFERROR(100/$B11,"")</f>
        <v/>
      </c>
      <c r="F11" s="16" t="n">
        <v>0.008999999999999999</v>
      </c>
      <c r="G11" s="6">
        <f>IFERROR($E11-$F11,"")</f>
        <v/>
      </c>
      <c r="H11" s="7" t="n"/>
      <c r="I11" s="6" t="n">
        <v>151.96</v>
      </c>
      <c r="J11" s="6" t="n">
        <v>136.13</v>
      </c>
      <c r="K11" s="6" t="n">
        <v>129.9</v>
      </c>
      <c r="L11" s="6" t="n">
        <v>153.21</v>
      </c>
      <c r="M11" s="6" t="n">
        <v>133.85</v>
      </c>
      <c r="N11" s="6" t="n">
        <v>181.1</v>
      </c>
      <c r="P11" s="6" t="n"/>
      <c r="Q11" s="6" t="n"/>
      <c r="R11" s="6" t="n"/>
    </row>
    <row r="12">
      <c r="A12" s="5" t="inlineStr">
        <is>
          <t>2020-06</t>
        </is>
      </c>
      <c r="B12" s="6" t="n">
        <v>19.6</v>
      </c>
      <c r="C12" s="6" t="n">
        <v>1.1</v>
      </c>
      <c r="D12" s="6" t="n">
        <v>107.04</v>
      </c>
      <c r="E12" s="6">
        <f>IFERROR(100/$B12,"")</f>
        <v/>
      </c>
      <c r="F12" s="16" t="n">
        <v>0.02</v>
      </c>
      <c r="G12" s="6">
        <f>IFERROR($E12-$F12,"")</f>
        <v/>
      </c>
      <c r="H12" s="7" t="n"/>
      <c r="I12" s="6" t="n">
        <v>107.51</v>
      </c>
      <c r="J12" s="6" t="n">
        <v>95.69</v>
      </c>
      <c r="K12" s="6" t="n">
        <v>20.36</v>
      </c>
      <c r="L12" s="6" t="n">
        <v>124.7</v>
      </c>
      <c r="M12" s="6" t="n">
        <v>58.49</v>
      </c>
      <c r="N12" s="6" t="n">
        <v>118.79</v>
      </c>
      <c r="P12" s="6" t="n"/>
      <c r="Q12" s="6" t="n"/>
      <c r="R12" s="6" t="n"/>
    </row>
    <row r="13">
      <c r="A13" s="5" t="inlineStr">
        <is>
          <t>2020-07</t>
        </is>
      </c>
      <c r="B13" s="6" t="n">
        <v>18.8</v>
      </c>
      <c r="C13" s="6" t="n">
        <v>1.1</v>
      </c>
      <c r="D13" s="6" t="n">
        <v>106.31</v>
      </c>
      <c r="E13" s="6">
        <f>IFERROR(100/$B13,"")</f>
        <v/>
      </c>
      <c r="F13" s="16" t="n">
        <v>0.018</v>
      </c>
      <c r="G13" s="6">
        <f>IFERROR($E13-$F13,"")</f>
        <v/>
      </c>
      <c r="H13" s="7" t="n"/>
      <c r="I13" s="6" t="n">
        <v>107.51</v>
      </c>
      <c r="J13" s="6" t="n">
        <v>91.92</v>
      </c>
      <c r="K13" s="6" t="n">
        <v>20.37</v>
      </c>
      <c r="L13" s="6" t="n">
        <v>124.24</v>
      </c>
      <c r="M13" s="6" t="n">
        <v>58.49</v>
      </c>
      <c r="N13" s="6" t="n">
        <v>118.79</v>
      </c>
      <c r="P13" s="6" t="n"/>
      <c r="Q13" s="6" t="n"/>
      <c r="R13" s="6" t="n"/>
    </row>
    <row r="14">
      <c r="A14" s="5" t="inlineStr">
        <is>
          <t>2020-08</t>
        </is>
      </c>
      <c r="B14" s="6" t="n">
        <v>20.1</v>
      </c>
      <c r="C14" s="6" t="n">
        <v>1.1</v>
      </c>
      <c r="D14" s="6" t="n">
        <v>106.4</v>
      </c>
      <c r="E14" s="6">
        <f>IFERROR(100/$B14,"")</f>
        <v/>
      </c>
      <c r="F14" s="16" t="n">
        <v>0.065</v>
      </c>
      <c r="G14" s="6">
        <f>IFERROR($E14-$F14,"")</f>
        <v/>
      </c>
      <c r="H14" s="7" t="n"/>
      <c r="I14" s="6" t="n">
        <v>107.52</v>
      </c>
      <c r="J14" s="6" t="n">
        <v>91.84</v>
      </c>
      <c r="K14" s="6" t="n">
        <v>20.37</v>
      </c>
      <c r="L14" s="6" t="n">
        <v>124.11</v>
      </c>
      <c r="M14" s="6" t="n">
        <v>58.49</v>
      </c>
      <c r="N14" s="6" t="n">
        <v>118.79</v>
      </c>
      <c r="P14" s="6" t="n"/>
      <c r="Q14" s="6" t="n"/>
      <c r="R14" s="6" t="n"/>
    </row>
    <row r="15">
      <c r="A15" s="5" t="inlineStr">
        <is>
          <t>2020-09</t>
        </is>
      </c>
      <c r="B15" s="6" t="n">
        <v>21.2</v>
      </c>
      <c r="C15" s="6" t="n">
        <v>1.2</v>
      </c>
      <c r="D15" s="6" t="n">
        <v>105.46</v>
      </c>
      <c r="E15" s="6">
        <f>IFERROR(100/$B15,"")</f>
        <v/>
      </c>
      <c r="F15" s="16" t="n">
        <v>0.02</v>
      </c>
      <c r="G15" s="6">
        <f>IFERROR($E15-$F15,"")</f>
        <v/>
      </c>
      <c r="H15" s="7" t="n"/>
      <c r="I15" s="6" t="n">
        <v>107.77</v>
      </c>
      <c r="J15" s="6" t="n">
        <v>90.19</v>
      </c>
      <c r="K15" s="6" t="n">
        <v>20.37</v>
      </c>
      <c r="L15" s="6" t="n">
        <v>123.32</v>
      </c>
      <c r="M15" s="6" t="n">
        <v>58.1</v>
      </c>
      <c r="N15" s="6" t="n">
        <v>122.18</v>
      </c>
      <c r="P15" s="6" t="n"/>
      <c r="Q15" s="6" t="n"/>
      <c r="R15" s="6" t="n"/>
    </row>
    <row r="16">
      <c r="A16" s="5" t="inlineStr">
        <is>
          <t>2020-10</t>
        </is>
      </c>
      <c r="B16" s="6" t="n">
        <v>20.3</v>
      </c>
      <c r="C16" s="6" t="n">
        <v>1.1</v>
      </c>
      <c r="D16" s="6" t="n">
        <v>105.34</v>
      </c>
      <c r="E16" s="6">
        <f>IFERROR(100/$B16,"")</f>
        <v/>
      </c>
      <c r="F16" s="16" t="n">
        <v>0.041</v>
      </c>
      <c r="G16" s="6">
        <f>IFERROR($E16-$F16,"")</f>
        <v/>
      </c>
      <c r="H16" s="7" t="n"/>
      <c r="I16" s="6" t="n">
        <v>108.14</v>
      </c>
      <c r="J16" s="6" t="n">
        <v>90.25</v>
      </c>
      <c r="K16" s="6" t="n">
        <v>17.17</v>
      </c>
      <c r="L16" s="6" t="n">
        <v>123.31</v>
      </c>
      <c r="M16" s="6" t="n">
        <v>58.1</v>
      </c>
      <c r="N16" s="6" t="n">
        <v>122.18</v>
      </c>
      <c r="P16" s="6" t="n"/>
      <c r="Q16" s="6" t="n"/>
      <c r="R16" s="6" t="n"/>
    </row>
    <row r="17">
      <c r="A17" s="5" t="inlineStr">
        <is>
          <t>2020-11</t>
        </is>
      </c>
      <c r="B17" s="6" t="n">
        <v>22.2</v>
      </c>
      <c r="C17" s="6" t="n">
        <v>1.2</v>
      </c>
      <c r="D17" s="6" t="n">
        <v>104.13</v>
      </c>
      <c r="E17" s="6">
        <f>IFERROR(100/$B17,"")</f>
        <v/>
      </c>
      <c r="F17" s="16" t="n">
        <v>0.035</v>
      </c>
      <c r="G17" s="6">
        <f>IFERROR($E17-$F17,"")</f>
        <v/>
      </c>
      <c r="H17" s="7" t="n"/>
      <c r="I17" s="6" t="n">
        <v>107.52</v>
      </c>
      <c r="J17" s="6" t="n">
        <v>90.36</v>
      </c>
      <c r="K17" s="6" t="n">
        <v>17.17</v>
      </c>
      <c r="L17" s="6" t="n">
        <v>123.3</v>
      </c>
      <c r="M17" s="6" t="n">
        <v>58.1</v>
      </c>
      <c r="N17" s="6" t="n">
        <v>122.18</v>
      </c>
      <c r="P17" s="6" t="n"/>
      <c r="Q17" s="6" t="n"/>
      <c r="R17" s="6" t="n"/>
    </row>
    <row r="18">
      <c r="A18" s="5" t="inlineStr">
        <is>
          <t>2020-12</t>
        </is>
      </c>
      <c r="B18" s="6" t="n">
        <v>22.6</v>
      </c>
      <c r="C18" s="6" t="n">
        <v>1.3</v>
      </c>
      <c r="D18" s="6" t="n">
        <v>103.44</v>
      </c>
      <c r="E18" s="6">
        <f>IFERROR(100/$B18,"")</f>
        <v/>
      </c>
      <c r="F18" s="16" t="n">
        <v>0.027</v>
      </c>
      <c r="G18" s="6">
        <f>IFERROR($E18-$F18,"")</f>
        <v/>
      </c>
      <c r="H18" s="7" t="n"/>
      <c r="I18" s="6" t="n">
        <v>107.79</v>
      </c>
      <c r="J18" s="6" t="n">
        <v>89.8</v>
      </c>
      <c r="K18" s="6" t="n">
        <v>17.13</v>
      </c>
      <c r="L18" s="6" t="n">
        <v>122.71</v>
      </c>
      <c r="M18" s="6" t="n">
        <v>58.1</v>
      </c>
      <c r="N18" s="6" t="n">
        <v>122.18</v>
      </c>
      <c r="P18" s="6" t="n"/>
      <c r="Q18" s="6" t="n"/>
      <c r="R18" s="6" t="n"/>
    </row>
    <row r="19">
      <c r="A19" s="5" t="inlineStr">
        <is>
          <t>2021-01</t>
        </is>
      </c>
      <c r="B19" s="6" t="n">
        <v>22.8</v>
      </c>
      <c r="C19" s="6" t="n">
        <v>1.3</v>
      </c>
      <c r="D19" s="6" t="n">
        <v>102.26</v>
      </c>
      <c r="E19" s="6">
        <f>IFERROR(100/$B19,"")</f>
        <v/>
      </c>
      <c r="F19" s="16" t="n">
        <v>0.056</v>
      </c>
      <c r="G19" s="6">
        <f>IFERROR($E19-$F19,"")</f>
        <v/>
      </c>
      <c r="H19" s="7">
        <f>IFERROR(($D19/$D7-1)*100,"")</f>
        <v/>
      </c>
      <c r="I19" s="6" t="n">
        <v>107.81</v>
      </c>
      <c r="J19" s="6" t="n">
        <v>87.81999999999999</v>
      </c>
      <c r="K19" s="6" t="n">
        <v>17.13</v>
      </c>
      <c r="L19" s="6" t="n">
        <v>120.76</v>
      </c>
      <c r="M19" s="6" t="n">
        <v>58.1</v>
      </c>
      <c r="N19" s="6" t="n">
        <v>122.18</v>
      </c>
      <c r="P19" s="6" t="n"/>
      <c r="Q19" s="6" t="n"/>
      <c r="R19" s="6" t="n"/>
    </row>
    <row r="20">
      <c r="A20" s="5" t="inlineStr">
        <is>
          <t>2021-02</t>
        </is>
      </c>
      <c r="B20" s="6" t="n">
        <v>23.2</v>
      </c>
      <c r="C20" s="6" t="n">
        <v>1.3</v>
      </c>
      <c r="D20" s="6" t="n">
        <v>101.28</v>
      </c>
      <c r="E20" s="6">
        <f>IFERROR(100/$B20,"")</f>
        <v/>
      </c>
      <c r="F20" s="16" t="n">
        <v>0.168</v>
      </c>
      <c r="G20" s="6">
        <f>IFERROR($E20-$F20,"")</f>
        <v/>
      </c>
      <c r="H20" s="7">
        <f>IFERROR(($D20/$D8-1)*100,"")</f>
        <v/>
      </c>
      <c r="I20" s="6" t="n">
        <v>101.65</v>
      </c>
      <c r="J20" s="6" t="n">
        <v>87.76000000000001</v>
      </c>
      <c r="K20" s="6" t="n">
        <v>17.13</v>
      </c>
      <c r="L20" s="6" t="n">
        <v>120.41</v>
      </c>
      <c r="M20" s="6" t="n">
        <v>58.1</v>
      </c>
      <c r="N20" s="6" t="n">
        <v>122.18</v>
      </c>
      <c r="P20" s="6" t="n"/>
      <c r="Q20" s="6" t="n"/>
      <c r="R20" s="6" t="n"/>
    </row>
    <row r="21">
      <c r="A21" s="5" t="inlineStr">
        <is>
          <t>2021-03</t>
        </is>
      </c>
      <c r="B21" s="6" t="n">
        <v>25.7</v>
      </c>
      <c r="C21" s="6" t="n">
        <v>1.3</v>
      </c>
      <c r="D21" s="6" t="n">
        <v>95.01000000000001</v>
      </c>
      <c r="E21" s="6">
        <f>IFERROR(100/$B21,"")</f>
        <v/>
      </c>
      <c r="F21" s="16" t="n">
        <v>0.08799999999999999</v>
      </c>
      <c r="G21" s="6">
        <f>IFERROR($E21-$F21,"")</f>
        <v/>
      </c>
      <c r="H21" s="7">
        <f>IFERROR(($D21/$D9-1)*100,"")</f>
        <v/>
      </c>
      <c r="I21" s="6" t="n">
        <v>95.31999999999999</v>
      </c>
      <c r="J21" s="6" t="n">
        <v>83.31</v>
      </c>
      <c r="K21" s="6" t="n">
        <v>16.29</v>
      </c>
      <c r="L21" s="6" t="n">
        <v>111.75</v>
      </c>
      <c r="M21" s="6" t="n">
        <v>61.8</v>
      </c>
      <c r="N21" s="6" t="n">
        <v>123.57</v>
      </c>
      <c r="P21" s="6" t="n"/>
      <c r="Q21" s="6" t="n"/>
      <c r="R21" s="6" t="n"/>
    </row>
    <row r="22">
      <c r="A22" s="5" t="inlineStr">
        <is>
          <t>2021-04</t>
        </is>
      </c>
      <c r="B22" s="6" t="n">
        <v>25.1</v>
      </c>
      <c r="C22" s="6" t="n">
        <v>1.3</v>
      </c>
      <c r="D22" s="6" t="n">
        <v>94.69</v>
      </c>
      <c r="E22" s="6">
        <f>IFERROR(100/$B22,"")</f>
        <v/>
      </c>
      <c r="F22" s="16" t="n">
        <v>0.095</v>
      </c>
      <c r="G22" s="6">
        <f>IFERROR($E22-$F22,"")</f>
        <v/>
      </c>
      <c r="H22" s="7">
        <f>IFERROR(($D22/$D10-1)*100,"")</f>
        <v/>
      </c>
      <c r="I22" s="6" t="n">
        <v>95.62</v>
      </c>
      <c r="J22" s="6" t="n">
        <v>85.34</v>
      </c>
      <c r="K22" s="6" t="n">
        <v>16.43</v>
      </c>
      <c r="L22" s="6" t="n">
        <v>112</v>
      </c>
      <c r="M22" s="6" t="n">
        <v>62.06</v>
      </c>
      <c r="N22" s="6" t="n">
        <v>123.36</v>
      </c>
      <c r="P22" s="6" t="n"/>
      <c r="Q22" s="6" t="n"/>
      <c r="R22" s="6" t="n"/>
    </row>
    <row r="23">
      <c r="A23" s="5" t="inlineStr">
        <is>
          <t>2021-05</t>
        </is>
      </c>
      <c r="B23" s="6" t="n">
        <v>25.6</v>
      </c>
      <c r="C23" s="6" t="n">
        <v>1.3</v>
      </c>
      <c r="D23" s="6" t="n">
        <v>92.48</v>
      </c>
      <c r="E23" s="6">
        <f>IFERROR(100/$B23,"")</f>
        <v/>
      </c>
      <c r="F23" s="16" t="n">
        <v>0.089</v>
      </c>
      <c r="G23" s="6">
        <f>IFERROR($E23-$F23,"")</f>
        <v/>
      </c>
      <c r="H23" s="7">
        <f>IFERROR(($D23/$D11-1)*100,"")</f>
        <v/>
      </c>
      <c r="I23" s="6" t="n">
        <v>95.88</v>
      </c>
      <c r="J23" s="6" t="n">
        <v>85.75</v>
      </c>
      <c r="K23" s="6" t="n">
        <v>16.32</v>
      </c>
      <c r="L23" s="6" t="n">
        <v>111.86</v>
      </c>
      <c r="M23" s="6" t="n">
        <v>62.06</v>
      </c>
      <c r="N23" s="6" t="n">
        <v>123.36</v>
      </c>
      <c r="P23" s="6" t="n"/>
      <c r="Q23" s="6" t="n"/>
      <c r="R23" s="6" t="n"/>
    </row>
    <row r="24">
      <c r="A24" s="5" t="inlineStr">
        <is>
          <t>2021-06</t>
        </is>
      </c>
      <c r="B24" s="6" t="n">
        <v>26.3</v>
      </c>
      <c r="C24" s="6" t="n">
        <v>1.2</v>
      </c>
      <c r="D24" s="6" t="n">
        <v>91.97</v>
      </c>
      <c r="E24" s="6">
        <f>IFERROR(100/$B24,"")</f>
        <v/>
      </c>
      <c r="F24" s="16" t="n">
        <v>0.059</v>
      </c>
      <c r="G24" s="6">
        <f>IFERROR($E24-$F24,"")</f>
        <v/>
      </c>
      <c r="H24" s="7">
        <f>IFERROR(($D24/$D12-1)*100,"")</f>
        <v/>
      </c>
      <c r="I24" s="6" t="n">
        <v>86.89</v>
      </c>
      <c r="J24" s="6" t="n">
        <v>135.79</v>
      </c>
      <c r="K24" s="6" t="n">
        <v>42.57</v>
      </c>
      <c r="L24" s="6" t="n">
        <v>116.12</v>
      </c>
      <c r="M24" s="6" t="n">
        <v>78.17</v>
      </c>
      <c r="N24" s="6" t="n">
        <v>129.97</v>
      </c>
      <c r="P24" s="6" t="n"/>
      <c r="Q24" s="6" t="n"/>
      <c r="R24" s="6" t="n"/>
    </row>
    <row r="25">
      <c r="A25" s="5" t="inlineStr">
        <is>
          <t>2021-07</t>
        </is>
      </c>
      <c r="B25" s="6" t="n">
        <v>25.8</v>
      </c>
      <c r="C25" s="6" t="n">
        <v>1.2</v>
      </c>
      <c r="D25" s="6" t="n">
        <v>92.22</v>
      </c>
      <c r="E25" s="6">
        <f>IFERROR(100/$B25,"")</f>
        <v/>
      </c>
      <c r="F25" s="16" t="n">
        <v>0.022</v>
      </c>
      <c r="G25" s="6">
        <f>IFERROR($E25-$F25,"")</f>
        <v/>
      </c>
      <c r="H25" s="7">
        <f>IFERROR(($D25/$D13-1)*100,"")</f>
        <v/>
      </c>
      <c r="I25" s="6" t="n">
        <v>86.88</v>
      </c>
      <c r="J25" s="6" t="n">
        <v>136.28</v>
      </c>
      <c r="K25" s="6" t="n">
        <v>42.57</v>
      </c>
      <c r="L25" s="6" t="n">
        <v>115.94</v>
      </c>
      <c r="M25" s="6" t="n">
        <v>78.17</v>
      </c>
      <c r="N25" s="6" t="n">
        <v>129.97</v>
      </c>
      <c r="P25" s="6" t="n"/>
      <c r="Q25" s="6" t="n"/>
      <c r="R25" s="6" t="n"/>
    </row>
    <row r="26">
      <c r="A26" s="5" t="inlineStr">
        <is>
          <t>2021-08</t>
        </is>
      </c>
      <c r="B26" s="6" t="n">
        <v>26.5</v>
      </c>
      <c r="C26" s="6" t="n">
        <v>1.3</v>
      </c>
      <c r="D26" s="6" t="n">
        <v>92.72</v>
      </c>
      <c r="E26" s="6">
        <f>IFERROR(100/$B26,"")</f>
        <v/>
      </c>
      <c r="F26" s="16" t="n">
        <v>0.029</v>
      </c>
      <c r="G26" s="6">
        <f>IFERROR($E26-$F26,"")</f>
        <v/>
      </c>
      <c r="H26" s="7">
        <f>IFERROR(($D26/$D14-1)*100,"")</f>
        <v/>
      </c>
      <c r="I26" s="6" t="n">
        <v>87.39</v>
      </c>
      <c r="J26" s="6" t="n">
        <v>137.2</v>
      </c>
      <c r="K26" s="6" t="n">
        <v>42.6</v>
      </c>
      <c r="L26" s="6" t="n">
        <v>115.9</v>
      </c>
      <c r="M26" s="6" t="n">
        <v>78.17</v>
      </c>
      <c r="N26" s="6" t="n">
        <v>129.97</v>
      </c>
      <c r="P26" s="6">
        <f>'Slide1_Equities'!$Z$8</f>
        <v/>
      </c>
      <c r="Q26" s="6">
        <f>'Slide1_Equities'!$Z$8+'Slide1_Equities'!$Z$9</f>
        <v/>
      </c>
      <c r="R26" s="6">
        <f>'Slide1_Equities'!$Z$8-'Slide1_Equities'!$Z$9</f>
        <v/>
      </c>
    </row>
    <row r="27">
      <c r="A27" s="5" t="inlineStr">
        <is>
          <t>2021-09</t>
        </is>
      </c>
      <c r="B27" s="6" t="n">
        <v>27.1</v>
      </c>
      <c r="C27" s="6" t="n">
        <v>1.3</v>
      </c>
      <c r="D27" s="6" t="n">
        <v>92.37</v>
      </c>
      <c r="E27" s="6">
        <f>IFERROR(100/$B27,"")</f>
        <v/>
      </c>
      <c r="F27" s="16" t="n">
        <v>0.063</v>
      </c>
      <c r="G27" s="6">
        <f>IFERROR($E27-$F27,"")</f>
        <v/>
      </c>
      <c r="H27" s="7">
        <f>IFERROR(($D27/$D15-1)*100,"")</f>
        <v/>
      </c>
      <c r="I27" s="6" t="n">
        <v>86.62</v>
      </c>
      <c r="J27" s="6" t="n">
        <v>135.84</v>
      </c>
      <c r="K27" s="6" t="n">
        <v>33.27</v>
      </c>
      <c r="L27" s="6" t="n">
        <v>114.87</v>
      </c>
      <c r="M27" s="6" t="n">
        <v>80.06999999999999</v>
      </c>
      <c r="N27" s="6" t="n">
        <v>126.21</v>
      </c>
      <c r="P27" s="6">
        <f>'Slide1_Equities'!$Z$8</f>
        <v/>
      </c>
      <c r="Q27" s="6">
        <f>'Slide1_Equities'!$Z$8+'Slide1_Equities'!$Z$9</f>
        <v/>
      </c>
      <c r="R27" s="6">
        <f>'Slide1_Equities'!$Z$8-'Slide1_Equities'!$Z$9</f>
        <v/>
      </c>
    </row>
    <row r="28">
      <c r="A28" s="5" t="inlineStr">
        <is>
          <t>2021-10</t>
        </is>
      </c>
      <c r="B28" s="6" t="n">
        <v>26.5</v>
      </c>
      <c r="C28" s="6" t="n">
        <v>1.3</v>
      </c>
      <c r="D28" s="6" t="n">
        <v>92.62</v>
      </c>
      <c r="E28" s="6">
        <f>IFERROR(100/$B28,"")</f>
        <v/>
      </c>
      <c r="F28" s="16" t="n">
        <v>0.101</v>
      </c>
      <c r="G28" s="6">
        <f>IFERROR($E28-$F28,"")</f>
        <v/>
      </c>
      <c r="H28" s="7">
        <f>IFERROR(($D28/$D16-1)*100,"")</f>
        <v/>
      </c>
      <c r="I28" s="6" t="n">
        <v>82.09</v>
      </c>
      <c r="J28" s="6" t="n">
        <v>136.02</v>
      </c>
      <c r="K28" s="6" t="n">
        <v>36.36</v>
      </c>
      <c r="L28" s="6" t="n">
        <v>114.21</v>
      </c>
      <c r="M28" s="6" t="n">
        <v>80.06999999999999</v>
      </c>
      <c r="N28" s="6" t="n">
        <v>126.37</v>
      </c>
      <c r="P28" s="6">
        <f>'Slide1_Equities'!$Z$8</f>
        <v/>
      </c>
      <c r="Q28" s="6">
        <f>'Slide1_Equities'!$Z$8+'Slide1_Equities'!$Z$9</f>
        <v/>
      </c>
      <c r="R28" s="6">
        <f>'Slide1_Equities'!$Z$8-'Slide1_Equities'!$Z$9</f>
        <v/>
      </c>
    </row>
    <row r="29">
      <c r="A29" s="5" t="inlineStr">
        <is>
          <t>2021-11</t>
        </is>
      </c>
      <c r="B29" s="6" t="n">
        <v>24.9</v>
      </c>
      <c r="C29" s="6" t="n">
        <v>1.2</v>
      </c>
      <c r="D29" s="6" t="n">
        <v>93.58</v>
      </c>
      <c r="E29" s="6">
        <f>IFERROR(100/$B29,"")</f>
        <v/>
      </c>
      <c r="F29" s="16" t="n">
        <v>0.079</v>
      </c>
      <c r="G29" s="6">
        <f>IFERROR($E29-$F29,"")</f>
        <v/>
      </c>
      <c r="H29" s="7">
        <f>IFERROR(($D29/$D17-1)*100,"")</f>
        <v/>
      </c>
      <c r="I29" s="6" t="n">
        <v>82.67</v>
      </c>
      <c r="J29" s="6" t="n">
        <v>136.02</v>
      </c>
      <c r="K29" s="6" t="n">
        <v>36.36</v>
      </c>
      <c r="L29" s="6" t="n">
        <v>114.23</v>
      </c>
      <c r="M29" s="6" t="n">
        <v>79.91</v>
      </c>
      <c r="N29" s="6" t="n">
        <v>126.37</v>
      </c>
      <c r="P29" s="6">
        <f>'Slide1_Equities'!$Z$8</f>
        <v/>
      </c>
      <c r="Q29" s="6">
        <f>'Slide1_Equities'!$Z$8+'Slide1_Equities'!$Z$9</f>
        <v/>
      </c>
      <c r="R29" s="6">
        <f>'Slide1_Equities'!$Z$8-'Slide1_Equities'!$Z$9</f>
        <v/>
      </c>
    </row>
    <row r="30">
      <c r="A30" s="5" t="inlineStr">
        <is>
          <t>2021-12</t>
        </is>
      </c>
      <c r="B30" s="6" t="n">
        <v>25.4</v>
      </c>
      <c r="C30" s="6" t="n">
        <v>1.2</v>
      </c>
      <c r="D30" s="6" t="n">
        <v>94.31999999999999</v>
      </c>
      <c r="E30" s="6">
        <f>IFERROR(100/$B30,"")</f>
        <v/>
      </c>
      <c r="F30" s="16" t="n">
        <v>0.089</v>
      </c>
      <c r="G30" s="6">
        <f>IFERROR($E30-$F30,"")</f>
        <v/>
      </c>
      <c r="H30" s="7">
        <f>IFERROR(($D30/$D18-1)*100,"")</f>
        <v/>
      </c>
      <c r="I30" s="6" t="n">
        <v>84.62</v>
      </c>
      <c r="J30" s="6" t="n">
        <v>136.6</v>
      </c>
      <c r="K30" s="6" t="n">
        <v>36.4</v>
      </c>
      <c r="L30" s="6" t="n">
        <v>114.65</v>
      </c>
      <c r="M30" s="6" t="n">
        <v>79.91</v>
      </c>
      <c r="N30" s="6" t="n">
        <v>126.5</v>
      </c>
      <c r="P30" s="6">
        <f>'Slide1_Equities'!$Z$8</f>
        <v/>
      </c>
      <c r="Q30" s="6">
        <f>'Slide1_Equities'!$Z$8+'Slide1_Equities'!$Z$9</f>
        <v/>
      </c>
      <c r="R30" s="6">
        <f>'Slide1_Equities'!$Z$8-'Slide1_Equities'!$Z$9</f>
        <v/>
      </c>
    </row>
    <row r="31">
      <c r="A31" s="5" t="inlineStr">
        <is>
          <t>2022-01</t>
        </is>
      </c>
      <c r="B31" s="6" t="n">
        <v>23.5</v>
      </c>
      <c r="C31" s="6" t="n">
        <v>1.2</v>
      </c>
      <c r="D31" s="6" t="n">
        <v>94.05</v>
      </c>
      <c r="E31" s="6">
        <f>IFERROR(100/$B31,"")</f>
        <v/>
      </c>
      <c r="F31" s="16" t="n">
        <v>0.172</v>
      </c>
      <c r="G31" s="6">
        <f>IFERROR($E31-$F31,"")</f>
        <v/>
      </c>
      <c r="H31" s="7">
        <f>IFERROR(($D31/$D19-1)*100,"")</f>
        <v/>
      </c>
      <c r="I31" s="6" t="n">
        <v>85.01000000000001</v>
      </c>
      <c r="J31" s="6" t="n">
        <v>137.05</v>
      </c>
      <c r="K31" s="6" t="n">
        <v>36.4</v>
      </c>
      <c r="L31" s="6" t="n">
        <v>114.86</v>
      </c>
      <c r="M31" s="6" t="n">
        <v>79.91</v>
      </c>
      <c r="N31" s="6" t="n">
        <v>126.5</v>
      </c>
      <c r="P31" s="6">
        <f>'Slide1_Equities'!$Z$8</f>
        <v/>
      </c>
      <c r="Q31" s="6">
        <f>'Slide1_Equities'!$Z$8+'Slide1_Equities'!$Z$9</f>
        <v/>
      </c>
      <c r="R31" s="6">
        <f>'Slide1_Equities'!$Z$8-'Slide1_Equities'!$Z$9</f>
        <v/>
      </c>
    </row>
    <row r="32">
      <c r="A32" s="5" t="inlineStr">
        <is>
          <t>2022-02</t>
        </is>
      </c>
      <c r="B32" s="6" t="n">
        <v>23.7</v>
      </c>
      <c r="C32" s="6" t="n">
        <v>1.2</v>
      </c>
      <c r="D32" s="6" t="n">
        <v>94.56</v>
      </c>
      <c r="E32" s="6">
        <f>IFERROR(100/$B32,"")</f>
        <v/>
      </c>
      <c r="F32" s="16" t="n">
        <v>0.214</v>
      </c>
      <c r="G32" s="6">
        <f>IFERROR($E32-$F32,"")</f>
        <v/>
      </c>
      <c r="H32" s="7">
        <f>IFERROR(($D32/$D20-1)*100,"")</f>
        <v/>
      </c>
      <c r="I32" s="6" t="n">
        <v>88.67</v>
      </c>
      <c r="J32" s="6" t="n">
        <v>137.09</v>
      </c>
      <c r="K32" s="6" t="n">
        <v>36.45</v>
      </c>
      <c r="L32" s="6" t="n">
        <v>114.97</v>
      </c>
      <c r="M32" s="6" t="n">
        <v>79.91</v>
      </c>
      <c r="N32" s="6" t="n">
        <v>126.52</v>
      </c>
      <c r="P32" s="6">
        <f>'Slide1_Equities'!$Z$8</f>
        <v/>
      </c>
      <c r="Q32" s="6">
        <f>'Slide1_Equities'!$Z$8+'Slide1_Equities'!$Z$9</f>
        <v/>
      </c>
      <c r="R32" s="6">
        <f>'Slide1_Equities'!$Z$8-'Slide1_Equities'!$Z$9</f>
        <v/>
      </c>
    </row>
    <row r="33">
      <c r="A33" s="5" t="inlineStr">
        <is>
          <t>2022-03</t>
        </is>
      </c>
      <c r="B33" s="6" t="n">
        <v>22</v>
      </c>
      <c r="C33" s="6" t="n">
        <v>1.2</v>
      </c>
      <c r="D33" s="6" t="n">
        <v>102.92</v>
      </c>
      <c r="E33" s="6">
        <f>IFERROR(100/$B33,"")</f>
        <v/>
      </c>
      <c r="F33" s="16" t="n">
        <v>0.248</v>
      </c>
      <c r="G33" s="6">
        <f>IFERROR($E33-$F33,"")</f>
        <v/>
      </c>
      <c r="H33" s="7">
        <f>IFERROR(($D33/$D21-1)*100,"")</f>
        <v/>
      </c>
      <c r="I33" s="6" t="n">
        <v>104.47</v>
      </c>
      <c r="J33" s="6" t="n">
        <v>148.28</v>
      </c>
      <c r="K33" s="6" t="n">
        <v>51.59</v>
      </c>
      <c r="L33" s="6" t="n">
        <v>127.73</v>
      </c>
      <c r="M33" s="6" t="n">
        <v>81.59999999999999</v>
      </c>
      <c r="N33" s="6" t="n">
        <v>127.17</v>
      </c>
      <c r="P33" s="6">
        <f>'Slide1_Equities'!$Z$8</f>
        <v/>
      </c>
      <c r="Q33" s="6">
        <f>'Slide1_Equities'!$Z$8+'Slide1_Equities'!$Z$9</f>
        <v/>
      </c>
      <c r="R33" s="6">
        <f>'Slide1_Equities'!$Z$8-'Slide1_Equities'!$Z$9</f>
        <v/>
      </c>
    </row>
    <row r="34">
      <c r="A34" s="5" t="inlineStr">
        <is>
          <t>2022-04</t>
        </is>
      </c>
      <c r="B34" s="6" t="n">
        <v>20.4</v>
      </c>
      <c r="C34" s="6" t="n">
        <v>1.2</v>
      </c>
      <c r="D34" s="6" t="n">
        <v>118.12</v>
      </c>
      <c r="E34" s="6">
        <f>IFERROR(100/$B34,"")</f>
        <v/>
      </c>
      <c r="F34" s="16" t="n">
        <v>0.22</v>
      </c>
      <c r="G34" s="6">
        <f>IFERROR($E34-$F34,"")</f>
        <v/>
      </c>
      <c r="H34" s="7">
        <f>IFERROR(($D34/$D22-1)*100,"")</f>
        <v/>
      </c>
      <c r="I34" s="6" t="n">
        <v>122.31</v>
      </c>
      <c r="J34" s="6" t="n">
        <v>164.7</v>
      </c>
      <c r="K34" s="6" t="n">
        <v>67.34</v>
      </c>
      <c r="L34" s="6" t="n">
        <v>134.32</v>
      </c>
      <c r="M34" s="6" t="n">
        <v>90.06</v>
      </c>
      <c r="N34" s="6" t="n">
        <v>137.95</v>
      </c>
      <c r="P34" s="6">
        <f>'Slide1_Equities'!$Z$8</f>
        <v/>
      </c>
      <c r="Q34" s="6">
        <f>'Slide1_Equities'!$Z$8+'Slide1_Equities'!$Z$9</f>
        <v/>
      </c>
      <c r="R34" s="6">
        <f>'Slide1_Equities'!$Z$8-'Slide1_Equities'!$Z$9</f>
        <v/>
      </c>
    </row>
    <row r="35">
      <c r="A35" s="5" t="inlineStr">
        <is>
          <t>2022-05</t>
        </is>
      </c>
      <c r="B35" s="6" t="n">
        <v>19.8</v>
      </c>
      <c r="C35" s="6" t="n">
        <v>1.2</v>
      </c>
      <c r="D35" s="6" t="n">
        <v>121.92</v>
      </c>
      <c r="E35" s="6">
        <f>IFERROR(100/$B35,"")</f>
        <v/>
      </c>
      <c r="F35" s="16" t="n">
        <v>0.236</v>
      </c>
      <c r="G35" s="6">
        <f>IFERROR($E35-$F35,"")</f>
        <v/>
      </c>
      <c r="H35" s="7">
        <f>IFERROR(($D35/$D23-1)*100,"")</f>
        <v/>
      </c>
      <c r="I35" s="6" t="n">
        <v>125.78</v>
      </c>
      <c r="J35" s="6" t="n">
        <v>164.18</v>
      </c>
      <c r="K35" s="6" t="n">
        <v>67.34</v>
      </c>
      <c r="L35" s="6" t="n">
        <v>134.32</v>
      </c>
      <c r="M35" s="6" t="n">
        <v>90.53</v>
      </c>
      <c r="N35" s="6" t="n">
        <v>137.95</v>
      </c>
      <c r="P35" s="6">
        <f>'Slide1_Equities'!$Z$8</f>
        <v/>
      </c>
      <c r="Q35" s="6">
        <f>'Slide1_Equities'!$Z$8+'Slide1_Equities'!$Z$9</f>
        <v/>
      </c>
      <c r="R35" s="6">
        <f>'Slide1_Equities'!$Z$8-'Slide1_Equities'!$Z$9</f>
        <v/>
      </c>
    </row>
    <row r="36">
      <c r="A36" s="5" t="inlineStr">
        <is>
          <t>2022-06</t>
        </is>
      </c>
      <c r="B36" s="6" t="n">
        <v>13.7</v>
      </c>
      <c r="C36" s="6" t="n">
        <v>1.1</v>
      </c>
      <c r="D36" s="6" t="n">
        <v>172.63</v>
      </c>
      <c r="E36" s="6">
        <f>IFERROR(100/$B36,"")</f>
        <v/>
      </c>
      <c r="F36" s="16" t="n">
        <v>0.24</v>
      </c>
      <c r="G36" s="6">
        <f>IFERROR($E36-$F36,"")</f>
        <v/>
      </c>
      <c r="H36" s="7">
        <f>IFERROR(($D36/$D24-1)*100,"")</f>
        <v/>
      </c>
      <c r="I36" s="6" t="n">
        <v>189.52</v>
      </c>
      <c r="J36" s="6" t="n">
        <v>234.03</v>
      </c>
      <c r="K36" s="6" t="n">
        <v>151.47</v>
      </c>
      <c r="L36" s="6" t="n">
        <v>179.15</v>
      </c>
      <c r="M36" s="6" t="n">
        <v>258.24</v>
      </c>
      <c r="N36" s="6" t="n">
        <v>195.36</v>
      </c>
      <c r="P36" s="6">
        <f>'Slide1_Equities'!$Z$8</f>
        <v/>
      </c>
      <c r="Q36" s="6">
        <f>'Slide1_Equities'!$Z$8+'Slide1_Equities'!$Z$9</f>
        <v/>
      </c>
      <c r="R36" s="6">
        <f>'Slide1_Equities'!$Z$8-'Slide1_Equities'!$Z$9</f>
        <v/>
      </c>
    </row>
    <row r="37">
      <c r="A37" s="5" t="inlineStr">
        <is>
          <t>2022-07</t>
        </is>
      </c>
      <c r="B37" s="6" t="n">
        <v>14.4</v>
      </c>
      <c r="C37" s="6" t="n">
        <v>1.2</v>
      </c>
      <c r="D37" s="6" t="n">
        <v>172.06</v>
      </c>
      <c r="E37" s="6">
        <f>IFERROR(100/$B37,"")</f>
        <v/>
      </c>
      <c r="F37" s="16" t="n">
        <v>0.185</v>
      </c>
      <c r="G37" s="6">
        <f>IFERROR($E37-$F37,"")</f>
        <v/>
      </c>
      <c r="H37" s="7">
        <f>IFERROR(($D37/$D25-1)*100,"")</f>
        <v/>
      </c>
      <c r="I37" s="6" t="n">
        <v>189.54</v>
      </c>
      <c r="J37" s="6" t="n">
        <v>234.4</v>
      </c>
      <c r="K37" s="6" t="n">
        <v>151.46</v>
      </c>
      <c r="L37" s="6" t="n">
        <v>179.14</v>
      </c>
      <c r="M37" s="6" t="n">
        <v>258.24</v>
      </c>
      <c r="N37" s="6" t="n">
        <v>195.36</v>
      </c>
      <c r="P37" s="6">
        <f>'Slide1_Equities'!$Z$8</f>
        <v/>
      </c>
      <c r="Q37" s="6">
        <f>'Slide1_Equities'!$Z$8+'Slide1_Equities'!$Z$9</f>
        <v/>
      </c>
      <c r="R37" s="6">
        <f>'Slide1_Equities'!$Z$8-'Slide1_Equities'!$Z$9</f>
        <v/>
      </c>
    </row>
    <row r="38">
      <c r="A38" s="5" t="inlineStr">
        <is>
          <t>2022-08</t>
        </is>
      </c>
      <c r="B38" s="6" t="n">
        <v>14.6</v>
      </c>
      <c r="C38" s="6" t="n">
        <v>1.2</v>
      </c>
      <c r="D38" s="6" t="n">
        <v>172.01</v>
      </c>
      <c r="E38" s="6">
        <f>IFERROR(100/$B38,"")</f>
        <v/>
      </c>
      <c r="F38" s="16" t="n">
        <v>0.23</v>
      </c>
      <c r="G38" s="6">
        <f>IFERROR($E38-$F38,"")</f>
        <v/>
      </c>
      <c r="H38" s="7">
        <f>IFERROR(($D38/$D26-1)*100,"")</f>
        <v/>
      </c>
      <c r="I38" s="6" t="n">
        <v>189.55</v>
      </c>
      <c r="J38" s="6" t="n">
        <v>234.51</v>
      </c>
      <c r="K38" s="6" t="n">
        <v>151.46</v>
      </c>
      <c r="L38" s="6" t="n">
        <v>179.98</v>
      </c>
      <c r="M38" s="6" t="n">
        <v>258.24</v>
      </c>
      <c r="N38" s="6" t="n">
        <v>195.36</v>
      </c>
      <c r="P38" s="6">
        <f>'Slide1_Equities'!$Z$8</f>
        <v/>
      </c>
      <c r="Q38" s="6">
        <f>'Slide1_Equities'!$Z$8+'Slide1_Equities'!$Z$9</f>
        <v/>
      </c>
      <c r="R38" s="6">
        <f>'Slide1_Equities'!$Z$8-'Slide1_Equities'!$Z$9</f>
        <v/>
      </c>
    </row>
    <row r="39">
      <c r="A39" s="5" t="inlineStr">
        <is>
          <t>2022-09</t>
        </is>
      </c>
      <c r="B39" s="6" t="n">
        <v>14.2</v>
      </c>
      <c r="C39" s="6" t="n">
        <v>1.1</v>
      </c>
      <c r="D39" s="6" t="n">
        <v>164.24</v>
      </c>
      <c r="E39" s="6">
        <f>IFERROR(100/$B39,"")</f>
        <v/>
      </c>
      <c r="F39" s="16" t="n">
        <v>0.277</v>
      </c>
      <c r="G39" s="6">
        <f>IFERROR($E39-$F39,"")</f>
        <v/>
      </c>
      <c r="H39" s="7">
        <f>IFERROR(($D39/$D27-1)*100,"")</f>
        <v/>
      </c>
      <c r="I39" s="6" t="n">
        <v>184.93</v>
      </c>
      <c r="J39" s="6" t="n">
        <v>235.37</v>
      </c>
      <c r="K39" s="6" t="n">
        <v>151.46</v>
      </c>
      <c r="L39" s="6" t="n">
        <v>180.1</v>
      </c>
      <c r="M39" s="6" t="n">
        <v>260.58</v>
      </c>
      <c r="N39" s="6" t="n">
        <v>188.38</v>
      </c>
      <c r="P39" s="6">
        <f>'Slide1_Equities'!$Z$8</f>
        <v/>
      </c>
      <c r="Q39" s="6">
        <f>'Slide1_Equities'!$Z$8+'Slide1_Equities'!$Z$9</f>
        <v/>
      </c>
      <c r="R39" s="6">
        <f>'Slide1_Equities'!$Z$8-'Slide1_Equities'!$Z$9</f>
        <v/>
      </c>
    </row>
    <row r="40">
      <c r="A40" s="5" t="inlineStr">
        <is>
          <t>2022-10</t>
        </is>
      </c>
      <c r="B40" s="6" t="n">
        <v>14.7</v>
      </c>
      <c r="C40" s="6" t="n">
        <v>1.2</v>
      </c>
      <c r="D40" s="6" t="n">
        <v>163.68</v>
      </c>
      <c r="E40" s="6">
        <f>IFERROR(100/$B40,"")</f>
        <v/>
      </c>
      <c r="F40" s="16" t="n">
        <v>0.254</v>
      </c>
      <c r="G40" s="6">
        <f>IFERROR($E40-$F40,"")</f>
        <v/>
      </c>
      <c r="H40" s="7">
        <f>IFERROR(($D40/$D28-1)*100,"")</f>
        <v/>
      </c>
      <c r="I40" s="6" t="n">
        <v>185.24</v>
      </c>
      <c r="J40" s="6" t="n">
        <v>234.99</v>
      </c>
      <c r="K40" s="6" t="n">
        <v>151.49</v>
      </c>
      <c r="L40" s="6" t="n">
        <v>180.15</v>
      </c>
      <c r="M40" s="6" t="n">
        <v>260.58</v>
      </c>
      <c r="N40" s="6" t="n">
        <v>188.57</v>
      </c>
      <c r="P40" s="6">
        <f>'Slide1_Equities'!$Z$8</f>
        <v/>
      </c>
      <c r="Q40" s="6">
        <f>'Slide1_Equities'!$Z$8+'Slide1_Equities'!$Z$9</f>
        <v/>
      </c>
      <c r="R40" s="6">
        <f>'Slide1_Equities'!$Z$8-'Slide1_Equities'!$Z$9</f>
        <v/>
      </c>
    </row>
    <row r="41">
      <c r="A41" s="5" t="inlineStr">
        <is>
          <t>2022-11</t>
        </is>
      </c>
      <c r="B41" s="6" t="n">
        <v>15.1</v>
      </c>
      <c r="C41" s="6" t="n">
        <v>1.2</v>
      </c>
      <c r="D41" s="6" t="n">
        <v>164.39</v>
      </c>
      <c r="E41" s="6">
        <f>IFERROR(100/$B41,"")</f>
        <v/>
      </c>
      <c r="F41" s="16" t="n">
        <v>0.275</v>
      </c>
      <c r="G41" s="6">
        <f>IFERROR($E41-$F41,"")</f>
        <v/>
      </c>
      <c r="H41" s="7">
        <f>IFERROR(($D41/$D29-1)*100,"")</f>
        <v/>
      </c>
      <c r="I41" s="6" t="n">
        <v>185.84</v>
      </c>
      <c r="J41" s="6" t="n">
        <v>235.89</v>
      </c>
      <c r="K41" s="6" t="n">
        <v>151.49</v>
      </c>
      <c r="L41" s="6" t="n">
        <v>180.14</v>
      </c>
      <c r="M41" s="6" t="n">
        <v>260.58</v>
      </c>
      <c r="N41" s="6" t="n">
        <v>188.57</v>
      </c>
      <c r="P41" s="6">
        <f>'Slide1_Equities'!$Z$8</f>
        <v/>
      </c>
      <c r="Q41" s="6">
        <f>'Slide1_Equities'!$Z$8+'Slide1_Equities'!$Z$9</f>
        <v/>
      </c>
      <c r="R41" s="6">
        <f>'Slide1_Equities'!$Z$8-'Slide1_Equities'!$Z$9</f>
        <v/>
      </c>
    </row>
    <row r="42">
      <c r="A42" s="5" t="inlineStr">
        <is>
          <t>2022-12</t>
        </is>
      </c>
      <c r="B42" s="6" t="n">
        <v>14.4</v>
      </c>
      <c r="C42" s="6" t="n">
        <v>1.1</v>
      </c>
      <c r="D42" s="6" t="n">
        <v>164.92</v>
      </c>
      <c r="E42" s="6">
        <f>IFERROR(100/$B42,"")</f>
        <v/>
      </c>
      <c r="F42" s="16" t="n">
        <v>0.454</v>
      </c>
      <c r="G42" s="6">
        <f>IFERROR($E42-$F42,"")</f>
        <v/>
      </c>
      <c r="H42" s="7">
        <f>IFERROR(($D42/$D30-1)*100,"")</f>
        <v/>
      </c>
      <c r="I42" s="6" t="n">
        <v>185.46</v>
      </c>
      <c r="J42" s="6" t="n">
        <v>236.58</v>
      </c>
      <c r="K42" s="6" t="n">
        <v>151.49</v>
      </c>
      <c r="L42" s="6" t="n">
        <v>179.92</v>
      </c>
      <c r="M42" s="6" t="n">
        <v>271.15</v>
      </c>
      <c r="N42" s="6" t="n">
        <v>188.75</v>
      </c>
      <c r="P42" s="6">
        <f>'Slide1_Equities'!$Z$8</f>
        <v/>
      </c>
      <c r="Q42" s="6">
        <f>'Slide1_Equities'!$Z$8+'Slide1_Equities'!$Z$9</f>
        <v/>
      </c>
      <c r="R42" s="6">
        <f>'Slide1_Equities'!$Z$8-'Slide1_Equities'!$Z$9</f>
        <v/>
      </c>
    </row>
    <row r="43">
      <c r="A43" s="5" t="inlineStr">
        <is>
          <t>2023-01</t>
        </is>
      </c>
      <c r="B43" s="6" t="n">
        <v>14.9</v>
      </c>
      <c r="C43" s="6" t="n">
        <v>1.2</v>
      </c>
      <c r="D43" s="6" t="n">
        <v>165.29</v>
      </c>
      <c r="E43" s="6">
        <f>IFERROR(100/$B43,"")</f>
        <v/>
      </c>
      <c r="F43" s="16" t="n">
        <v>0.497</v>
      </c>
      <c r="G43" s="6">
        <f>IFERROR($E43-$F43,"")</f>
        <v/>
      </c>
      <c r="H43" s="7">
        <f>IFERROR(($D43/$D31-1)*100,"")</f>
        <v/>
      </c>
      <c r="I43" s="6" t="n">
        <v>185.68</v>
      </c>
      <c r="J43" s="6" t="n">
        <v>236.71</v>
      </c>
      <c r="K43" s="6" t="n">
        <v>151.49</v>
      </c>
      <c r="L43" s="6" t="n">
        <v>180.43</v>
      </c>
      <c r="M43" s="6" t="n">
        <v>264.81</v>
      </c>
      <c r="N43" s="6" t="n">
        <v>188.75</v>
      </c>
      <c r="P43" s="6">
        <f>'Slide1_Equities'!$Z$8</f>
        <v/>
      </c>
      <c r="Q43" s="6">
        <f>'Slide1_Equities'!$Z$8+'Slide1_Equities'!$Z$9</f>
        <v/>
      </c>
      <c r="R43" s="6">
        <f>'Slide1_Equities'!$Z$8-'Slide1_Equities'!$Z$9</f>
        <v/>
      </c>
    </row>
    <row r="44">
      <c r="A44" s="5" t="inlineStr">
        <is>
          <t>2023-02</t>
        </is>
      </c>
      <c r="B44" s="6" t="n">
        <v>15</v>
      </c>
      <c r="C44" s="6" t="n">
        <v>1.2</v>
      </c>
      <c r="D44" s="6" t="n">
        <v>164.22</v>
      </c>
      <c r="E44" s="6">
        <f>IFERROR(100/$B44,"")</f>
        <v/>
      </c>
      <c r="F44" s="16" t="n">
        <v>0.53</v>
      </c>
      <c r="G44" s="6">
        <f>IFERROR($E44-$F44,"")</f>
        <v/>
      </c>
      <c r="H44" s="7">
        <f>IFERROR(($D44/$D32-1)*100,"")</f>
        <v/>
      </c>
      <c r="I44" s="6" t="n">
        <v>186.84</v>
      </c>
      <c r="J44" s="6" t="n">
        <v>236.65</v>
      </c>
      <c r="K44" s="6" t="n">
        <v>151.49</v>
      </c>
      <c r="L44" s="6" t="n">
        <v>179.56</v>
      </c>
      <c r="M44" s="6" t="n">
        <v>264.81</v>
      </c>
      <c r="N44" s="6" t="n">
        <v>188.76</v>
      </c>
      <c r="P44" s="6">
        <f>'Slide1_Equities'!$Z$8</f>
        <v/>
      </c>
      <c r="Q44" s="6">
        <f>'Slide1_Equities'!$Z$8+'Slide1_Equities'!$Z$9</f>
        <v/>
      </c>
      <c r="R44" s="6">
        <f>'Slide1_Equities'!$Z$8-'Slide1_Equities'!$Z$9</f>
        <v/>
      </c>
    </row>
    <row r="45">
      <c r="A45" s="5" t="inlineStr">
        <is>
          <t>2023-03</t>
        </is>
      </c>
      <c r="B45" s="6" t="n">
        <v>14.8</v>
      </c>
      <c r="C45" s="6" t="n">
        <v>1.2</v>
      </c>
      <c r="D45" s="6" t="n">
        <v>163.49</v>
      </c>
      <c r="E45" s="6">
        <f>IFERROR(100/$B45,"")</f>
        <v/>
      </c>
      <c r="F45" s="16" t="n">
        <v>0.389</v>
      </c>
      <c r="G45" s="6">
        <f>IFERROR($E45-$F45,"")</f>
        <v/>
      </c>
      <c r="H45" s="7">
        <f>IFERROR(($D45/$D33-1)*100,"")</f>
        <v/>
      </c>
      <c r="I45" s="6" t="n">
        <v>173.32</v>
      </c>
      <c r="J45" s="6" t="n">
        <v>222.68</v>
      </c>
      <c r="K45" s="6" t="n">
        <v>155.25</v>
      </c>
      <c r="L45" s="6" t="n">
        <v>175.4</v>
      </c>
      <c r="M45" s="6" t="n">
        <v>264.87</v>
      </c>
      <c r="N45" s="6" t="n">
        <v>188.8</v>
      </c>
      <c r="P45" s="6">
        <f>'Slide1_Equities'!$Z$8</f>
        <v/>
      </c>
      <c r="Q45" s="6">
        <f>'Slide1_Equities'!$Z$8+'Slide1_Equities'!$Z$9</f>
        <v/>
      </c>
      <c r="R45" s="6">
        <f>'Slide1_Equities'!$Z$8-'Slide1_Equities'!$Z$9</f>
        <v/>
      </c>
    </row>
    <row r="46">
      <c r="A46" s="5" t="inlineStr">
        <is>
          <t>2023-04</t>
        </is>
      </c>
      <c r="B46" s="6" t="n">
        <v>15</v>
      </c>
      <c r="C46" s="6" t="n">
        <v>1.2</v>
      </c>
      <c r="D46" s="6" t="n">
        <v>163.82</v>
      </c>
      <c r="E46" s="6">
        <f>IFERROR(100/$B46,"")</f>
        <v/>
      </c>
      <c r="F46" s="16" t="n">
        <v>0.403</v>
      </c>
      <c r="G46" s="6">
        <f>IFERROR($E46-$F46,"")</f>
        <v/>
      </c>
      <c r="H46" s="7">
        <f>IFERROR(($D46/$D34-1)*100,"")</f>
        <v/>
      </c>
      <c r="I46" s="6" t="n">
        <v>173.33</v>
      </c>
      <c r="J46" s="6" t="n">
        <v>224.86</v>
      </c>
      <c r="K46" s="6" t="n">
        <v>155.68</v>
      </c>
      <c r="L46" s="6" t="n">
        <v>175.58</v>
      </c>
      <c r="M46" s="6" t="n">
        <v>265.21</v>
      </c>
      <c r="N46" s="6" t="n">
        <v>189.1</v>
      </c>
      <c r="P46" s="6">
        <f>'Slide1_Equities'!$Z$8</f>
        <v/>
      </c>
      <c r="Q46" s="6">
        <f>'Slide1_Equities'!$Z$8+'Slide1_Equities'!$Z$9</f>
        <v/>
      </c>
      <c r="R46" s="6">
        <f>'Slide1_Equities'!$Z$8-'Slide1_Equities'!$Z$9</f>
        <v/>
      </c>
    </row>
    <row r="47">
      <c r="A47" s="5" t="inlineStr">
        <is>
          <t>2023-05</t>
        </is>
      </c>
      <c r="B47" s="6" t="n">
        <v>15.2</v>
      </c>
      <c r="C47" s="6" t="n">
        <v>1.2</v>
      </c>
      <c r="D47" s="6" t="n">
        <v>164.65</v>
      </c>
      <c r="E47" s="6">
        <f>IFERROR(100/$B47,"")</f>
        <v/>
      </c>
      <c r="F47" s="16" t="n">
        <v>0.432</v>
      </c>
      <c r="G47" s="6">
        <f>IFERROR($E47-$F47,"")</f>
        <v/>
      </c>
      <c r="H47" s="7">
        <f>IFERROR(($D47/$D35-1)*100,"")</f>
        <v/>
      </c>
      <c r="I47" s="6" t="n">
        <v>177</v>
      </c>
      <c r="J47" s="6" t="n">
        <v>223.39</v>
      </c>
      <c r="K47" s="6" t="n">
        <v>154.59</v>
      </c>
      <c r="L47" s="6" t="n">
        <v>175.52</v>
      </c>
      <c r="M47" s="6" t="n">
        <v>265.37</v>
      </c>
      <c r="N47" s="6" t="n">
        <v>187.99</v>
      </c>
      <c r="P47" s="6">
        <f>'Slide1_Equities'!$Z$8</f>
        <v/>
      </c>
      <c r="Q47" s="6">
        <f>'Slide1_Equities'!$Z$8+'Slide1_Equities'!$Z$9</f>
        <v/>
      </c>
      <c r="R47" s="6">
        <f>'Slide1_Equities'!$Z$8-'Slide1_Equities'!$Z$9</f>
        <v/>
      </c>
    </row>
    <row r="48">
      <c r="A48" s="5" t="inlineStr">
        <is>
          <t>2023-06</t>
        </is>
      </c>
      <c r="B48" s="6" t="n">
        <v>15.6</v>
      </c>
      <c r="C48" s="6" t="n">
        <v>1.2</v>
      </c>
      <c r="D48" s="6" t="n">
        <v>169.62</v>
      </c>
      <c r="E48" s="6">
        <f>IFERROR(100/$B48,"")</f>
        <v/>
      </c>
      <c r="F48" s="16" t="n">
        <v>0.426</v>
      </c>
      <c r="G48" s="6">
        <f>IFERROR($E48-$F48,"")</f>
        <v/>
      </c>
      <c r="H48" s="7">
        <f>IFERROR(($D48/$D36-1)*100,"")</f>
        <v/>
      </c>
      <c r="I48" s="6" t="n">
        <v>208.99</v>
      </c>
      <c r="J48" s="6" t="n">
        <v>225.36</v>
      </c>
      <c r="K48" s="6" t="n">
        <v>150.21</v>
      </c>
      <c r="L48" s="6" t="n">
        <v>174.81</v>
      </c>
      <c r="M48" s="6" t="n">
        <v>366.88</v>
      </c>
      <c r="N48" s="6" t="n">
        <v>222.38</v>
      </c>
      <c r="P48" s="6">
        <f>'Slide1_Equities'!$Z$8</f>
        <v/>
      </c>
      <c r="Q48" s="6">
        <f>'Slide1_Equities'!$Z$8+'Slide1_Equities'!$Z$9</f>
        <v/>
      </c>
      <c r="R48" s="6">
        <f>'Slide1_Equities'!$Z$8-'Slide1_Equities'!$Z$9</f>
        <v/>
      </c>
    </row>
    <row r="49">
      <c r="A49" s="5" t="inlineStr">
        <is>
          <t>2023-07</t>
        </is>
      </c>
      <c r="B49" s="6" t="n">
        <v>15.8</v>
      </c>
      <c r="C49" s="6" t="n">
        <v>1.2</v>
      </c>
      <c r="D49" s="6" t="n">
        <v>169.68</v>
      </c>
      <c r="E49" s="6">
        <f>IFERROR(100/$B49,"")</f>
        <v/>
      </c>
      <c r="F49" s="16" t="n">
        <v>0.551</v>
      </c>
      <c r="G49" s="6">
        <f>IFERROR($E49-$F49,"")</f>
        <v/>
      </c>
      <c r="H49" s="7">
        <f>IFERROR(($D49/$D37-1)*100,"")</f>
        <v/>
      </c>
      <c r="I49" s="6" t="n">
        <v>208.86</v>
      </c>
      <c r="J49" s="6" t="n">
        <v>225.1</v>
      </c>
      <c r="K49" s="6" t="n">
        <v>150.21</v>
      </c>
      <c r="L49" s="6" t="n">
        <v>175.32</v>
      </c>
      <c r="M49" s="6" t="n">
        <v>366.88</v>
      </c>
      <c r="N49" s="6" t="n">
        <v>222.84</v>
      </c>
      <c r="P49" s="6">
        <f>'Slide1_Equities'!$Z$8</f>
        <v/>
      </c>
      <c r="Q49" s="6">
        <f>'Slide1_Equities'!$Z$8+'Slide1_Equities'!$Z$9</f>
        <v/>
      </c>
      <c r="R49" s="6">
        <f>'Slide1_Equities'!$Z$8-'Slide1_Equities'!$Z$9</f>
        <v/>
      </c>
    </row>
    <row r="50">
      <c r="A50" s="5" t="inlineStr">
        <is>
          <t>2023-08</t>
        </is>
      </c>
      <c r="B50" s="6" t="n">
        <v>16</v>
      </c>
      <c r="C50" s="6" t="n">
        <v>1.2</v>
      </c>
      <c r="D50" s="6" t="n">
        <v>169.35</v>
      </c>
      <c r="E50" s="6">
        <f>IFERROR(100/$B50,"")</f>
        <v/>
      </c>
      <c r="F50" s="16" t="n">
        <v>0.663</v>
      </c>
      <c r="G50" s="6">
        <f>IFERROR($E50-$F50,"")</f>
        <v/>
      </c>
      <c r="H50" s="7">
        <f>IFERROR(($D50/$D38-1)*100,"")</f>
        <v/>
      </c>
      <c r="I50" s="6" t="n">
        <v>208.71</v>
      </c>
      <c r="J50" s="6" t="n">
        <v>225.3</v>
      </c>
      <c r="K50" s="6" t="n">
        <v>150.21</v>
      </c>
      <c r="L50" s="6" t="n">
        <v>174.56</v>
      </c>
      <c r="M50" s="6" t="n">
        <v>366.88</v>
      </c>
      <c r="N50" s="6" t="n">
        <v>222.84</v>
      </c>
      <c r="P50" s="6">
        <f>'Slide1_Equities'!$Z$8</f>
        <v/>
      </c>
      <c r="Q50" s="6">
        <f>'Slide1_Equities'!$Z$8+'Slide1_Equities'!$Z$9</f>
        <v/>
      </c>
      <c r="R50" s="6">
        <f>'Slide1_Equities'!$Z$8-'Slide1_Equities'!$Z$9</f>
        <v/>
      </c>
    </row>
    <row r="51">
      <c r="A51" s="5" t="inlineStr">
        <is>
          <t>2023-09</t>
        </is>
      </c>
      <c r="B51" s="6" t="n">
        <v>15.7</v>
      </c>
      <c r="C51" s="6" t="n">
        <v>1.2</v>
      </c>
      <c r="D51" s="6" t="n">
        <v>164.94</v>
      </c>
      <c r="E51" s="6">
        <f>IFERROR(100/$B51,"")</f>
        <v/>
      </c>
      <c r="F51" s="16" t="n">
        <v>0.774</v>
      </c>
      <c r="G51" s="6">
        <f>IFERROR($E51-$F51,"")</f>
        <v/>
      </c>
      <c r="H51" s="7">
        <f>IFERROR(($D51/$D39-1)*100,"")</f>
        <v/>
      </c>
      <c r="I51" s="6" t="n">
        <v>206.12</v>
      </c>
      <c r="J51" s="6" t="n">
        <v>202.72</v>
      </c>
      <c r="K51" s="6" t="n">
        <v>139.43</v>
      </c>
      <c r="L51" s="6" t="n">
        <v>174.1</v>
      </c>
      <c r="M51" s="6" t="n">
        <v>364.09</v>
      </c>
      <c r="N51" s="6" t="n">
        <v>220.94</v>
      </c>
      <c r="P51" s="6">
        <f>'Slide1_Equities'!$Z$8</f>
        <v/>
      </c>
      <c r="Q51" s="6">
        <f>'Slide1_Equities'!$Z$8+'Slide1_Equities'!$Z$9</f>
        <v/>
      </c>
      <c r="R51" s="6">
        <f>'Slide1_Equities'!$Z$8-'Slide1_Equities'!$Z$9</f>
        <v/>
      </c>
    </row>
    <row r="52">
      <c r="A52" s="5" t="inlineStr">
        <is>
          <t>2023-10</t>
        </is>
      </c>
      <c r="B52" s="6" t="n">
        <v>15.2</v>
      </c>
      <c r="C52" s="6" t="n">
        <v>1.2</v>
      </c>
      <c r="D52" s="6" t="n">
        <v>177.72</v>
      </c>
      <c r="E52" s="6">
        <f>IFERROR(100/$B52,"")</f>
        <v/>
      </c>
      <c r="F52" s="16" t="n">
        <v>0.875</v>
      </c>
      <c r="G52" s="6">
        <f>IFERROR($E52-$F52,"")</f>
        <v/>
      </c>
      <c r="H52" s="7">
        <f>IFERROR(($D52/$D40-1)*100,"")</f>
        <v/>
      </c>
      <c r="I52" s="6" t="n">
        <v>223.57</v>
      </c>
      <c r="J52" s="6" t="n">
        <v>211.27</v>
      </c>
      <c r="K52" s="6" t="n">
        <v>174.57</v>
      </c>
      <c r="L52" s="6" t="n">
        <v>184.37</v>
      </c>
      <c r="M52" s="6" t="n">
        <v>374.43</v>
      </c>
      <c r="N52" s="6" t="n">
        <v>221.11</v>
      </c>
      <c r="P52" s="6">
        <f>'Slide1_Equities'!$Z$8</f>
        <v/>
      </c>
      <c r="Q52" s="6">
        <f>'Slide1_Equities'!$Z$8+'Slide1_Equities'!$Z$9</f>
        <v/>
      </c>
      <c r="R52" s="6">
        <f>'Slide1_Equities'!$Z$8-'Slide1_Equities'!$Z$9</f>
        <v/>
      </c>
    </row>
    <row r="53">
      <c r="A53" s="5" t="inlineStr">
        <is>
          <t>2023-11</t>
        </is>
      </c>
      <c r="B53" s="6" t="n">
        <v>16</v>
      </c>
      <c r="C53" s="6" t="n">
        <v>1.3</v>
      </c>
      <c r="D53" s="6" t="n">
        <v>177.33</v>
      </c>
      <c r="E53" s="6">
        <f>IFERROR(100/$B53,"")</f>
        <v/>
      </c>
      <c r="F53" s="16" t="n">
        <v>0.786</v>
      </c>
      <c r="G53" s="6">
        <f>IFERROR($E53-$F53,"")</f>
        <v/>
      </c>
      <c r="H53" s="7">
        <f>IFERROR(($D53/$D41-1)*100,"")</f>
        <v/>
      </c>
      <c r="I53" s="6" t="n">
        <v>222.06</v>
      </c>
      <c r="J53" s="6" t="n">
        <v>210.38</v>
      </c>
      <c r="K53" s="6" t="n">
        <v>174.57</v>
      </c>
      <c r="L53" s="6" t="n">
        <v>184.86</v>
      </c>
      <c r="M53" s="6" t="n">
        <v>374.42</v>
      </c>
      <c r="N53" s="6" t="n">
        <v>221.11</v>
      </c>
      <c r="P53" s="6">
        <f>'Slide1_Equities'!$Z$8</f>
        <v/>
      </c>
      <c r="Q53" s="6">
        <f>'Slide1_Equities'!$Z$8+'Slide1_Equities'!$Z$9</f>
        <v/>
      </c>
      <c r="R53" s="6">
        <f>'Slide1_Equities'!$Z$8-'Slide1_Equities'!$Z$9</f>
        <v/>
      </c>
    </row>
    <row r="54">
      <c r="A54" s="5" t="inlineStr">
        <is>
          <t>2023-12</t>
        </is>
      </c>
      <c r="B54" s="6" t="n">
        <v>16.2</v>
      </c>
      <c r="C54" s="6" t="n">
        <v>1.3</v>
      </c>
      <c r="D54" s="6" t="n">
        <v>174.8</v>
      </c>
      <c r="E54" s="6">
        <f>IFERROR(100/$B54,"")</f>
        <v/>
      </c>
      <c r="F54" s="16" t="n">
        <v>0.647</v>
      </c>
      <c r="G54" s="6">
        <f>IFERROR($E54-$F54,"")</f>
        <v/>
      </c>
      <c r="H54" s="7">
        <f>IFERROR(($D54/$D42-1)*100,"")</f>
        <v/>
      </c>
      <c r="I54" s="6" t="n">
        <v>223.23</v>
      </c>
      <c r="J54" s="6" t="n">
        <v>204.05</v>
      </c>
      <c r="K54" s="6" t="n">
        <v>166.36</v>
      </c>
      <c r="L54" s="6" t="n">
        <v>176.79</v>
      </c>
      <c r="M54" s="6" t="n">
        <v>343.93</v>
      </c>
      <c r="N54" s="6" t="n">
        <v>217.05</v>
      </c>
      <c r="P54" s="6">
        <f>'Slide1_Equities'!$Z$8</f>
        <v/>
      </c>
      <c r="Q54" s="6">
        <f>'Slide1_Equities'!$Z$8+'Slide1_Equities'!$Z$9</f>
        <v/>
      </c>
      <c r="R54" s="6">
        <f>'Slide1_Equities'!$Z$8-'Slide1_Equities'!$Z$9</f>
        <v/>
      </c>
    </row>
    <row r="55">
      <c r="A55" s="5" t="inlineStr">
        <is>
          <t>2024-01</t>
        </is>
      </c>
      <c r="B55" s="6" t="n">
        <v>17</v>
      </c>
      <c r="C55" s="6" t="n">
        <v>1.3</v>
      </c>
      <c r="D55" s="6" t="n">
        <v>175.24</v>
      </c>
      <c r="E55" s="6">
        <f>IFERROR(100/$B55,"")</f>
        <v/>
      </c>
      <c r="F55" s="16" t="n">
        <v>0.721</v>
      </c>
      <c r="G55" s="6">
        <f>IFERROR($E55-$F55,"")</f>
        <v/>
      </c>
      <c r="H55" s="7">
        <f>IFERROR(($D55/$D43-1)*100,"")</f>
        <v/>
      </c>
      <c r="I55" s="6" t="n">
        <v>223.3</v>
      </c>
      <c r="J55" s="6" t="n">
        <v>204.03</v>
      </c>
      <c r="K55" s="6" t="n">
        <v>166.65</v>
      </c>
      <c r="L55" s="6" t="n">
        <v>176.94</v>
      </c>
      <c r="M55" s="6" t="n">
        <v>343.93</v>
      </c>
      <c r="N55" s="6" t="n">
        <v>217.03</v>
      </c>
      <c r="P55" s="6">
        <f>'Slide1_Equities'!$Z$8</f>
        <v/>
      </c>
      <c r="Q55" s="6">
        <f>'Slide1_Equities'!$Z$8+'Slide1_Equities'!$Z$9</f>
        <v/>
      </c>
      <c r="R55" s="6">
        <f>'Slide1_Equities'!$Z$8-'Slide1_Equities'!$Z$9</f>
        <v/>
      </c>
    </row>
    <row r="56">
      <c r="A56" s="5" t="inlineStr">
        <is>
          <t>2024-02</t>
        </is>
      </c>
      <c r="B56" s="6" t="n">
        <v>17.6</v>
      </c>
      <c r="C56" s="6" t="n">
        <v>1.4</v>
      </c>
      <c r="D56" s="6" t="n">
        <v>174.18</v>
      </c>
      <c r="E56" s="6">
        <f>IFERROR(100/$B56,"")</f>
        <v/>
      </c>
      <c r="F56" s="16" t="n">
        <v>0.727</v>
      </c>
      <c r="G56" s="6">
        <f>IFERROR($E56-$F56,"")</f>
        <v/>
      </c>
      <c r="H56" s="7">
        <f>IFERROR(($D56/$D44-1)*100,"")</f>
        <v/>
      </c>
      <c r="I56" s="6" t="n">
        <v>215.67</v>
      </c>
      <c r="J56" s="6" t="n">
        <v>204.11</v>
      </c>
      <c r="K56" s="6" t="n">
        <v>166.65</v>
      </c>
      <c r="L56" s="6" t="n">
        <v>176.49</v>
      </c>
      <c r="M56" s="6" t="n">
        <v>343.93</v>
      </c>
      <c r="N56" s="6" t="n">
        <v>217.07</v>
      </c>
      <c r="P56" s="6">
        <f>'Slide1_Equities'!$Z$8</f>
        <v/>
      </c>
      <c r="Q56" s="6">
        <f>'Slide1_Equities'!$Z$8+'Slide1_Equities'!$Z$9</f>
        <v/>
      </c>
      <c r="R56" s="6">
        <f>'Slide1_Equities'!$Z$8-'Slide1_Equities'!$Z$9</f>
        <v/>
      </c>
    </row>
    <row r="57">
      <c r="A57" s="5" t="inlineStr">
        <is>
          <t>2024-03</t>
        </is>
      </c>
      <c r="B57" s="6" t="n">
        <v>18.3</v>
      </c>
      <c r="C57" s="6" t="n">
        <v>1.4</v>
      </c>
      <c r="D57" s="6" t="n">
        <v>164.18</v>
      </c>
      <c r="E57" s="6">
        <f>IFERROR(100/$B57,"")</f>
        <v/>
      </c>
      <c r="F57" s="16" t="n">
        <v>0.75</v>
      </c>
      <c r="G57" s="6">
        <f>IFERROR($E57-$F57,"")</f>
        <v/>
      </c>
      <c r="H57" s="7">
        <f>IFERROR(($D57/$D45-1)*100,"")</f>
        <v/>
      </c>
      <c r="I57" s="6" t="n">
        <v>211.4</v>
      </c>
      <c r="J57" s="6" t="n">
        <v>195.18</v>
      </c>
      <c r="K57" s="6" t="n">
        <v>140.61</v>
      </c>
      <c r="L57" s="6" t="n">
        <v>155.74</v>
      </c>
      <c r="M57" s="6" t="n">
        <v>324.8</v>
      </c>
      <c r="N57" s="6" t="n">
        <v>217.23</v>
      </c>
      <c r="P57" s="6">
        <f>'Slide1_Equities'!$Z$8</f>
        <v/>
      </c>
      <c r="Q57" s="6">
        <f>'Slide1_Equities'!$Z$8+'Slide1_Equities'!$Z$9</f>
        <v/>
      </c>
      <c r="R57" s="6">
        <f>'Slide1_Equities'!$Z$8-'Slide1_Equities'!$Z$9</f>
        <v/>
      </c>
    </row>
    <row r="58">
      <c r="A58" s="5" t="inlineStr">
        <is>
          <t>2024-04</t>
        </is>
      </c>
      <c r="B58" s="6" t="n">
        <v>17.9</v>
      </c>
      <c r="C58" s="6" t="n">
        <v>1.4</v>
      </c>
      <c r="D58" s="6" t="n">
        <v>164.5</v>
      </c>
      <c r="E58" s="6">
        <f>IFERROR(100/$B58,"")</f>
        <v/>
      </c>
      <c r="F58" s="16" t="n">
        <v>0.925</v>
      </c>
      <c r="G58" s="6">
        <f>IFERROR($E58-$F58,"")</f>
        <v/>
      </c>
      <c r="H58" s="7">
        <f>IFERROR(($D58/$D46-1)*100,"")</f>
        <v/>
      </c>
      <c r="I58" s="6" t="n">
        <v>211.5</v>
      </c>
      <c r="J58" s="6" t="n">
        <v>194.42</v>
      </c>
      <c r="K58" s="6" t="n">
        <v>140.64</v>
      </c>
      <c r="L58" s="6" t="n">
        <v>156.45</v>
      </c>
      <c r="M58" s="6" t="n">
        <v>324.79</v>
      </c>
      <c r="N58" s="6" t="n">
        <v>217.25</v>
      </c>
      <c r="P58" s="6">
        <f>'Slide1_Equities'!$Z$8</f>
        <v/>
      </c>
      <c r="Q58" s="6">
        <f>'Slide1_Equities'!$Z$8+'Slide1_Equities'!$Z$9</f>
        <v/>
      </c>
      <c r="R58" s="6">
        <f>'Slide1_Equities'!$Z$8-'Slide1_Equities'!$Z$9</f>
        <v/>
      </c>
    </row>
    <row r="59">
      <c r="A59" s="5" t="inlineStr">
        <is>
          <t>2024-05</t>
        </is>
      </c>
      <c r="B59" s="6" t="n">
        <v>17.9</v>
      </c>
      <c r="C59" s="6" t="n">
        <v>1.4</v>
      </c>
      <c r="D59" s="6" t="n">
        <v>165.85</v>
      </c>
      <c r="E59" s="6">
        <f>IFERROR(100/$B59,"")</f>
        <v/>
      </c>
      <c r="F59" s="16" t="n">
        <v>1.08</v>
      </c>
      <c r="G59" s="6">
        <f>IFERROR($E59-$F59,"")</f>
        <v/>
      </c>
      <c r="H59" s="7">
        <f>IFERROR(($D59/$D47-1)*100,"")</f>
        <v/>
      </c>
      <c r="I59" s="6" t="n">
        <v>211.82</v>
      </c>
      <c r="J59" s="6" t="n">
        <v>195.52</v>
      </c>
      <c r="K59" s="6" t="n">
        <v>140.84</v>
      </c>
      <c r="L59" s="6" t="n">
        <v>156.53</v>
      </c>
      <c r="M59" s="6" t="n">
        <v>324.76</v>
      </c>
      <c r="N59" s="6" t="n">
        <v>217.51</v>
      </c>
      <c r="P59" s="6">
        <f>'Slide1_Equities'!$Z$8</f>
        <v/>
      </c>
      <c r="Q59" s="6">
        <f>'Slide1_Equities'!$Z$8+'Slide1_Equities'!$Z$9</f>
        <v/>
      </c>
      <c r="R59" s="6">
        <f>'Slide1_Equities'!$Z$8-'Slide1_Equities'!$Z$9</f>
        <v/>
      </c>
    </row>
    <row r="60">
      <c r="A60" s="5" t="inlineStr">
        <is>
          <t>2024-06</t>
        </is>
      </c>
      <c r="B60" s="6" t="n">
        <v>17.6</v>
      </c>
      <c r="C60" s="6" t="n">
        <v>1.3</v>
      </c>
      <c r="D60" s="6" t="n">
        <v>169.26</v>
      </c>
      <c r="E60" s="6">
        <f>IFERROR(100/$B60,"")</f>
        <v/>
      </c>
      <c r="F60" s="16" t="n">
        <v>1.062</v>
      </c>
      <c r="G60" s="6">
        <f>IFERROR($E60-$F60,"")</f>
        <v/>
      </c>
      <c r="H60" s="7">
        <f>IFERROR(($D60/$D48-1)*100,"")</f>
        <v/>
      </c>
      <c r="I60" s="6" t="n">
        <v>236.7</v>
      </c>
      <c r="J60" s="6" t="n">
        <v>168.76</v>
      </c>
      <c r="K60" s="6" t="n">
        <v>198.95</v>
      </c>
      <c r="L60" s="6" t="n">
        <v>135.96</v>
      </c>
      <c r="M60" s="6" t="n">
        <v>337.29</v>
      </c>
      <c r="N60" s="6" t="n">
        <v>181.15</v>
      </c>
      <c r="P60" s="6">
        <f>'Slide1_Equities'!$Z$8</f>
        <v/>
      </c>
      <c r="Q60" s="6">
        <f>'Slide1_Equities'!$Z$8+'Slide1_Equities'!$Z$9</f>
        <v/>
      </c>
      <c r="R60" s="6">
        <f>'Slide1_Equities'!$Z$8-'Slide1_Equities'!$Z$9</f>
        <v/>
      </c>
    </row>
    <row r="61">
      <c r="A61" s="5" t="inlineStr">
        <is>
          <t>2024-07</t>
        </is>
      </c>
      <c r="B61" s="6" t="n">
        <v>17.5</v>
      </c>
      <c r="C61" s="6" t="n">
        <v>1.3</v>
      </c>
      <c r="D61" s="6" t="n">
        <v>168.77</v>
      </c>
      <c r="E61" s="6">
        <f>IFERROR(100/$B61,"")</f>
        <v/>
      </c>
      <c r="F61" s="16" t="n">
        <v>1.068</v>
      </c>
      <c r="G61" s="6">
        <f>IFERROR($E61-$F61,"")</f>
        <v/>
      </c>
      <c r="H61" s="7">
        <f>IFERROR(($D61/$D49-1)*100,"")</f>
        <v/>
      </c>
      <c r="I61" s="6" t="n">
        <v>236.74</v>
      </c>
      <c r="J61" s="6" t="n">
        <v>165.99</v>
      </c>
      <c r="K61" s="6" t="n">
        <v>198.95</v>
      </c>
      <c r="L61" s="6" t="n">
        <v>135.97</v>
      </c>
      <c r="M61" s="6" t="n">
        <v>336.92</v>
      </c>
      <c r="N61" s="6" t="n">
        <v>182.1</v>
      </c>
      <c r="P61" s="6">
        <f>'Slide1_Equities'!$Z$8</f>
        <v/>
      </c>
      <c r="Q61" s="6">
        <f>'Slide1_Equities'!$Z$8+'Slide1_Equities'!$Z$9</f>
        <v/>
      </c>
      <c r="R61" s="6">
        <f>'Slide1_Equities'!$Z$8-'Slide1_Equities'!$Z$9</f>
        <v/>
      </c>
    </row>
    <row r="62">
      <c r="A62" s="5" t="inlineStr">
        <is>
          <t>2024-08</t>
        </is>
      </c>
      <c r="B62" s="6" t="n">
        <v>16.9</v>
      </c>
      <c r="C62" s="6" t="n">
        <v>1.2</v>
      </c>
      <c r="D62" s="6" t="n">
        <v>169.32</v>
      </c>
      <c r="E62" s="6">
        <f>IFERROR(100/$B62,"")</f>
        <v/>
      </c>
      <c r="F62" s="16" t="n">
        <v>0.922</v>
      </c>
      <c r="G62" s="6">
        <f>IFERROR($E62-$F62,"")</f>
        <v/>
      </c>
      <c r="H62" s="7">
        <f>IFERROR(($D62/$D50-1)*100,"")</f>
        <v/>
      </c>
      <c r="I62" s="6" t="n">
        <v>227.89</v>
      </c>
      <c r="J62" s="6" t="n">
        <v>164.97</v>
      </c>
      <c r="K62" s="6" t="n">
        <v>199.71</v>
      </c>
      <c r="L62" s="6" t="n">
        <v>136.2</v>
      </c>
      <c r="M62" s="6" t="n">
        <v>336.6</v>
      </c>
      <c r="N62" s="6" t="n">
        <v>182.11</v>
      </c>
      <c r="P62" s="6">
        <f>'Slide1_Equities'!$Z$8</f>
        <v/>
      </c>
      <c r="Q62" s="6">
        <f>'Slide1_Equities'!$Z$8+'Slide1_Equities'!$Z$9</f>
        <v/>
      </c>
      <c r="R62" s="6">
        <f>'Slide1_Equities'!$Z$8-'Slide1_Equities'!$Z$9</f>
        <v/>
      </c>
    </row>
    <row r="63">
      <c r="A63" s="5" t="inlineStr">
        <is>
          <t>2024-09</t>
        </is>
      </c>
      <c r="B63" s="6" t="n">
        <v>16.7</v>
      </c>
      <c r="C63" s="6" t="n">
        <v>1.2</v>
      </c>
      <c r="D63" s="6" t="n">
        <v>162.16</v>
      </c>
      <c r="E63" s="6">
        <f>IFERROR(100/$B63,"")</f>
        <v/>
      </c>
      <c r="F63" s="16" t="n">
        <v>0.849</v>
      </c>
      <c r="G63" s="6">
        <f>IFERROR($E63-$F63,"")</f>
        <v/>
      </c>
      <c r="H63" s="7">
        <f>IFERROR(($D63/$D51-1)*100,"")</f>
        <v/>
      </c>
      <c r="I63" s="6" t="n">
        <v>219.65</v>
      </c>
      <c r="J63" s="6" t="n">
        <v>156.35</v>
      </c>
      <c r="K63" s="6" t="n">
        <v>194.4</v>
      </c>
      <c r="L63" s="6" t="n">
        <v>125.19</v>
      </c>
      <c r="M63" s="6" t="n">
        <v>335.09</v>
      </c>
      <c r="N63" s="6" t="n">
        <v>171.75</v>
      </c>
      <c r="P63" s="6">
        <f>'Slide1_Equities'!$Z$8</f>
        <v/>
      </c>
      <c r="Q63" s="6">
        <f>'Slide1_Equities'!$Z$8+'Slide1_Equities'!$Z$9</f>
        <v/>
      </c>
      <c r="R63" s="6">
        <f>'Slide1_Equities'!$Z$8-'Slide1_Equities'!$Z$9</f>
        <v/>
      </c>
    </row>
    <row r="64">
      <c r="A64" s="5" t="inlineStr">
        <is>
          <t>2024-10</t>
        </is>
      </c>
      <c r="B64" s="6" t="n">
        <v>16.8</v>
      </c>
      <c r="C64" s="6" t="n">
        <v>1.2</v>
      </c>
      <c r="D64" s="6" t="n">
        <v>162.36</v>
      </c>
      <c r="E64" s="6">
        <f>IFERROR(100/$B64,"")</f>
        <v/>
      </c>
      <c r="F64" s="16" t="n">
        <v>0.955</v>
      </c>
      <c r="G64" s="6">
        <f>IFERROR($E64-$F64,"")</f>
        <v/>
      </c>
      <c r="H64" s="7">
        <f>IFERROR(($D64/$D52-1)*100,"")</f>
        <v/>
      </c>
      <c r="I64" s="6" t="n">
        <v>219.76</v>
      </c>
      <c r="J64" s="6" t="n">
        <v>156.37</v>
      </c>
      <c r="K64" s="6" t="n">
        <v>194.44</v>
      </c>
      <c r="L64" s="6" t="n">
        <v>125.75</v>
      </c>
      <c r="M64" s="6" t="n">
        <v>333.52</v>
      </c>
      <c r="N64" s="6" t="n">
        <v>171.82</v>
      </c>
      <c r="P64" s="6">
        <f>'Slide1_Equities'!$Z$8</f>
        <v/>
      </c>
      <c r="Q64" s="6">
        <f>'Slide1_Equities'!$Z$8+'Slide1_Equities'!$Z$9</f>
        <v/>
      </c>
      <c r="R64" s="6">
        <f>'Slide1_Equities'!$Z$8-'Slide1_Equities'!$Z$9</f>
        <v/>
      </c>
    </row>
    <row r="65">
      <c r="A65" s="5" t="inlineStr">
        <is>
          <t>2024-11</t>
        </is>
      </c>
      <c r="B65" s="6" t="n">
        <v>16.6</v>
      </c>
      <c r="C65" s="6" t="n">
        <v>1.2</v>
      </c>
      <c r="D65" s="6" t="n">
        <v>162.22</v>
      </c>
      <c r="E65" s="6">
        <f>IFERROR(100/$B65,"")</f>
        <v/>
      </c>
      <c r="F65" s="16" t="n">
        <v>1.064</v>
      </c>
      <c r="G65" s="6">
        <f>IFERROR($E65-$F65,"")</f>
        <v/>
      </c>
      <c r="H65" s="7">
        <f>IFERROR(($D65/$D53-1)*100,"")</f>
        <v/>
      </c>
      <c r="I65" s="6" t="n">
        <v>218.51</v>
      </c>
      <c r="J65" s="6" t="n">
        <v>156.31</v>
      </c>
      <c r="K65" s="6" t="n">
        <v>187.75</v>
      </c>
      <c r="L65" s="6" t="n">
        <v>125.75</v>
      </c>
      <c r="M65" s="6" t="n">
        <v>333.51</v>
      </c>
      <c r="N65" s="6" t="n">
        <v>171.84</v>
      </c>
      <c r="P65" s="6">
        <f>'Slide1_Equities'!$Z$8</f>
        <v/>
      </c>
      <c r="Q65" s="6">
        <f>'Slide1_Equities'!$Z$8+'Slide1_Equities'!$Z$9</f>
        <v/>
      </c>
      <c r="R65" s="6">
        <f>'Slide1_Equities'!$Z$8-'Slide1_Equities'!$Z$9</f>
        <v/>
      </c>
    </row>
    <row r="66">
      <c r="A66" s="5" t="inlineStr">
        <is>
          <t>2024-12</t>
        </is>
      </c>
      <c r="B66" s="6" t="n">
        <v>17</v>
      </c>
      <c r="C66" s="6" t="n">
        <v>1.2</v>
      </c>
      <c r="D66" s="6" t="n">
        <v>161.79</v>
      </c>
      <c r="E66" s="6">
        <f>IFERROR(100/$B66,"")</f>
        <v/>
      </c>
      <c r="F66" s="16" t="n">
        <v>1.119</v>
      </c>
      <c r="G66" s="6">
        <f>IFERROR($E66-$F66,"")</f>
        <v/>
      </c>
      <c r="H66" s="7">
        <f>IFERROR(($D66/$D54-1)*100,"")</f>
        <v/>
      </c>
      <c r="I66" s="6" t="n">
        <v>215.19</v>
      </c>
      <c r="J66" s="6" t="n">
        <v>155.97</v>
      </c>
      <c r="K66" s="6" t="n">
        <v>188</v>
      </c>
      <c r="L66" s="6" t="n">
        <v>125.96</v>
      </c>
      <c r="M66" s="6" t="n">
        <v>333.51</v>
      </c>
      <c r="N66" s="6" t="n">
        <v>171.88</v>
      </c>
      <c r="P66" s="6">
        <f>'Slide1_Equities'!$Z$8</f>
        <v/>
      </c>
      <c r="Q66" s="6">
        <f>'Slide1_Equities'!$Z$8+'Slide1_Equities'!$Z$9</f>
        <v/>
      </c>
      <c r="R66" s="6">
        <f>'Slide1_Equities'!$Z$8-'Slide1_Equities'!$Z$9</f>
        <v/>
      </c>
    </row>
    <row r="67">
      <c r="A67" s="5" t="inlineStr">
        <is>
          <t>2025-01</t>
        </is>
      </c>
      <c r="B67" s="6" t="n">
        <v>16.9</v>
      </c>
      <c r="C67" s="6" t="n">
        <v>1.2</v>
      </c>
      <c r="D67" s="6" t="n">
        <v>161.46</v>
      </c>
      <c r="E67" s="6">
        <f>IFERROR(100/$B67,"")</f>
        <v/>
      </c>
      <c r="F67" s="16" t="n">
        <v>1.25</v>
      </c>
      <c r="G67" s="6">
        <f>IFERROR($E67-$F67,"")</f>
        <v/>
      </c>
      <c r="H67" s="7">
        <f>IFERROR(($D67/$D55-1)*100,"")</f>
        <v/>
      </c>
      <c r="I67" s="6" t="n">
        <v>216.05</v>
      </c>
      <c r="J67" s="6" t="n">
        <v>151.35</v>
      </c>
      <c r="K67" s="6" t="n">
        <v>188.05</v>
      </c>
      <c r="L67" s="6" t="n">
        <v>125.78</v>
      </c>
      <c r="M67" s="6" t="n">
        <v>333.51</v>
      </c>
      <c r="N67" s="6" t="n">
        <v>171.98</v>
      </c>
      <c r="P67" s="6">
        <f>'Slide1_Equities'!$Z$8</f>
        <v/>
      </c>
      <c r="Q67" s="6">
        <f>'Slide1_Equities'!$Z$8+'Slide1_Equities'!$Z$9</f>
        <v/>
      </c>
      <c r="R67" s="6">
        <f>'Slide1_Equities'!$Z$8-'Slide1_Equities'!$Z$9</f>
        <v/>
      </c>
    </row>
    <row r="68">
      <c r="A68" s="5" t="inlineStr">
        <is>
          <t>2025-02</t>
        </is>
      </c>
      <c r="B68" s="6" t="n">
        <v>16.3</v>
      </c>
      <c r="C68" s="6" t="n">
        <v>1.2</v>
      </c>
      <c r="D68" s="6" t="n">
        <v>161.32</v>
      </c>
      <c r="E68" s="6">
        <f>IFERROR(100/$B68,"")</f>
        <v/>
      </c>
      <c r="F68" s="16" t="n">
        <v>1.378</v>
      </c>
      <c r="G68" s="6">
        <f>IFERROR($E68-$F68,"")</f>
        <v/>
      </c>
      <c r="H68" s="7">
        <f>IFERROR(($D68/$D56-1)*100,"")</f>
        <v/>
      </c>
      <c r="I68" s="6" t="n">
        <v>214.86</v>
      </c>
      <c r="J68" s="6" t="n">
        <v>153.29</v>
      </c>
      <c r="K68" s="6" t="n">
        <v>187.6</v>
      </c>
      <c r="L68" s="6" t="n">
        <v>126.1</v>
      </c>
      <c r="M68" s="6" t="n">
        <v>333.51</v>
      </c>
      <c r="N68" s="6" t="n">
        <v>172.03</v>
      </c>
      <c r="P68" s="6">
        <f>'Slide1_Equities'!$Z$8</f>
        <v/>
      </c>
      <c r="Q68" s="6">
        <f>'Slide1_Equities'!$Z$8+'Slide1_Equities'!$Z$9</f>
        <v/>
      </c>
      <c r="R68" s="6">
        <f>'Slide1_Equities'!$Z$8-'Slide1_Equities'!$Z$9</f>
        <v/>
      </c>
    </row>
    <row r="69">
      <c r="A69" s="5" t="inlineStr">
        <is>
          <t>2025-03</t>
        </is>
      </c>
      <c r="B69" s="6" t="n">
        <v>16.2</v>
      </c>
      <c r="C69" s="6" t="n">
        <v>1.2</v>
      </c>
      <c r="D69" s="6" t="n">
        <v>159.54</v>
      </c>
      <c r="E69" s="6">
        <f>IFERROR(100/$B69,"")</f>
        <v/>
      </c>
      <c r="F69" s="16" t="n">
        <v>1.551</v>
      </c>
      <c r="G69" s="6">
        <f>IFERROR($E69-$F69,"")</f>
        <v/>
      </c>
      <c r="H69" s="7">
        <f>IFERROR(($D69/$D57-1)*100,"")</f>
        <v/>
      </c>
      <c r="I69" s="6" t="n">
        <v>212.62</v>
      </c>
      <c r="J69" s="6" t="n">
        <v>148.99</v>
      </c>
      <c r="K69" s="6" t="n">
        <v>190.56</v>
      </c>
      <c r="L69" s="6" t="n">
        <v>136.06</v>
      </c>
      <c r="M69" s="6" t="n">
        <v>333.11</v>
      </c>
      <c r="N69" s="6" t="n">
        <v>172.33</v>
      </c>
      <c r="P69" s="6">
        <f>'Slide1_Equities'!$Z$8</f>
        <v/>
      </c>
      <c r="Q69" s="6">
        <f>'Slide1_Equities'!$Z$8+'Slide1_Equities'!$Z$9</f>
        <v/>
      </c>
      <c r="R69" s="6">
        <f>'Slide1_Equities'!$Z$8-'Slide1_Equities'!$Z$9</f>
        <v/>
      </c>
    </row>
    <row r="70">
      <c r="A70" s="5" t="inlineStr">
        <is>
          <t>2025-04</t>
        </is>
      </c>
      <c r="B70" s="6" t="n">
        <v>16.3</v>
      </c>
      <c r="C70" s="6" t="n">
        <v>1.2</v>
      </c>
      <c r="D70" s="6" t="n">
        <v>159.65</v>
      </c>
      <c r="E70" s="6">
        <f>IFERROR(100/$B70,"")</f>
        <v/>
      </c>
      <c r="F70" s="16" t="n">
        <v>1.347</v>
      </c>
      <c r="G70" s="6">
        <f>IFERROR($E70-$F70,"")</f>
        <v/>
      </c>
      <c r="H70" s="7">
        <f>IFERROR(($D70/$D58-1)*100,"")</f>
        <v/>
      </c>
      <c r="I70" s="6" t="n">
        <v>210.91</v>
      </c>
      <c r="J70" s="6" t="n">
        <v>148.71</v>
      </c>
      <c r="K70" s="6" t="n">
        <v>191.12</v>
      </c>
      <c r="L70" s="6" t="n">
        <v>137.06</v>
      </c>
      <c r="M70" s="6" t="n">
        <v>342.58</v>
      </c>
      <c r="N70" s="6" t="n">
        <v>172.7</v>
      </c>
      <c r="P70" s="6">
        <f>'Slide1_Equities'!$Z$8</f>
        <v/>
      </c>
      <c r="Q70" s="6">
        <f>'Slide1_Equities'!$Z$8+'Slide1_Equities'!$Z$9</f>
        <v/>
      </c>
      <c r="R70" s="6">
        <f>'Slide1_Equities'!$Z$8-'Slide1_Equities'!$Z$9</f>
        <v/>
      </c>
    </row>
    <row r="71">
      <c r="A71" s="5" t="inlineStr">
        <is>
          <t>2025-05</t>
        </is>
      </c>
      <c r="B71" s="6" t="n">
        <v>16.9</v>
      </c>
      <c r="C71" s="6" t="n">
        <v>1.2</v>
      </c>
      <c r="D71" s="6" t="n">
        <v>159.44</v>
      </c>
      <c r="E71" s="6">
        <f>IFERROR(100/$B71,"")</f>
        <v/>
      </c>
      <c r="F71" s="16" t="n">
        <v>1.518</v>
      </c>
      <c r="G71" s="6">
        <f>IFERROR($E71-$F71,"")</f>
        <v/>
      </c>
      <c r="H71" s="7">
        <f>IFERROR(($D71/$D59-1)*100,"")</f>
        <v/>
      </c>
      <c r="I71" s="6" t="n">
        <v>212.46</v>
      </c>
      <c r="J71" s="6" t="n">
        <v>150.33</v>
      </c>
      <c r="K71" s="6" t="n">
        <v>191.73</v>
      </c>
      <c r="L71" s="6" t="n">
        <v>137.07</v>
      </c>
      <c r="M71" s="6" t="n">
        <v>338.37</v>
      </c>
      <c r="N71" s="6" t="n">
        <v>172.83</v>
      </c>
      <c r="P71" s="6">
        <f>'Slide1_Equities'!$Z$8</f>
        <v/>
      </c>
      <c r="Q71" s="6">
        <f>'Slide1_Equities'!$Z$8+'Slide1_Equities'!$Z$9</f>
        <v/>
      </c>
      <c r="R71" s="6">
        <f>'Slide1_Equities'!$Z$8-'Slide1_Equities'!$Z$9</f>
        <v/>
      </c>
    </row>
    <row r="72">
      <c r="A72" s="5" t="inlineStr">
        <is>
          <t>2025-06</t>
        </is>
      </c>
      <c r="B72" s="6" t="n">
        <v>15.5</v>
      </c>
      <c r="C72" s="6" t="n">
        <v>1.2</v>
      </c>
      <c r="D72" s="6" t="n">
        <v>177.62</v>
      </c>
      <c r="E72" s="6">
        <f>IFERROR(100/$B72,"")</f>
        <v/>
      </c>
      <c r="F72" s="16" t="n">
        <v>1.459</v>
      </c>
      <c r="G72" s="6">
        <f>IFERROR($E72-$F72,"")</f>
        <v/>
      </c>
      <c r="H72" s="7">
        <f>IFERROR(($D72/$D60-1)*100,"")</f>
        <v/>
      </c>
      <c r="I72" s="6" t="n">
        <v>205.99</v>
      </c>
      <c r="J72" s="6" t="n">
        <v>205.17</v>
      </c>
      <c r="K72" s="6" t="n">
        <v>180.09</v>
      </c>
      <c r="L72" s="6" t="n">
        <v>164.74</v>
      </c>
      <c r="M72" s="6" t="n">
        <v>276.31</v>
      </c>
      <c r="N72" s="6" t="n">
        <v>237.45</v>
      </c>
      <c r="P72" s="6">
        <f>'Slide1_Equities'!$Z$8</f>
        <v/>
      </c>
      <c r="Q72" s="6">
        <f>'Slide1_Equities'!$Z$8+'Slide1_Equities'!$Z$9</f>
        <v/>
      </c>
      <c r="R72" s="6">
        <f>'Slide1_Equities'!$Z$8-'Slide1_Equities'!$Z$9</f>
        <v/>
      </c>
    </row>
    <row r="73">
      <c r="A73" s="5" t="inlineStr">
        <is>
          <t>2025-07</t>
        </is>
      </c>
      <c r="B73" s="6" t="n">
        <v>16.1</v>
      </c>
      <c r="C73" s="6" t="n">
        <v>1.3</v>
      </c>
      <c r="D73" s="6" t="n">
        <v>178.11</v>
      </c>
      <c r="E73" s="6">
        <f>IFERROR(100/$B73,"")</f>
        <v/>
      </c>
      <c r="F73" s="16" t="n">
        <v>1.605</v>
      </c>
      <c r="G73" s="6">
        <f>IFERROR($E73-$F73,"")</f>
        <v/>
      </c>
      <c r="H73" s="7">
        <f>IFERROR(($D73/$D61-1)*100,"")</f>
        <v/>
      </c>
      <c r="I73" s="6" t="n">
        <v>205.99</v>
      </c>
      <c r="J73" s="6" t="n">
        <v>205.21</v>
      </c>
      <c r="K73" s="6" t="n">
        <v>180.61</v>
      </c>
      <c r="L73" s="6" t="n">
        <v>165.89</v>
      </c>
      <c r="M73" s="6" t="n">
        <v>276.31</v>
      </c>
      <c r="N73" s="6" t="n">
        <v>237.45</v>
      </c>
      <c r="P73" s="6">
        <f>'Slide1_Equities'!$Z$8</f>
        <v/>
      </c>
      <c r="Q73" s="6">
        <f>'Slide1_Equities'!$Z$8+'Slide1_Equities'!$Z$9</f>
        <v/>
      </c>
      <c r="R73" s="6">
        <f>'Slide1_Equities'!$Z$8-'Slide1_Equities'!$Z$9</f>
        <v/>
      </c>
    </row>
    <row r="74">
      <c r="A74" s="5" t="inlineStr">
        <is>
          <t>2025-08</t>
        </is>
      </c>
      <c r="B74" s="6" t="n">
        <v>16.8</v>
      </c>
      <c r="C74" s="6" t="n">
        <v>1.3</v>
      </c>
      <c r="D74" s="6" t="n">
        <v>176.1</v>
      </c>
      <c r="E74" s="6">
        <f>IFERROR(100/$B74,"")</f>
        <v/>
      </c>
      <c r="F74" s="16" t="n">
        <v>1.613</v>
      </c>
      <c r="G74" s="6">
        <f>IFERROR($E74-$F74,"")</f>
        <v/>
      </c>
      <c r="H74" s="7">
        <f>IFERROR(($D74/$D62-1)*100,"")</f>
        <v/>
      </c>
      <c r="I74" s="6" t="n">
        <v>206.01</v>
      </c>
      <c r="J74" s="6" t="n">
        <v>206.09</v>
      </c>
      <c r="K74" s="6" t="n">
        <v>180.61</v>
      </c>
      <c r="L74" s="6" t="n">
        <v>166.23</v>
      </c>
      <c r="M74" s="6" t="n">
        <v>276.31</v>
      </c>
      <c r="N74" s="6" t="n">
        <v>237.44</v>
      </c>
      <c r="P74" s="6">
        <f>'Slide1_Equities'!$Z$8</f>
        <v/>
      </c>
      <c r="Q74" s="6">
        <f>'Slide1_Equities'!$Z$8+'Slide1_Equities'!$Z$9</f>
        <v/>
      </c>
      <c r="R74" s="6">
        <f>'Slide1_Equities'!$Z$8-'Slide1_Equities'!$Z$9</f>
        <v/>
      </c>
    </row>
    <row r="75">
      <c r="A75" s="5" t="inlineStr">
        <is>
          <t>2025-09</t>
        </is>
      </c>
      <c r="B75" s="6" t="n">
        <v>17</v>
      </c>
      <c r="C75" s="6" t="n">
        <v>1.3</v>
      </c>
      <c r="D75" s="6" t="n">
        <v>170.14</v>
      </c>
      <c r="E75" s="6">
        <f>IFERROR(100/$B75,"")</f>
        <v/>
      </c>
      <c r="F75" s="16" t="n">
        <v>1.669</v>
      </c>
      <c r="G75" s="6">
        <f>IFERROR($E75-$F75,"")</f>
        <v/>
      </c>
      <c r="H75" s="7">
        <f>IFERROR(($D75/$D63-1)*100,"")</f>
        <v/>
      </c>
      <c r="I75" s="6" t="n">
        <v>198.15</v>
      </c>
      <c r="J75" s="6" t="n">
        <v>205.28</v>
      </c>
      <c r="K75" s="6" t="n">
        <v>180.61</v>
      </c>
      <c r="L75" s="6" t="n">
        <v>159.56</v>
      </c>
      <c r="M75" s="6" t="n">
        <v>243.9</v>
      </c>
      <c r="N75" s="6" t="n">
        <v>220.91</v>
      </c>
      <c r="P75" s="6">
        <f>'Slide1_Equities'!$Z$8</f>
        <v/>
      </c>
      <c r="Q75" s="6">
        <f>'Slide1_Equities'!$Z$8+'Slide1_Equities'!$Z$9</f>
        <v/>
      </c>
      <c r="R75" s="6">
        <f>'Slide1_Equities'!$Z$8-'Slide1_Equities'!$Z$9</f>
        <v/>
      </c>
    </row>
    <row r="76">
      <c r="A76" s="5" t="inlineStr">
        <is>
          <t>2025-10</t>
        </is>
      </c>
      <c r="B76" s="6" t="n">
        <v>17.5</v>
      </c>
      <c r="C76" s="6" t="n">
        <v>1.4</v>
      </c>
      <c r="D76" s="6" t="n">
        <v>170.21</v>
      </c>
      <c r="E76" s="6">
        <f>IFERROR(100/$B76,"")</f>
        <v/>
      </c>
      <c r="F76" s="16" t="n">
        <v>1.67</v>
      </c>
      <c r="G76" s="6">
        <f>IFERROR($E76-$F76,"")</f>
        <v/>
      </c>
      <c r="H76" s="7">
        <f>IFERROR(($D76/$D64-1)*100,"")</f>
        <v/>
      </c>
      <c r="I76" s="6" t="n">
        <v>198.44</v>
      </c>
      <c r="J76" s="6" t="n">
        <v>205.35</v>
      </c>
      <c r="K76" s="6" t="n">
        <v>180.61</v>
      </c>
      <c r="L76" s="6" t="n">
        <v>158.43</v>
      </c>
      <c r="M76" s="6" t="n">
        <v>244.84</v>
      </c>
      <c r="N76" s="6" t="n">
        <v>221.06</v>
      </c>
      <c r="P76" s="6">
        <f>'Slide1_Equities'!$Z$8</f>
        <v/>
      </c>
      <c r="Q76" s="6">
        <f>'Slide1_Equities'!$Z$8+'Slide1_Equities'!$Z$9</f>
        <v/>
      </c>
      <c r="R76" s="6">
        <f>'Slide1_Equities'!$Z$8-'Slide1_Equities'!$Z$9</f>
        <v/>
      </c>
    </row>
    <row r="77">
      <c r="A77" s="5" t="inlineStr">
        <is>
          <t>2025-11</t>
        </is>
      </c>
      <c r="B77" s="6" t="n">
        <v>17.9</v>
      </c>
      <c r="C77" s="6" t="n">
        <v>1.4</v>
      </c>
      <c r="D77" s="6" t="n">
        <v>171.3</v>
      </c>
      <c r="E77" s="6">
        <f>IFERROR(100/$B77,"")</f>
        <v/>
      </c>
      <c r="F77" s="16" t="n">
        <v>1.812</v>
      </c>
      <c r="G77" s="6">
        <f>IFERROR($E77-$F77,"")</f>
        <v/>
      </c>
      <c r="H77" s="7">
        <f>IFERROR(($D77/$D65-1)*100,"")</f>
        <v/>
      </c>
      <c r="I77" s="6" t="n">
        <v>200.36</v>
      </c>
      <c r="J77" s="6" t="n">
        <v>210.87</v>
      </c>
      <c r="K77" s="6" t="n">
        <v>180.61</v>
      </c>
      <c r="L77" s="6" t="n">
        <v>157.73</v>
      </c>
      <c r="M77" s="6" t="n">
        <v>244.84</v>
      </c>
      <c r="N77" s="6" t="n">
        <v>221.06</v>
      </c>
      <c r="P77" s="6">
        <f>'Slide1_Equities'!$Z$8</f>
        <v/>
      </c>
      <c r="Q77" s="6">
        <f>'Slide1_Equities'!$Z$8+'Slide1_Equities'!$Z$9</f>
        <v/>
      </c>
      <c r="R77" s="6">
        <f>'Slide1_Equities'!$Z$8-'Slide1_Equities'!$Z$9</f>
        <v/>
      </c>
    </row>
    <row r="78">
      <c r="A78" s="5" t="inlineStr">
        <is>
          <t>2025-12</t>
        </is>
      </c>
      <c r="B78" s="6" t="n">
        <v>18</v>
      </c>
      <c r="C78" s="6" t="n">
        <v>1.4</v>
      </c>
      <c r="D78" s="6" t="n">
        <v>169.17</v>
      </c>
      <c r="E78" s="6">
        <f>IFERROR(100/$B78,"")</f>
        <v/>
      </c>
      <c r="F78" s="16" t="n">
        <v>2.039</v>
      </c>
      <c r="G78" s="6">
        <f>IFERROR($E78-$F78,"")</f>
        <v/>
      </c>
      <c r="H78" s="7">
        <f>IFERROR(($D78/$D66-1)*100,"")</f>
        <v/>
      </c>
      <c r="I78" s="6" t="n">
        <v>197.86</v>
      </c>
      <c r="J78" s="6" t="n">
        <v>209.29</v>
      </c>
      <c r="K78" s="6" t="n">
        <v>182.99</v>
      </c>
      <c r="L78" s="6" t="n">
        <v>158.17</v>
      </c>
      <c r="M78" s="6" t="n">
        <v>246.03</v>
      </c>
      <c r="N78" s="6" t="n">
        <v>221.16</v>
      </c>
      <c r="P78" s="6">
        <f>'Slide1_Equities'!$Z$8</f>
        <v/>
      </c>
      <c r="Q78" s="6">
        <f>'Slide1_Equities'!$Z$8+'Slide1_Equities'!$Z$9</f>
        <v/>
      </c>
      <c r="R78" s="6">
        <f>'Slide1_Equities'!$Z$8-'Slide1_Equities'!$Z$9</f>
        <v/>
      </c>
    </row>
    <row r="79">
      <c r="A79" s="5" t="inlineStr">
        <is>
          <t>2026-01</t>
        </is>
      </c>
      <c r="B79" s="6" t="n">
        <v>18.8</v>
      </c>
      <c r="C79" s="6" t="n">
        <v>1.5</v>
      </c>
      <c r="D79" s="6" t="n">
        <v>168.63</v>
      </c>
      <c r="E79" s="6">
        <f>IFERROR(100/$B79,"")</f>
        <v/>
      </c>
      <c r="F79" s="16" t="n">
        <v>2.247</v>
      </c>
      <c r="G79" s="6">
        <f>IFERROR($E79-$F79,"")</f>
        <v/>
      </c>
      <c r="H79" s="7">
        <f>IFERROR(($D79/$D67-1)*100,"")</f>
        <v/>
      </c>
      <c r="I79" s="6" t="n">
        <v>198.24</v>
      </c>
      <c r="J79" s="6" t="n">
        <v>209.48</v>
      </c>
      <c r="K79" s="6" t="n">
        <v>182.99</v>
      </c>
      <c r="L79" s="6" t="n">
        <v>157.74</v>
      </c>
      <c r="M79" s="6" t="n">
        <v>246.03</v>
      </c>
      <c r="N79" s="6" t="n">
        <v>219.37</v>
      </c>
      <c r="P79" s="6">
        <f>'Slide1_Equities'!$Z$8</f>
        <v/>
      </c>
      <c r="Q79" s="6">
        <f>'Slide1_Equities'!$Z$8+'Slide1_Equities'!$Z$9</f>
        <v/>
      </c>
      <c r="R79" s="6">
        <f>'Slide1_Equities'!$Z$8-'Slide1_Equities'!$Z$9</f>
        <v/>
      </c>
    </row>
    <row r="80">
      <c r="A80" s="5" t="inlineStr">
        <is>
          <t>2026-02</t>
        </is>
      </c>
      <c r="B80" s="6" t="n">
        <v>21</v>
      </c>
      <c r="C80" s="6" t="n">
        <v>1.7</v>
      </c>
      <c r="D80" s="6" t="n">
        <v>168.31</v>
      </c>
      <c r="E80" s="6">
        <f>IFERROR(100/$B80,"")</f>
        <v/>
      </c>
      <c r="F80" s="16" t="n">
        <v>2.132</v>
      </c>
      <c r="G80" s="6">
        <f>IFERROR($E80-$F80,"")</f>
        <v/>
      </c>
      <c r="H80" s="7">
        <f>IFERROR(($D80/$D68-1)*100,"")</f>
        <v/>
      </c>
      <c r="I80" s="6" t="n">
        <v>197.67</v>
      </c>
      <c r="J80" s="6" t="n">
        <v>204.69</v>
      </c>
      <c r="K80" s="6" t="n">
        <v>183.24</v>
      </c>
      <c r="L80" s="6" t="n">
        <v>159.86</v>
      </c>
      <c r="M80" s="6" t="n">
        <v>246.03</v>
      </c>
      <c r="N80" s="6" t="n">
        <v>219.37</v>
      </c>
      <c r="P80" s="6">
        <f>'Slide1_Equities'!$Z$8</f>
        <v/>
      </c>
      <c r="Q80" s="6">
        <f>'Slide1_Equities'!$Z$8+'Slide1_Equities'!$Z$9</f>
        <v/>
      </c>
      <c r="R80" s="6">
        <f>'Slide1_Equities'!$Z$8-'Slide1_Equities'!$Z$9</f>
        <v/>
      </c>
    </row>
    <row r="81">
      <c r="A81" s="5" t="inlineStr">
        <is>
          <t>2026-03</t>
        </is>
      </c>
      <c r="B81" s="6" t="n">
        <v>18.6</v>
      </c>
      <c r="C81" s="6" t="n">
        <v>1.5</v>
      </c>
      <c r="D81" s="6" t="n">
        <v>162.41</v>
      </c>
      <c r="E81" s="6">
        <f>IFERROR(100/$B81,"")</f>
        <v/>
      </c>
      <c r="F81" s="16" t="n">
        <v>2.38</v>
      </c>
      <c r="G81" s="6">
        <f>IFERROR($E81-$F81,"")</f>
        <v/>
      </c>
      <c r="H81" s="7">
        <f>IFERROR(($D81/$D69-1)*100,"")</f>
        <v/>
      </c>
      <c r="I81" s="6" t="n">
        <v>196.81</v>
      </c>
      <c r="J81" s="6" t="n">
        <v>202.84</v>
      </c>
      <c r="K81" s="6" t="n">
        <v>172.72</v>
      </c>
      <c r="L81" s="6" t="n">
        <v>148.47</v>
      </c>
      <c r="M81" s="6" t="n">
        <v>206.77</v>
      </c>
      <c r="N81" s="6" t="n">
        <v>168.55</v>
      </c>
      <c r="P81" s="6">
        <f>'Slide1_Equities'!$Z$8</f>
        <v/>
      </c>
      <c r="Q81" s="6">
        <f>'Slide1_Equities'!$Z$8+'Slide1_Equities'!$Z$9</f>
        <v/>
      </c>
      <c r="R81" s="6">
        <f>'Slide1_Equities'!$Z$8-'Slide1_Equities'!$Z$9</f>
        <v/>
      </c>
    </row>
    <row r="82">
      <c r="A82" s="5" t="inlineStr">
        <is>
          <t>2026-04</t>
        </is>
      </c>
      <c r="B82" s="6" t="n">
        <v>20.1</v>
      </c>
      <c r="C82" s="6" t="n">
        <v>1.6</v>
      </c>
      <c r="D82" s="6" t="n">
        <v>162.31</v>
      </c>
      <c r="E82" s="6">
        <f>IFERROR(100/$B82,"")</f>
        <v/>
      </c>
      <c r="F82" s="16" t="n">
        <v>2.443</v>
      </c>
      <c r="G82" s="6">
        <f>IFERROR($E82-$F82,"")</f>
        <v/>
      </c>
      <c r="H82" s="7">
        <f>IFERROR(($D82/$D70-1)*100,"")</f>
        <v/>
      </c>
      <c r="I82" s="6" t="n">
        <v>197.01</v>
      </c>
      <c r="J82" s="6" t="n">
        <v>202.95</v>
      </c>
      <c r="K82" s="6" t="n">
        <v>172.75</v>
      </c>
      <c r="L82" s="6" t="n">
        <v>149.3</v>
      </c>
      <c r="M82" s="6" t="n">
        <v>208.95</v>
      </c>
      <c r="N82" s="6" t="n">
        <v>168.67</v>
      </c>
      <c r="P82" s="6">
        <f>'Slide1_Equities'!$Z$8</f>
        <v/>
      </c>
      <c r="Q82" s="6">
        <f>'Slide1_Equities'!$Z$8+'Slide1_Equities'!$Z$9</f>
        <v/>
      </c>
      <c r="R82" s="6">
        <f>'Slide1_Equities'!$Z$8-'Slide1_Equities'!$Z$9</f>
        <v/>
      </c>
    </row>
    <row r="83">
      <c r="A83" s="5" t="inlineStr">
        <is>
          <t>2026-05</t>
        </is>
      </c>
      <c r="B83" s="6" t="n">
        <v>20.9</v>
      </c>
      <c r="C83" s="6" t="n">
        <v>1.6</v>
      </c>
      <c r="D83" s="6" t="n">
        <v>163.3</v>
      </c>
      <c r="E83" s="6">
        <f>IFERROR(100/$B83,"")</f>
        <v/>
      </c>
      <c r="F83" s="16" t="n">
        <v>2.657</v>
      </c>
      <c r="G83" s="6">
        <f>IFERROR($E83-$F83,"")</f>
        <v/>
      </c>
      <c r="H83" s="7">
        <f>IFERROR(($D83/$D71-1)*100,"")</f>
        <v/>
      </c>
      <c r="I83" s="6" t="n">
        <v>199.43</v>
      </c>
      <c r="J83" s="6" t="n">
        <v>203.71</v>
      </c>
      <c r="K83" s="6" t="n">
        <v>155.36</v>
      </c>
      <c r="L83" s="6" t="n">
        <v>151.55</v>
      </c>
      <c r="M83" s="6" t="n">
        <v>208.95</v>
      </c>
      <c r="N83" s="6" t="n">
        <v>168.81</v>
      </c>
      <c r="P83" s="6">
        <f>'Slide1_Equities'!$Z$8</f>
        <v/>
      </c>
      <c r="Q83" s="6">
        <f>'Slide1_Equities'!$Z$8+'Slide1_Equities'!$Z$9</f>
        <v/>
      </c>
      <c r="R83" s="6">
        <f>'Slide1_Equities'!$Z$8-'Slide1_Equities'!$Z$9</f>
        <v/>
      </c>
    </row>
    <row r="84">
      <c r="A84" s="5" t="inlineStr">
        <is>
          <t>2026-06</t>
        </is>
      </c>
      <c r="B84" s="6" t="n">
        <v>19</v>
      </c>
      <c r="C84" s="6" t="n">
        <v>1.6</v>
      </c>
      <c r="D84" s="6" t="n">
        <v>178.43</v>
      </c>
      <c r="E84" s="6">
        <f>IFERROR(100/$B84,"")</f>
        <v/>
      </c>
      <c r="F84" s="16" t="n">
        <v>2.611</v>
      </c>
      <c r="G84" s="6">
        <f>IFERROR($E84-$F84,"")</f>
        <v/>
      </c>
      <c r="H84" s="7">
        <f>IFERROR(($D84/$D72-1)*100,"")</f>
        <v/>
      </c>
      <c r="I84" s="6" t="n">
        <v>212.73</v>
      </c>
      <c r="J84" s="6" t="n">
        <v>220.18</v>
      </c>
      <c r="K84" s="6" t="n">
        <v>180.78</v>
      </c>
      <c r="L84" s="6" t="n">
        <v>169.57</v>
      </c>
      <c r="M84" s="6" t="n">
        <v>203.59</v>
      </c>
      <c r="N84" s="6" t="n">
        <v>202.08</v>
      </c>
      <c r="P84" s="6">
        <f>'Slide1_Equities'!$Z$8</f>
        <v/>
      </c>
      <c r="Q84" s="6">
        <f>'Slide1_Equities'!$Z$8+'Slide1_Equities'!$Z$9</f>
        <v/>
      </c>
      <c r="R84" s="6">
        <f>'Slide1_Equities'!$Z$8-'Slide1_Equities'!$Z$9</f>
        <v/>
      </c>
    </row>
    <row r="85">
      <c r="A85" s="5" t="inlineStr">
        <is>
          <t>2026-07</t>
        </is>
      </c>
      <c r="B85" s="6" t="n">
        <v>18.5</v>
      </c>
      <c r="C85" s="6" t="n">
        <v>1.5</v>
      </c>
      <c r="D85" s="6" t="n">
        <v>178.36</v>
      </c>
      <c r="E85" s="6">
        <f>IFERROR(100/$B85,"")</f>
        <v/>
      </c>
      <c r="F85" s="16" t="n">
        <v>2.801</v>
      </c>
      <c r="G85" s="6">
        <f>IFERROR($E85-$F85,"")</f>
        <v/>
      </c>
      <c r="H85" s="7">
        <f>IFERROR(($D85/$D73-1)*100,"")</f>
        <v/>
      </c>
      <c r="I85" s="6" t="n">
        <v>212.91</v>
      </c>
      <c r="J85" s="6" t="n">
        <v>220.45</v>
      </c>
      <c r="K85" s="6" t="n">
        <v>184.83</v>
      </c>
      <c r="L85" s="6" t="n">
        <v>167.96</v>
      </c>
      <c r="M85" s="6" t="n">
        <v>203.59</v>
      </c>
      <c r="N85" s="6" t="n">
        <v>197.14</v>
      </c>
      <c r="P85" s="6">
        <f>'Slide1_Equities'!$Z$8</f>
        <v/>
      </c>
      <c r="Q85" s="6">
        <f>'Slide1_Equities'!$Z$8+'Slide1_Equities'!$Z$9</f>
        <v/>
      </c>
      <c r="R85" s="6">
        <f>'Slide1_Equities'!$Z$8-'Slide1_Equities'!$Z$9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3" customWidth="1" min="4" max="4"/>
    <col width="14" customWidth="1" min="5" max="5"/>
    <col width="12" customWidth="1" min="6" max="6"/>
    <col width="12" customWidth="1" min="7" max="7"/>
  </cols>
  <sheetData>
    <row r="1">
      <c r="A1" s="1" t="inlineStr">
        <is>
          <t>Taiwanese valuation, from the Taiwan exchange</t>
        </is>
      </c>
    </row>
    <row r="2">
      <c r="A2" s="2" t="inlineStr">
        <is>
          <t>Monthly. Median trailing P/E across all listed companies at month end. Loss makers publish no ratio and are excluded; the count of those included is carried alongside.</t>
        </is>
      </c>
    </row>
    <row r="3" ht="4" customHeight="1">
      <c r="A3" s="3" t="n"/>
      <c r="B3" s="3" t="n"/>
      <c r="C3" s="3" t="n"/>
      <c r="D3" s="3" t="n"/>
      <c r="E3" s="3" t="n"/>
      <c r="F3" s="3" t="n"/>
      <c r="G3" s="3" t="n"/>
      <c r="H3" s="3" t="n"/>
      <c r="I3" s="3" t="n"/>
      <c r="J3" s="3" t="n"/>
    </row>
    <row r="6" ht="26" customHeight="1">
      <c r="A6" s="4" t="inlineStr">
        <is>
          <t>Month</t>
        </is>
      </c>
      <c r="B6" s="4" t="inlineStr">
        <is>
          <t>As of</t>
        </is>
      </c>
      <c r="C6" s="4" t="inlineStr">
        <is>
          <t>Median P/E</t>
        </is>
      </c>
      <c r="D6" s="4" t="inlineStr">
        <is>
          <t>Median P/B</t>
        </is>
      </c>
      <c r="E6" s="4" t="inlineStr">
        <is>
          <t>Median yield %</t>
        </is>
      </c>
      <c r="F6" s="4" t="inlineStr">
        <is>
          <t>Companies</t>
        </is>
      </c>
      <c r="G6" s="4" t="inlineStr">
        <is>
          <t>With a P/E</t>
        </is>
      </c>
    </row>
    <row r="7">
      <c r="A7" s="5" t="inlineStr">
        <is>
          <t>2020-01</t>
        </is>
      </c>
      <c r="B7" s="17" t="n">
        <v>43861</v>
      </c>
      <c r="C7" s="6" t="n">
        <v>16.105</v>
      </c>
      <c r="D7" s="6" t="n">
        <v>1.29</v>
      </c>
      <c r="E7" s="6" t="n">
        <v>4.375</v>
      </c>
      <c r="F7" s="9" t="n">
        <v>941</v>
      </c>
      <c r="G7" s="9" t="n">
        <v>750</v>
      </c>
    </row>
    <row r="8">
      <c r="A8" s="5" t="inlineStr">
        <is>
          <t>2020-02</t>
        </is>
      </c>
      <c r="B8" s="17" t="n">
        <v>43888</v>
      </c>
      <c r="C8" s="6" t="n">
        <v>16.035</v>
      </c>
      <c r="D8" s="6" t="n">
        <v>1.28</v>
      </c>
      <c r="E8" s="6" t="n">
        <v>4.5</v>
      </c>
      <c r="F8" s="9" t="n">
        <v>940</v>
      </c>
      <c r="G8" s="9" t="n">
        <v>750</v>
      </c>
    </row>
    <row r="9">
      <c r="A9" s="5" t="inlineStr">
        <is>
          <t>2020-03</t>
        </is>
      </c>
      <c r="B9" s="17" t="n">
        <v>43921</v>
      </c>
      <c r="C9" s="6" t="n">
        <v>13.8</v>
      </c>
      <c r="D9" s="6" t="n">
        <v>1.05</v>
      </c>
      <c r="E9" s="6" t="n">
        <v>5.145</v>
      </c>
      <c r="F9" s="9" t="n">
        <v>942</v>
      </c>
      <c r="G9" s="9" t="n">
        <v>763</v>
      </c>
    </row>
    <row r="10">
      <c r="A10" s="5" t="inlineStr">
        <is>
          <t>2020-04</t>
        </is>
      </c>
      <c r="B10" s="17" t="n">
        <v>43951</v>
      </c>
      <c r="C10" s="6" t="n">
        <v>15.75</v>
      </c>
      <c r="D10" s="6" t="n">
        <v>1.21</v>
      </c>
      <c r="E10" s="6" t="n">
        <v>4.47</v>
      </c>
      <c r="F10" s="9" t="n">
        <v>942</v>
      </c>
      <c r="G10" s="9" t="n">
        <v>761</v>
      </c>
    </row>
    <row r="11">
      <c r="A11" s="5" t="inlineStr">
        <is>
          <t>2020-05</t>
        </is>
      </c>
      <c r="B11" s="17" t="n">
        <v>43980</v>
      </c>
      <c r="C11" s="6" t="n">
        <v>16.84</v>
      </c>
      <c r="D11" s="6" t="n">
        <v>1.27</v>
      </c>
      <c r="E11" s="6" t="n">
        <v>4.29</v>
      </c>
      <c r="F11" s="9" t="n">
        <v>942</v>
      </c>
      <c r="G11" s="9" t="n">
        <v>717</v>
      </c>
    </row>
    <row r="12">
      <c r="A12" s="5" t="inlineStr">
        <is>
          <t>2020-06</t>
        </is>
      </c>
      <c r="B12" s="17" t="n">
        <v>44012</v>
      </c>
      <c r="C12" s="6" t="n">
        <v>17.57</v>
      </c>
      <c r="D12" s="6" t="n">
        <v>1.33</v>
      </c>
      <c r="E12" s="6" t="n">
        <v>4.21</v>
      </c>
      <c r="F12" s="9" t="n">
        <v>943</v>
      </c>
      <c r="G12" s="9" t="n">
        <v>717</v>
      </c>
    </row>
    <row r="13">
      <c r="A13" s="5" t="inlineStr">
        <is>
          <t>2020-07</t>
        </is>
      </c>
      <c r="B13" s="17" t="n">
        <v>44043</v>
      </c>
      <c r="C13" s="6" t="n">
        <v>17.515</v>
      </c>
      <c r="D13" s="6" t="n">
        <v>1.35</v>
      </c>
      <c r="E13" s="6" t="n">
        <v>4.12</v>
      </c>
      <c r="F13" s="9" t="n">
        <v>943</v>
      </c>
      <c r="G13" s="9" t="n">
        <v>718</v>
      </c>
    </row>
    <row r="14">
      <c r="A14" s="5" t="inlineStr">
        <is>
          <t>2020-08</t>
        </is>
      </c>
      <c r="B14" s="17" t="n">
        <v>44074</v>
      </c>
      <c r="C14" s="6" t="n">
        <v>17.8</v>
      </c>
      <c r="D14" s="6" t="n">
        <v>1.415</v>
      </c>
      <c r="E14" s="6" t="n">
        <v>3.94</v>
      </c>
      <c r="F14" s="9" t="n">
        <v>944</v>
      </c>
      <c r="G14" s="9" t="n">
        <v>724</v>
      </c>
    </row>
    <row r="15">
      <c r="A15" s="5" t="inlineStr">
        <is>
          <t>2020-09</t>
        </is>
      </c>
      <c r="B15" s="17" t="n">
        <v>44104</v>
      </c>
      <c r="C15" s="6" t="n">
        <v>17.48</v>
      </c>
      <c r="D15" s="6" t="n">
        <v>1.395</v>
      </c>
      <c r="E15" s="6" t="n">
        <v>4.11</v>
      </c>
      <c r="F15" s="9" t="n">
        <v>942</v>
      </c>
      <c r="G15" s="9" t="n">
        <v>723</v>
      </c>
    </row>
    <row r="16">
      <c r="A16" s="5" t="inlineStr">
        <is>
          <t>2020-10</t>
        </is>
      </c>
      <c r="B16" s="17" t="n">
        <v>44134</v>
      </c>
      <c r="C16" s="6" t="n">
        <v>17.57</v>
      </c>
      <c r="D16" s="6" t="n">
        <v>1.4</v>
      </c>
      <c r="E16" s="6" t="n">
        <v>4.05</v>
      </c>
      <c r="F16" s="9" t="n">
        <v>941</v>
      </c>
      <c r="G16" s="9" t="n">
        <v>721</v>
      </c>
    </row>
    <row r="17">
      <c r="A17" s="5" t="inlineStr">
        <is>
          <t>2020-11</t>
        </is>
      </c>
      <c r="B17" s="17" t="n">
        <v>44165</v>
      </c>
      <c r="C17" s="6" t="n">
        <v>18.12</v>
      </c>
      <c r="D17" s="6" t="n">
        <v>1.51</v>
      </c>
      <c r="E17" s="6" t="n">
        <v>3.75</v>
      </c>
      <c r="F17" s="9" t="n">
        <v>942</v>
      </c>
      <c r="G17" s="9" t="n">
        <v>738</v>
      </c>
    </row>
    <row r="18">
      <c r="A18" s="5" t="inlineStr">
        <is>
          <t>2020-12</t>
        </is>
      </c>
      <c r="B18" s="17" t="n">
        <v>44196</v>
      </c>
      <c r="C18" s="6" t="n">
        <v>18.35</v>
      </c>
      <c r="D18" s="6" t="n">
        <v>1.555</v>
      </c>
      <c r="E18" s="6" t="n">
        <v>3.67</v>
      </c>
      <c r="F18" s="9" t="n">
        <v>942</v>
      </c>
      <c r="G18" s="9" t="n">
        <v>740</v>
      </c>
    </row>
    <row r="19">
      <c r="A19" s="5" t="inlineStr">
        <is>
          <t>2021-01</t>
        </is>
      </c>
      <c r="B19" s="17" t="n">
        <v>44225</v>
      </c>
      <c r="C19" s="6" t="n">
        <v>17.825</v>
      </c>
      <c r="D19" s="6" t="n">
        <v>1.47</v>
      </c>
      <c r="E19" s="6" t="n">
        <v>3.885</v>
      </c>
      <c r="F19" s="9" t="n">
        <v>944</v>
      </c>
      <c r="G19" s="9" t="n">
        <v>742</v>
      </c>
    </row>
    <row r="20">
      <c r="A20" s="5" t="inlineStr">
        <is>
          <t>2021-02</t>
        </is>
      </c>
      <c r="B20" s="17" t="n">
        <v>44253</v>
      </c>
      <c r="C20" s="6" t="n">
        <v>19.23</v>
      </c>
      <c r="D20" s="6" t="n">
        <v>1.6</v>
      </c>
      <c r="E20" s="6" t="n">
        <v>3.61</v>
      </c>
      <c r="F20" s="9" t="n">
        <v>945</v>
      </c>
      <c r="G20" s="9" t="n">
        <v>749</v>
      </c>
    </row>
    <row r="21">
      <c r="A21" s="5" t="inlineStr">
        <is>
          <t>2021-03</t>
        </is>
      </c>
      <c r="B21" s="17" t="n">
        <v>44286</v>
      </c>
      <c r="C21" s="6" t="n">
        <v>19.5</v>
      </c>
      <c r="D21" s="6" t="n">
        <v>1.64</v>
      </c>
      <c r="E21" s="6" t="n">
        <v>3.5</v>
      </c>
      <c r="F21" s="9" t="n">
        <v>948</v>
      </c>
      <c r="G21" s="9" t="n">
        <v>776</v>
      </c>
    </row>
    <row r="22">
      <c r="A22" s="5" t="inlineStr">
        <is>
          <t>2021-04</t>
        </is>
      </c>
      <c r="B22" s="17" t="n">
        <v>44315</v>
      </c>
      <c r="C22" s="6" t="n">
        <v>20.27</v>
      </c>
      <c r="D22" s="6" t="n">
        <v>1.795</v>
      </c>
      <c r="E22" s="6" t="n">
        <v>3.235</v>
      </c>
      <c r="F22" s="9" t="n">
        <v>949</v>
      </c>
      <c r="G22" s="9" t="n">
        <v>781</v>
      </c>
    </row>
    <row r="23">
      <c r="A23" s="5" t="inlineStr">
        <is>
          <t>2021-05</t>
        </is>
      </c>
      <c r="B23" s="17" t="n">
        <v>44347</v>
      </c>
      <c r="C23" s="6" t="n">
        <v>16.38</v>
      </c>
      <c r="D23" s="6" t="n">
        <v>1.625</v>
      </c>
      <c r="E23" s="6" t="n">
        <v>3.515</v>
      </c>
      <c r="F23" s="9" t="n">
        <v>952</v>
      </c>
      <c r="G23" s="9" t="n">
        <v>805</v>
      </c>
    </row>
    <row r="24">
      <c r="A24" s="5" t="inlineStr">
        <is>
          <t>2021-06</t>
        </is>
      </c>
      <c r="B24" s="17" t="n">
        <v>44377</v>
      </c>
      <c r="C24" s="6" t="n">
        <v>16.99</v>
      </c>
      <c r="D24" s="6" t="n">
        <v>1.75</v>
      </c>
      <c r="E24" s="6" t="n">
        <v>3.31</v>
      </c>
      <c r="F24" s="9" t="n">
        <v>950</v>
      </c>
      <c r="G24" s="9" t="n">
        <v>805</v>
      </c>
    </row>
    <row r="25">
      <c r="A25" s="5" t="inlineStr">
        <is>
          <t>2021-07</t>
        </is>
      </c>
      <c r="B25" s="17" t="n">
        <v>44407</v>
      </c>
      <c r="C25" s="6" t="n">
        <v>17.19</v>
      </c>
      <c r="D25" s="6" t="n">
        <v>1.71</v>
      </c>
      <c r="E25" s="6" t="n">
        <v>3.37</v>
      </c>
      <c r="F25" s="9" t="n">
        <v>950</v>
      </c>
      <c r="G25" s="9" t="n">
        <v>805</v>
      </c>
    </row>
    <row r="26">
      <c r="A26" s="5" t="inlineStr">
        <is>
          <t>2021-08</t>
        </is>
      </c>
      <c r="B26" s="17" t="n">
        <v>44439</v>
      </c>
      <c r="C26" s="6" t="n">
        <v>15.895</v>
      </c>
      <c r="D26" s="6" t="n">
        <v>1.61</v>
      </c>
      <c r="E26" s="6" t="n">
        <v>3.54</v>
      </c>
      <c r="F26" s="9" t="n">
        <v>951</v>
      </c>
      <c r="G26" s="9" t="n">
        <v>814</v>
      </c>
    </row>
    <row r="27">
      <c r="A27" s="5" t="inlineStr">
        <is>
          <t>2021-09</t>
        </is>
      </c>
      <c r="B27" s="17" t="n">
        <v>44469</v>
      </c>
      <c r="C27" s="6" t="n">
        <v>15.475</v>
      </c>
      <c r="D27" s="6" t="n">
        <v>1.58</v>
      </c>
      <c r="E27" s="6" t="n">
        <v>3.62</v>
      </c>
      <c r="F27" s="9" t="n">
        <v>951</v>
      </c>
      <c r="G27" s="9" t="n">
        <v>814</v>
      </c>
    </row>
    <row r="28">
      <c r="A28" s="5" t="inlineStr">
        <is>
          <t>2021-10</t>
        </is>
      </c>
      <c r="B28" s="17" t="n">
        <v>44498</v>
      </c>
      <c r="C28" s="6" t="n">
        <v>15.46</v>
      </c>
      <c r="D28" s="6" t="n">
        <v>1.59</v>
      </c>
      <c r="E28" s="6" t="n">
        <v>3.605</v>
      </c>
      <c r="F28" s="9" t="n">
        <v>951</v>
      </c>
      <c r="G28" s="9" t="n">
        <v>817</v>
      </c>
    </row>
    <row r="29">
      <c r="A29" s="5" t="inlineStr">
        <is>
          <t>2021-11</t>
        </is>
      </c>
      <c r="B29" s="17" t="n">
        <v>44530</v>
      </c>
      <c r="C29" s="6" t="n">
        <v>15.695</v>
      </c>
      <c r="D29" s="6" t="n">
        <v>1.65</v>
      </c>
      <c r="E29" s="6" t="n">
        <v>3.425</v>
      </c>
      <c r="F29" s="9" t="n">
        <v>953</v>
      </c>
      <c r="G29" s="9" t="n">
        <v>822</v>
      </c>
    </row>
    <row r="30">
      <c r="A30" s="5" t="inlineStr">
        <is>
          <t>2021-12</t>
        </is>
      </c>
      <c r="B30" s="17" t="n">
        <v>44560</v>
      </c>
      <c r="C30" s="6" t="n">
        <v>16.3</v>
      </c>
      <c r="D30" s="6" t="n">
        <v>1.72</v>
      </c>
      <c r="E30" s="6" t="n">
        <v>3.35</v>
      </c>
      <c r="F30" s="9" t="n">
        <v>954</v>
      </c>
      <c r="G30" s="9" t="n">
        <v>825</v>
      </c>
    </row>
    <row r="31">
      <c r="A31" s="5" t="inlineStr">
        <is>
          <t>2022-01</t>
        </is>
      </c>
      <c r="B31" s="17" t="n">
        <v>44587</v>
      </c>
      <c r="C31" s="6" t="n">
        <v>15.5</v>
      </c>
      <c r="D31" s="6" t="n">
        <v>1.6</v>
      </c>
      <c r="E31" s="6" t="n">
        <v>3.56</v>
      </c>
      <c r="F31" s="9" t="n">
        <v>961</v>
      </c>
      <c r="G31" s="9" t="n">
        <v>830</v>
      </c>
    </row>
    <row r="32">
      <c r="A32" s="5" t="inlineStr">
        <is>
          <t>2022-02</t>
        </is>
      </c>
      <c r="B32" s="17" t="n">
        <v>44617</v>
      </c>
      <c r="C32" s="6" t="n">
        <v>15.675</v>
      </c>
      <c r="D32" s="6" t="n">
        <v>1.65</v>
      </c>
      <c r="E32" s="6" t="n">
        <v>3.46</v>
      </c>
      <c r="F32" s="9" t="n">
        <v>960</v>
      </c>
      <c r="G32" s="9" t="n">
        <v>834</v>
      </c>
    </row>
    <row r="33">
      <c r="A33" s="5" t="inlineStr">
        <is>
          <t>2022-03</t>
        </is>
      </c>
      <c r="B33" s="17" t="n">
        <v>44651</v>
      </c>
      <c r="C33" s="6" t="n">
        <v>15.71</v>
      </c>
      <c r="D33" s="6" t="n">
        <v>1.62</v>
      </c>
      <c r="E33" s="6" t="n">
        <v>4.2</v>
      </c>
      <c r="F33" s="9" t="n">
        <v>961</v>
      </c>
      <c r="G33" s="9" t="n">
        <v>851</v>
      </c>
    </row>
    <row r="34">
      <c r="A34" s="5" t="inlineStr">
        <is>
          <t>2022-04</t>
        </is>
      </c>
      <c r="B34" s="17" t="n">
        <v>44680</v>
      </c>
      <c r="C34" s="6" t="n">
        <v>15.07</v>
      </c>
      <c r="D34" s="6" t="n">
        <v>1.54</v>
      </c>
      <c r="E34" s="6" t="n">
        <v>4.395</v>
      </c>
      <c r="F34" s="9" t="n">
        <v>960</v>
      </c>
      <c r="G34" s="9" t="n">
        <v>851</v>
      </c>
    </row>
    <row r="35">
      <c r="A35" s="5" t="inlineStr">
        <is>
          <t>2022-05</t>
        </is>
      </c>
      <c r="B35" s="17" t="n">
        <v>44712</v>
      </c>
      <c r="C35" s="6" t="n">
        <v>14.42</v>
      </c>
      <c r="D35" s="6" t="n">
        <v>1.53</v>
      </c>
      <c r="E35" s="6" t="n">
        <v>4.425</v>
      </c>
      <c r="F35" s="9" t="n">
        <v>963</v>
      </c>
      <c r="G35" s="9" t="n">
        <v>829</v>
      </c>
    </row>
    <row r="36">
      <c r="A36" s="5" t="inlineStr">
        <is>
          <t>2022-06</t>
        </is>
      </c>
      <c r="B36" s="17" t="n">
        <v>44742</v>
      </c>
      <c r="C36" s="6" t="n">
        <v>13.635</v>
      </c>
      <c r="D36" s="6" t="n">
        <v>1.41</v>
      </c>
      <c r="E36" s="6" t="n">
        <v>4.785</v>
      </c>
      <c r="F36" s="9" t="n">
        <v>965</v>
      </c>
      <c r="G36" s="9" t="n">
        <v>830</v>
      </c>
    </row>
    <row r="37">
      <c r="A37" s="5" t="inlineStr">
        <is>
          <t>2022-07</t>
        </is>
      </c>
      <c r="B37" s="17" t="n">
        <v>44771</v>
      </c>
      <c r="C37" s="6" t="n">
        <v>13.75</v>
      </c>
      <c r="D37" s="6" t="n">
        <v>1.42</v>
      </c>
      <c r="E37" s="6" t="n">
        <v>4.81</v>
      </c>
      <c r="F37" s="9" t="n">
        <v>965</v>
      </c>
      <c r="G37" s="9" t="n">
        <v>829</v>
      </c>
    </row>
    <row r="38">
      <c r="A38" s="5" t="inlineStr">
        <is>
          <t>2022-08</t>
        </is>
      </c>
      <c r="B38" s="17" t="n">
        <v>44804</v>
      </c>
      <c r="C38" s="6" t="n">
        <v>14.43</v>
      </c>
      <c r="D38" s="6" t="n">
        <v>1.52</v>
      </c>
      <c r="E38" s="6" t="n">
        <v>4.62</v>
      </c>
      <c r="F38" s="9" t="n">
        <v>965</v>
      </c>
      <c r="G38" s="9" t="n">
        <v>828</v>
      </c>
    </row>
    <row r="39">
      <c r="A39" s="5" t="inlineStr">
        <is>
          <t>2022-09</t>
        </is>
      </c>
      <c r="B39" s="17" t="n">
        <v>44834</v>
      </c>
      <c r="C39" s="6" t="n">
        <v>12.99</v>
      </c>
      <c r="D39" s="6" t="n">
        <v>1.39</v>
      </c>
      <c r="E39" s="6" t="n">
        <v>5.03</v>
      </c>
      <c r="F39" s="9" t="n">
        <v>958</v>
      </c>
      <c r="G39" s="9" t="n">
        <v>825</v>
      </c>
    </row>
    <row r="40">
      <c r="A40" s="5" t="inlineStr">
        <is>
          <t>2022-10</t>
        </is>
      </c>
      <c r="B40" s="17" t="n">
        <v>44865</v>
      </c>
      <c r="C40" s="6" t="n">
        <v>12.39</v>
      </c>
      <c r="D40" s="6" t="n">
        <v>1.32</v>
      </c>
      <c r="E40" s="6" t="n">
        <v>5.2</v>
      </c>
      <c r="F40" s="9" t="n">
        <v>965</v>
      </c>
      <c r="G40" s="9" t="n">
        <v>832</v>
      </c>
    </row>
    <row r="41">
      <c r="A41" s="5" t="inlineStr">
        <is>
          <t>2022-11</t>
        </is>
      </c>
      <c r="B41" s="17" t="n">
        <v>44895</v>
      </c>
      <c r="C41" s="6" t="n">
        <v>13.3</v>
      </c>
      <c r="D41" s="6" t="n">
        <v>1.41</v>
      </c>
      <c r="E41" s="6" t="n">
        <v>4.81</v>
      </c>
      <c r="F41" s="9" t="n">
        <v>967</v>
      </c>
      <c r="G41" s="9" t="n">
        <v>837</v>
      </c>
    </row>
    <row r="42">
      <c r="A42" s="5" t="inlineStr">
        <is>
          <t>2022-12</t>
        </is>
      </c>
      <c r="B42" s="17" t="n">
        <v>44925</v>
      </c>
      <c r="C42" s="6" t="n">
        <v>12.9</v>
      </c>
      <c r="D42" s="6" t="n">
        <v>1.39</v>
      </c>
      <c r="E42" s="6" t="n">
        <v>4.9</v>
      </c>
      <c r="F42" s="9" t="n">
        <v>968</v>
      </c>
      <c r="G42" s="9" t="n">
        <v>838</v>
      </c>
    </row>
    <row r="43">
      <c r="A43" s="5" t="inlineStr">
        <is>
          <t>2023-01</t>
        </is>
      </c>
      <c r="B43" s="17" t="n">
        <v>44957</v>
      </c>
      <c r="C43" s="6" t="n">
        <v>13.43</v>
      </c>
      <c r="D43" s="6" t="n">
        <v>1.45</v>
      </c>
      <c r="E43" s="6" t="n">
        <v>4.765</v>
      </c>
      <c r="F43" s="9" t="n">
        <v>968</v>
      </c>
      <c r="G43" s="9" t="n">
        <v>838</v>
      </c>
    </row>
    <row r="44">
      <c r="A44" s="5" t="inlineStr">
        <is>
          <t>2023-02</t>
        </is>
      </c>
      <c r="B44" s="17" t="n">
        <v>44981</v>
      </c>
      <c r="C44" s="6" t="n">
        <v>14.59</v>
      </c>
      <c r="D44" s="6" t="n">
        <v>1.51</v>
      </c>
      <c r="E44" s="6" t="n">
        <v>4.53</v>
      </c>
      <c r="F44" s="9" t="n">
        <v>968</v>
      </c>
      <c r="G44" s="9" t="n">
        <v>837</v>
      </c>
    </row>
    <row r="45">
      <c r="A45" s="5" t="inlineStr">
        <is>
          <t>2023-03</t>
        </is>
      </c>
      <c r="B45" s="17" t="n">
        <v>45016</v>
      </c>
      <c r="C45" s="6" t="n">
        <v>16.15</v>
      </c>
      <c r="D45" s="6" t="n">
        <v>1.51</v>
      </c>
      <c r="E45" s="6" t="n">
        <v>4.21</v>
      </c>
      <c r="F45" s="9" t="n">
        <v>976</v>
      </c>
      <c r="G45" s="9" t="n">
        <v>841</v>
      </c>
    </row>
    <row r="46">
      <c r="A46" s="5" t="inlineStr">
        <is>
          <t>2023-04</t>
        </is>
      </c>
      <c r="B46" s="17" t="n">
        <v>45044</v>
      </c>
      <c r="C46" s="6" t="n">
        <v>16.35</v>
      </c>
      <c r="D46" s="6" t="n">
        <v>1.51</v>
      </c>
      <c r="E46" s="6" t="n">
        <v>4.17</v>
      </c>
      <c r="F46" s="9" t="n">
        <v>974</v>
      </c>
      <c r="G46" s="9" t="n">
        <v>837</v>
      </c>
    </row>
    <row r="47">
      <c r="A47" s="5" t="inlineStr">
        <is>
          <t>2023-05</t>
        </is>
      </c>
      <c r="B47" s="17" t="n">
        <v>45077</v>
      </c>
      <c r="C47" s="6" t="n">
        <v>17.57</v>
      </c>
      <c r="D47" s="6" t="n">
        <v>1.58</v>
      </c>
      <c r="E47" s="6" t="n">
        <v>3.88</v>
      </c>
      <c r="F47" s="9" t="n">
        <v>975</v>
      </c>
      <c r="G47" s="9" t="n">
        <v>799</v>
      </c>
    </row>
    <row r="48">
      <c r="A48" s="5" t="inlineStr">
        <is>
          <t>2023-06</t>
        </is>
      </c>
      <c r="B48" s="17" t="n">
        <v>45107</v>
      </c>
      <c r="C48" s="6" t="n">
        <v>18.32</v>
      </c>
      <c r="D48" s="6" t="n">
        <v>1.62</v>
      </c>
      <c r="E48" s="6" t="n">
        <v>3.73</v>
      </c>
      <c r="F48" s="9" t="n">
        <v>978</v>
      </c>
      <c r="G48" s="9" t="n">
        <v>799</v>
      </c>
    </row>
    <row r="49">
      <c r="A49" s="5" t="inlineStr">
        <is>
          <t>2023-07</t>
        </is>
      </c>
      <c r="B49" s="17" t="n">
        <v>45138</v>
      </c>
      <c r="C49" s="6" t="n">
        <v>18.73</v>
      </c>
      <c r="D49" s="6" t="n">
        <v>1.61</v>
      </c>
      <c r="E49" s="6" t="n">
        <v>3.73</v>
      </c>
      <c r="F49" s="9" t="n">
        <v>980</v>
      </c>
      <c r="G49" s="9" t="n">
        <v>800</v>
      </c>
    </row>
    <row r="50">
      <c r="A50" s="5" t="inlineStr">
        <is>
          <t>2023-08</t>
        </is>
      </c>
      <c r="B50" s="17" t="n">
        <v>45169</v>
      </c>
      <c r="C50" s="6" t="n">
        <v>18.29</v>
      </c>
      <c r="D50" s="6" t="n">
        <v>1.59</v>
      </c>
      <c r="E50" s="6" t="n">
        <v>3.8</v>
      </c>
      <c r="F50" s="9" t="n">
        <v>981</v>
      </c>
      <c r="G50" s="9" t="n">
        <v>784</v>
      </c>
    </row>
    <row r="51">
      <c r="A51" s="5" t="inlineStr">
        <is>
          <t>2023-09</t>
        </is>
      </c>
      <c r="B51" s="17" t="n">
        <v>45197</v>
      </c>
      <c r="C51" s="6" t="n">
        <v>18.55</v>
      </c>
      <c r="D51" s="6" t="n">
        <v>1.6</v>
      </c>
      <c r="E51" s="6" t="n">
        <v>3.8</v>
      </c>
      <c r="F51" s="9" t="n">
        <v>977</v>
      </c>
      <c r="G51" s="9" t="n">
        <v>779</v>
      </c>
    </row>
    <row r="52">
      <c r="A52" s="5" t="inlineStr">
        <is>
          <t>2023-10</t>
        </is>
      </c>
      <c r="B52" s="17" t="n">
        <v>45230</v>
      </c>
      <c r="C52" s="6" t="n">
        <v>17.9</v>
      </c>
      <c r="D52" s="6" t="n">
        <v>1.56</v>
      </c>
      <c r="E52" s="6" t="n">
        <v>3.925</v>
      </c>
      <c r="F52" s="9" t="n">
        <v>986</v>
      </c>
      <c r="G52" s="9" t="n">
        <v>785</v>
      </c>
    </row>
    <row r="53">
      <c r="A53" s="5" t="inlineStr">
        <is>
          <t>2023-11</t>
        </is>
      </c>
      <c r="B53" s="17" t="n">
        <v>45260</v>
      </c>
      <c r="C53" s="6" t="n">
        <v>20.245</v>
      </c>
      <c r="D53" s="6" t="n">
        <v>1.65</v>
      </c>
      <c r="E53" s="6" t="n">
        <v>3.65</v>
      </c>
      <c r="F53" s="9" t="n">
        <v>989</v>
      </c>
      <c r="G53" s="9" t="n">
        <v>770</v>
      </c>
    </row>
    <row r="54">
      <c r="A54" s="5" t="inlineStr">
        <is>
          <t>2023-12</t>
        </is>
      </c>
      <c r="B54" s="17" t="n">
        <v>45288</v>
      </c>
      <c r="C54" s="6" t="n">
        <v>20.2</v>
      </c>
      <c r="D54" s="6" t="n">
        <v>1.7</v>
      </c>
      <c r="E54" s="6" t="n">
        <v>3.575</v>
      </c>
      <c r="F54" s="9" t="n">
        <v>997</v>
      </c>
      <c r="G54" s="9" t="n">
        <v>777</v>
      </c>
    </row>
    <row r="55">
      <c r="A55" s="5" t="inlineStr">
        <is>
          <t>2024-01</t>
        </is>
      </c>
      <c r="B55" s="17" t="n">
        <v>45322</v>
      </c>
      <c r="C55" s="6" t="n">
        <v>20.095</v>
      </c>
      <c r="D55" s="6" t="n">
        <v>1.66</v>
      </c>
      <c r="E55" s="6" t="n">
        <v>3.67</v>
      </c>
      <c r="F55" s="9" t="n">
        <v>1001</v>
      </c>
      <c r="G55" s="9" t="n">
        <v>780</v>
      </c>
    </row>
    <row r="56">
      <c r="A56" s="5" t="inlineStr">
        <is>
          <t>2024-02</t>
        </is>
      </c>
      <c r="B56" s="17" t="n">
        <v>45351</v>
      </c>
      <c r="C56" s="6" t="n">
        <v>21.16</v>
      </c>
      <c r="D56" s="6" t="n">
        <v>1.74</v>
      </c>
      <c r="E56" s="6" t="n">
        <v>3.33</v>
      </c>
      <c r="F56" s="9" t="n">
        <v>1000</v>
      </c>
      <c r="G56" s="9" t="n">
        <v>780</v>
      </c>
    </row>
    <row r="57">
      <c r="A57" s="5" t="inlineStr">
        <is>
          <t>2024-03</t>
        </is>
      </c>
      <c r="B57" s="17" t="n">
        <v>45380</v>
      </c>
      <c r="C57" s="6" t="n">
        <v>22.16</v>
      </c>
      <c r="D57" s="6" t="n">
        <v>1.72</v>
      </c>
      <c r="E57" s="6" t="n">
        <v>3.145</v>
      </c>
      <c r="F57" s="9" t="n">
        <v>1005</v>
      </c>
      <c r="G57" s="9" t="n">
        <v>795</v>
      </c>
    </row>
    <row r="58">
      <c r="A58" s="5" t="inlineStr">
        <is>
          <t>2024-04</t>
        </is>
      </c>
      <c r="B58" s="17" t="n">
        <v>45412</v>
      </c>
      <c r="C58" s="6" t="n">
        <v>22.415</v>
      </c>
      <c r="D58" s="6" t="n">
        <v>1.79</v>
      </c>
      <c r="E58" s="6" t="n">
        <v>3.105</v>
      </c>
      <c r="F58" s="9" t="n">
        <v>1004</v>
      </c>
      <c r="G58" s="9" t="n">
        <v>794</v>
      </c>
    </row>
    <row r="59">
      <c r="A59" s="5" t="inlineStr">
        <is>
          <t>2024-05</t>
        </is>
      </c>
      <c r="B59" s="17" t="n">
        <v>45443</v>
      </c>
      <c r="C59" s="6" t="n">
        <v>21.745</v>
      </c>
      <c r="D59" s="6" t="n">
        <v>1.87</v>
      </c>
      <c r="E59" s="6" t="n">
        <v>2.96</v>
      </c>
      <c r="F59" s="9" t="n">
        <v>1011</v>
      </c>
      <c r="G59" s="9" t="n">
        <v>808</v>
      </c>
    </row>
    <row r="60">
      <c r="A60" s="5" t="inlineStr">
        <is>
          <t>2024-06</t>
        </is>
      </c>
      <c r="B60" s="17" t="n">
        <v>45471</v>
      </c>
      <c r="C60" s="6" t="n">
        <v>22.035</v>
      </c>
      <c r="D60" s="6" t="n">
        <v>1.92</v>
      </c>
      <c r="E60" s="6" t="n">
        <v>2.94</v>
      </c>
      <c r="F60" s="9" t="n">
        <v>1016</v>
      </c>
      <c r="G60" s="9" t="n">
        <v>812</v>
      </c>
    </row>
    <row r="61">
      <c r="A61" s="5" t="inlineStr">
        <is>
          <t>2024-07</t>
        </is>
      </c>
      <c r="B61" s="17" t="n">
        <v>45504</v>
      </c>
      <c r="C61" s="6" t="n">
        <v>21.21</v>
      </c>
      <c r="D61" s="6" t="n">
        <v>1.88</v>
      </c>
      <c r="E61" s="6" t="n">
        <v>3.055</v>
      </c>
      <c r="F61" s="9" t="n">
        <v>1016</v>
      </c>
      <c r="G61" s="9" t="n">
        <v>812</v>
      </c>
    </row>
    <row r="62">
      <c r="A62" s="5" t="inlineStr">
        <is>
          <t>2024-08</t>
        </is>
      </c>
      <c r="B62" s="17" t="n">
        <v>45534</v>
      </c>
      <c r="C62" s="6" t="n">
        <v>20.85</v>
      </c>
      <c r="D62" s="6" t="n">
        <v>1.86</v>
      </c>
      <c r="E62" s="6" t="n">
        <v>3.055</v>
      </c>
      <c r="F62" s="9" t="n">
        <v>1015</v>
      </c>
      <c r="G62" s="9" t="n">
        <v>826</v>
      </c>
    </row>
    <row r="63">
      <c r="A63" s="5" t="inlineStr">
        <is>
          <t>2024-09</t>
        </is>
      </c>
      <c r="B63" s="17" t="n">
        <v>45565</v>
      </c>
      <c r="C63" s="6" t="n">
        <v>20.77</v>
      </c>
      <c r="D63" s="6" t="n">
        <v>1.835</v>
      </c>
      <c r="E63" s="6" t="n">
        <v>3.07</v>
      </c>
      <c r="F63" s="9" t="n">
        <v>1019</v>
      </c>
      <c r="G63" s="9" t="n">
        <v>827</v>
      </c>
    </row>
    <row r="64">
      <c r="A64" s="5" t="inlineStr">
        <is>
          <t>2024-10</t>
        </is>
      </c>
      <c r="B64" s="17" t="n">
        <v>45595</v>
      </c>
      <c r="C64" s="6" t="n">
        <v>20.28</v>
      </c>
      <c r="D64" s="6" t="n">
        <v>1.78</v>
      </c>
      <c r="E64" s="6" t="n">
        <v>3.17</v>
      </c>
      <c r="F64" s="9" t="n">
        <v>1023</v>
      </c>
      <c r="G64" s="9" t="n">
        <v>830</v>
      </c>
    </row>
    <row r="65">
      <c r="A65" s="5" t="inlineStr">
        <is>
          <t>2024-11</t>
        </is>
      </c>
      <c r="B65" s="17" t="n">
        <v>45625</v>
      </c>
      <c r="C65" s="6" t="n">
        <v>20.09</v>
      </c>
      <c r="D65" s="6" t="n">
        <v>1.74</v>
      </c>
      <c r="E65" s="6" t="n">
        <v>3.16</v>
      </c>
      <c r="F65" s="9" t="n">
        <v>1026</v>
      </c>
      <c r="G65" s="9" t="n">
        <v>807</v>
      </c>
    </row>
    <row r="66">
      <c r="A66" s="5" t="inlineStr">
        <is>
          <t>2024-12</t>
        </is>
      </c>
      <c r="B66" s="17" t="n">
        <v>45657</v>
      </c>
      <c r="C66" s="6" t="n">
        <v>19.78</v>
      </c>
      <c r="D66" s="6" t="n">
        <v>1.71</v>
      </c>
      <c r="E66" s="6" t="n">
        <v>3.22</v>
      </c>
      <c r="F66" s="9" t="n">
        <v>1031</v>
      </c>
      <c r="G66" s="9" t="n">
        <v>811</v>
      </c>
    </row>
    <row r="67">
      <c r="A67" s="5" t="inlineStr">
        <is>
          <t>2025-01</t>
        </is>
      </c>
      <c r="B67" s="17" t="n">
        <v>45679</v>
      </c>
      <c r="C67" s="6" t="n">
        <v>19.665</v>
      </c>
      <c r="D67" s="6" t="n">
        <v>1.68</v>
      </c>
      <c r="E67" s="6" t="n">
        <v>3.26</v>
      </c>
      <c r="F67" s="9" t="n">
        <v>1034</v>
      </c>
      <c r="G67" s="9" t="n">
        <v>814</v>
      </c>
    </row>
    <row r="68">
      <c r="A68" s="5" t="inlineStr">
        <is>
          <t>2025-02</t>
        </is>
      </c>
      <c r="B68" s="17" t="n">
        <v>45715</v>
      </c>
      <c r="C68" s="6" t="n">
        <v>20.36</v>
      </c>
      <c r="D68" s="6" t="n">
        <v>1.775</v>
      </c>
      <c r="E68" s="6" t="n">
        <v>3.16</v>
      </c>
      <c r="F68" s="9" t="n">
        <v>1034</v>
      </c>
      <c r="G68" s="9" t="n">
        <v>817</v>
      </c>
    </row>
    <row r="69">
      <c r="A69" s="5" t="inlineStr">
        <is>
          <t>2025-03</t>
        </is>
      </c>
      <c r="B69" s="17" t="n">
        <v>45747</v>
      </c>
      <c r="C69" s="6" t="n">
        <v>18.05</v>
      </c>
      <c r="D69" s="6" t="n">
        <v>1.57</v>
      </c>
      <c r="E69" s="6" t="n">
        <v>3.92</v>
      </c>
      <c r="F69" s="9" t="n">
        <v>1039</v>
      </c>
      <c r="G69" s="9" t="n">
        <v>853</v>
      </c>
    </row>
    <row r="70">
      <c r="A70" s="5" t="inlineStr">
        <is>
          <t>2025-04</t>
        </is>
      </c>
      <c r="B70" s="17" t="n">
        <v>45777</v>
      </c>
      <c r="C70" s="6" t="n">
        <v>17.085</v>
      </c>
      <c r="D70" s="6" t="n">
        <v>1.48</v>
      </c>
      <c r="E70" s="6" t="n">
        <v>4.15</v>
      </c>
      <c r="F70" s="9" t="n">
        <v>1039</v>
      </c>
      <c r="G70" s="9" t="n">
        <v>852</v>
      </c>
    </row>
    <row r="71">
      <c r="A71" s="5" t="inlineStr">
        <is>
          <t>2025-05</t>
        </is>
      </c>
      <c r="B71" s="17" t="n">
        <v>45806</v>
      </c>
      <c r="C71" s="6" t="n">
        <v>17.78</v>
      </c>
      <c r="D71" s="6" t="n">
        <v>1.52</v>
      </c>
      <c r="E71" s="6" t="n">
        <v>4.05</v>
      </c>
      <c r="F71" s="9" t="n">
        <v>1041</v>
      </c>
      <c r="G71" s="9" t="n">
        <v>831</v>
      </c>
    </row>
    <row r="72">
      <c r="A72" s="5" t="inlineStr">
        <is>
          <t>2025-06</t>
        </is>
      </c>
      <c r="B72" s="17" t="n">
        <v>45838</v>
      </c>
      <c r="C72" s="6" t="n">
        <v>17.45</v>
      </c>
      <c r="D72" s="6" t="n">
        <v>1.48</v>
      </c>
      <c r="E72" s="6" t="n">
        <v>4.13</v>
      </c>
      <c r="F72" s="9" t="n">
        <v>1045</v>
      </c>
      <c r="G72" s="9" t="n">
        <v>834</v>
      </c>
    </row>
    <row r="73">
      <c r="A73" s="5" t="inlineStr">
        <is>
          <t>2025-07</t>
        </is>
      </c>
      <c r="B73" s="17" t="n">
        <v>45869</v>
      </c>
      <c r="C73" s="6" t="n">
        <v>17.86</v>
      </c>
      <c r="D73" s="6" t="n">
        <v>1.48</v>
      </c>
      <c r="E73" s="6" t="n">
        <v>4.09</v>
      </c>
      <c r="F73" s="9" t="n">
        <v>1046</v>
      </c>
      <c r="G73" s="9" t="n">
        <v>836</v>
      </c>
    </row>
    <row r="74">
      <c r="A74" s="5" t="inlineStr">
        <is>
          <t>2025-08</t>
        </is>
      </c>
      <c r="B74" s="17" t="n">
        <v>45898</v>
      </c>
      <c r="C74" s="6" t="n">
        <v>19.705</v>
      </c>
      <c r="D74" s="6" t="n">
        <v>1.66</v>
      </c>
      <c r="E74" s="6" t="n">
        <v>3.99</v>
      </c>
      <c r="F74" s="9" t="n">
        <v>1047</v>
      </c>
      <c r="G74" s="9" t="n">
        <v>772</v>
      </c>
    </row>
    <row r="75">
      <c r="A75" s="5" t="inlineStr">
        <is>
          <t>2025-09</t>
        </is>
      </c>
      <c r="B75" s="17" t="n">
        <v>45930</v>
      </c>
      <c r="C75" s="6" t="n">
        <v>19.72</v>
      </c>
      <c r="D75" s="6" t="n">
        <v>1.66</v>
      </c>
      <c r="E75" s="6" t="n">
        <v>4.005</v>
      </c>
      <c r="F75" s="9" t="n">
        <v>1048</v>
      </c>
      <c r="G75" s="9" t="n">
        <v>773</v>
      </c>
    </row>
    <row r="76">
      <c r="A76" s="5" t="inlineStr">
        <is>
          <t>2025-10</t>
        </is>
      </c>
      <c r="B76" s="17" t="n">
        <v>45961</v>
      </c>
      <c r="C76" s="6" t="n">
        <v>19.64</v>
      </c>
      <c r="D76" s="6" t="n">
        <v>1.66</v>
      </c>
      <c r="E76" s="6" t="n">
        <v>3.98</v>
      </c>
      <c r="F76" s="9" t="n">
        <v>1054</v>
      </c>
      <c r="G76" s="9" t="n">
        <v>779</v>
      </c>
    </row>
    <row r="77">
      <c r="A77" s="5" t="inlineStr">
        <is>
          <t>2025-11</t>
        </is>
      </c>
      <c r="B77" s="17" t="n">
        <v>45989</v>
      </c>
      <c r="C77" s="6" t="n">
        <v>19.39</v>
      </c>
      <c r="D77" s="6" t="n">
        <v>1.605</v>
      </c>
      <c r="E77" s="6" t="n">
        <v>4.04</v>
      </c>
      <c r="F77" s="9" t="n">
        <v>1060</v>
      </c>
      <c r="G77" s="9" t="n">
        <v>805</v>
      </c>
    </row>
    <row r="78">
      <c r="A78" s="5" t="inlineStr">
        <is>
          <t>2025-12</t>
        </is>
      </c>
      <c r="B78" s="17" t="n">
        <v>46022</v>
      </c>
      <c r="C78" s="6" t="n">
        <v>19.44</v>
      </c>
      <c r="D78" s="6" t="n">
        <v>1.615</v>
      </c>
      <c r="E78" s="6" t="n">
        <v>4.025</v>
      </c>
      <c r="F78" s="9" t="n">
        <v>1062</v>
      </c>
      <c r="G78" s="9" t="n">
        <v>807</v>
      </c>
    </row>
    <row r="79">
      <c r="A79" s="5" t="inlineStr">
        <is>
          <t>2026-01</t>
        </is>
      </c>
      <c r="B79" s="17" t="n">
        <v>46052</v>
      </c>
      <c r="C79" s="6" t="n">
        <v>19.86</v>
      </c>
      <c r="D79" s="6" t="n">
        <v>1.665</v>
      </c>
      <c r="E79" s="6" t="n">
        <v>4.005</v>
      </c>
      <c r="F79" s="9" t="n">
        <v>1066</v>
      </c>
      <c r="G79" s="9" t="n">
        <v>811</v>
      </c>
    </row>
    <row r="80">
      <c r="A80" s="5" t="inlineStr">
        <is>
          <t>2026-02</t>
        </is>
      </c>
      <c r="B80" s="17" t="n">
        <v>46079</v>
      </c>
      <c r="C80" s="6" t="n">
        <v>20.42</v>
      </c>
      <c r="D80" s="6" t="n">
        <v>1.7</v>
      </c>
      <c r="E80" s="6" t="n">
        <v>3.88</v>
      </c>
      <c r="F80" s="9" t="n">
        <v>1068</v>
      </c>
      <c r="G80" s="9" t="n">
        <v>808</v>
      </c>
    </row>
    <row r="81">
      <c r="A81" s="5" t="inlineStr">
        <is>
          <t>2026-03</t>
        </is>
      </c>
      <c r="B81" s="17" t="n">
        <v>46112</v>
      </c>
      <c r="C81" s="6" t="n">
        <v>18.85</v>
      </c>
      <c r="D81" s="6" t="n">
        <v>1.56</v>
      </c>
      <c r="E81" s="6" t="n">
        <v>3.8</v>
      </c>
      <c r="F81" s="9" t="n">
        <v>1070</v>
      </c>
      <c r="G81" s="9" t="n">
        <v>823</v>
      </c>
    </row>
    <row r="82">
      <c r="A82" s="5" t="inlineStr">
        <is>
          <t>2026-04</t>
        </is>
      </c>
      <c r="B82" s="17" t="n">
        <v>46142</v>
      </c>
      <c r="C82" s="6" t="n">
        <v>19.83</v>
      </c>
      <c r="D82" s="6" t="n">
        <v>1.62</v>
      </c>
      <c r="E82" s="6" t="n">
        <v>3.57</v>
      </c>
      <c r="F82" s="9" t="n">
        <v>1072</v>
      </c>
      <c r="G82" s="9" t="n">
        <v>827</v>
      </c>
    </row>
    <row r="83">
      <c r="A83" s="5" t="inlineStr">
        <is>
          <t>2026-05</t>
        </is>
      </c>
      <c r="B83" s="17" t="n">
        <v>46171</v>
      </c>
      <c r="C83" s="6" t="n">
        <v>20.67</v>
      </c>
      <c r="D83" s="6" t="n">
        <v>1.745</v>
      </c>
      <c r="E83" s="6" t="n">
        <v>3.3</v>
      </c>
      <c r="F83" s="9" t="n">
        <v>1078</v>
      </c>
      <c r="G83" s="9" t="n">
        <v>831</v>
      </c>
    </row>
    <row r="84">
      <c r="A84" s="5" t="inlineStr">
        <is>
          <t>2026-06</t>
        </is>
      </c>
      <c r="B84" s="17" t="n">
        <v>46203</v>
      </c>
      <c r="C84" s="6" t="n">
        <v>20.94</v>
      </c>
      <c r="D84" s="6" t="n">
        <v>1.775</v>
      </c>
      <c r="E84" s="6" t="n">
        <v>3.41</v>
      </c>
      <c r="F84" s="9" t="n">
        <v>1078</v>
      </c>
      <c r="G84" s="9" t="n">
        <v>831</v>
      </c>
    </row>
    <row r="85">
      <c r="A85" s="5" t="inlineStr">
        <is>
          <t>2026-07</t>
        </is>
      </c>
      <c r="B85" s="17" t="n">
        <v>46234</v>
      </c>
      <c r="C85" s="6" t="n">
        <v>19.4</v>
      </c>
      <c r="D85" s="6" t="n">
        <v>1.59</v>
      </c>
      <c r="E85" s="6" t="n">
        <v>3.61</v>
      </c>
      <c r="F85" s="9" t="n">
        <v>1081</v>
      </c>
      <c r="G85" s="9" t="n">
        <v>835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5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Government yields with a public source</t>
        </is>
      </c>
    </row>
    <row r="2">
      <c r="A2" s="2" t="inlineStr">
        <is>
          <t>Weekly, Friday. JGB from the MOF daily curve file, UST from FRED, euro area AAA curve from the ECB, Korea and Germany from FRED's OECD monthly long rate which runs about two months behind.</t>
        </is>
      </c>
    </row>
    <row r="3" ht="4" customHeight="1">
      <c r="A3" s="3" t="n"/>
      <c r="B3" s="3" t="n"/>
      <c r="C3" s="3" t="n"/>
      <c r="D3" s="3" t="n"/>
      <c r="E3" s="3" t="n"/>
      <c r="F3" s="3" t="n"/>
      <c r="G3" s="3" t="n"/>
      <c r="H3" s="3" t="n"/>
      <c r="I3" s="3" t="n"/>
      <c r="J3" s="3" t="n"/>
      <c r="K3" s="3" t="n"/>
      <c r="L3" s="3" t="n"/>
      <c r="M3" s="3" t="n"/>
    </row>
    <row r="6" ht="26" customHeight="1">
      <c r="A6" s="4" t="inlineStr">
        <is>
          <t>Date</t>
        </is>
      </c>
      <c r="B6" s="4" t="inlineStr">
        <is>
          <t>JGB 2y</t>
        </is>
      </c>
      <c r="C6" s="4" t="inlineStr">
        <is>
          <t>JGB 10y</t>
        </is>
      </c>
      <c r="D6" s="4" t="inlineStr">
        <is>
          <t>JGB 30y</t>
        </is>
      </c>
      <c r="E6" s="4" t="inlineStr">
        <is>
          <t>UST 2y</t>
        </is>
      </c>
      <c r="F6" s="4" t="inlineStr">
        <is>
          <t>UST 10y</t>
        </is>
      </c>
      <c r="G6" s="4" t="inlineStr">
        <is>
          <t>Korea 10y</t>
        </is>
      </c>
      <c r="H6" s="4" t="inlineStr">
        <is>
          <t>Germany 10y</t>
        </is>
      </c>
      <c r="I6" s="4" t="inlineStr">
        <is>
          <t>Euro AAA 2y</t>
        </is>
      </c>
      <c r="J6" s="4" t="inlineStr">
        <is>
          <t>Euro AAA 10y</t>
        </is>
      </c>
      <c r="K6" s="4" t="inlineStr">
        <is>
          <t>HK EFN 2y</t>
        </is>
      </c>
      <c r="L6" s="4" t="inlineStr">
        <is>
          <t>HK EFB 3m</t>
        </is>
      </c>
      <c r="M6" s="4" t="inlineStr">
        <is>
          <t>JGB 2s10s</t>
        </is>
      </c>
      <c r="N6" s="4" t="inlineStr">
        <is>
          <t>JGB 10s30s</t>
        </is>
      </c>
      <c r="O6" s="4" t="inlineStr">
        <is>
          <t>UST 2s10s</t>
        </is>
      </c>
      <c r="P6" s="4" t="inlineStr">
        <is>
          <t>Euro 2s10s</t>
        </is>
      </c>
    </row>
    <row r="7">
      <c r="A7" s="17" t="n">
        <v>42370</v>
      </c>
      <c r="B7" s="16" t="n">
        <v>-0.033</v>
      </c>
      <c r="C7" s="16" t="n">
        <v>0.267</v>
      </c>
      <c r="D7" s="16" t="n">
        <v>1.282</v>
      </c>
      <c r="E7" s="16" t="n">
        <v>1.06</v>
      </c>
      <c r="F7" s="16" t="n">
        <v>2.27</v>
      </c>
      <c r="G7" s="16" t="n">
        <v>2.025</v>
      </c>
      <c r="H7" s="16" t="n">
        <v>0.4305</v>
      </c>
      <c r="I7" s="16" t="n"/>
      <c r="J7" s="16" t="n"/>
      <c r="K7" s="16" t="n">
        <v>0.496</v>
      </c>
      <c r="L7" s="16" t="n">
        <v>0.04</v>
      </c>
      <c r="M7" s="9">
        <f>($C7-$B7)*100</f>
        <v/>
      </c>
      <c r="N7" s="9">
        <f>($D7-$C7)*100</f>
        <v/>
      </c>
      <c r="O7" s="9">
        <f>($F7-$E7)*100</f>
        <v/>
      </c>
      <c r="P7" s="9">
        <f>($J7-$I7)*100</f>
        <v/>
      </c>
    </row>
    <row r="8">
      <c r="A8" s="17" t="n">
        <v>42377</v>
      </c>
      <c r="B8" s="16" t="n">
        <v>-0.031</v>
      </c>
      <c r="C8" s="16" t="n">
        <v>0.23</v>
      </c>
      <c r="D8" s="16" t="n">
        <v>1.22</v>
      </c>
      <c r="E8" s="16" t="n">
        <v>0.9399999999999999</v>
      </c>
      <c r="F8" s="16" t="n">
        <v>2.13</v>
      </c>
      <c r="G8" s="16" t="n">
        <v>2.025</v>
      </c>
      <c r="H8" s="16" t="n">
        <v>0.4305</v>
      </c>
      <c r="I8" s="16" t="n">
        <v>-0.3933</v>
      </c>
      <c r="J8" s="16" t="n">
        <v>0.6761</v>
      </c>
      <c r="K8" s="16" t="n">
        <v>0.432</v>
      </c>
      <c r="L8" s="16" t="n">
        <v>0.04</v>
      </c>
      <c r="M8" s="9">
        <f>($C8-$B8)*100</f>
        <v/>
      </c>
      <c r="N8" s="9">
        <f>($D8-$C8)*100</f>
        <v/>
      </c>
      <c r="O8" s="9">
        <f>($F8-$E8)*100</f>
        <v/>
      </c>
      <c r="P8" s="9">
        <f>($J8-$I8)*100</f>
        <v/>
      </c>
    </row>
    <row r="9">
      <c r="A9" s="17" t="n">
        <v>42384</v>
      </c>
      <c r="B9" s="16" t="n">
        <v>-0.03</v>
      </c>
      <c r="C9" s="16" t="n">
        <v>0.221</v>
      </c>
      <c r="D9" s="16" t="n">
        <v>1.252</v>
      </c>
      <c r="E9" s="16" t="n">
        <v>0.85</v>
      </c>
      <c r="F9" s="16" t="n">
        <v>2.03</v>
      </c>
      <c r="G9" s="16" t="n">
        <v>2.025</v>
      </c>
      <c r="H9" s="16" t="n">
        <v>0.4305</v>
      </c>
      <c r="I9" s="16" t="n">
        <v>-0.3953</v>
      </c>
      <c r="J9" s="16" t="n">
        <v>0.629</v>
      </c>
      <c r="K9" s="16" t="n">
        <v>0.432</v>
      </c>
      <c r="L9" s="16" t="n">
        <v>0.1</v>
      </c>
      <c r="M9" s="9">
        <f>($C9-$B9)*100</f>
        <v/>
      </c>
      <c r="N9" s="9">
        <f>($D9-$C9)*100</f>
        <v/>
      </c>
      <c r="O9" s="9">
        <f>($F9-$E9)*100</f>
        <v/>
      </c>
      <c r="P9" s="9">
        <f>($J9-$I9)*100</f>
        <v/>
      </c>
    </row>
    <row r="10">
      <c r="A10" s="17" t="n">
        <v>42391</v>
      </c>
      <c r="B10" s="16" t="n">
        <v>-0.021</v>
      </c>
      <c r="C10" s="16" t="n">
        <v>0.237</v>
      </c>
      <c r="D10" s="16" t="n">
        <v>1.208</v>
      </c>
      <c r="E10" s="16" t="n">
        <v>0.88</v>
      </c>
      <c r="F10" s="16" t="n">
        <v>2.07</v>
      </c>
      <c r="G10" s="16" t="n">
        <v>2.025</v>
      </c>
      <c r="H10" s="16" t="n">
        <v>0.4305</v>
      </c>
      <c r="I10" s="16" t="n">
        <v>-0.4336</v>
      </c>
      <c r="J10" s="16" t="n">
        <v>0.5915</v>
      </c>
      <c r="K10" s="16" t="n">
        <v>0.826</v>
      </c>
      <c r="L10" s="16" t="n">
        <v>0.22</v>
      </c>
      <c r="M10" s="9">
        <f>($C10-$B10)*100</f>
        <v/>
      </c>
      <c r="N10" s="9">
        <f>($D10-$C10)*100</f>
        <v/>
      </c>
      <c r="O10" s="9">
        <f>($F10-$E10)*100</f>
        <v/>
      </c>
      <c r="P10" s="9">
        <f>($J10-$I10)*100</f>
        <v/>
      </c>
    </row>
    <row r="11">
      <c r="A11" s="17" t="n">
        <v>42398</v>
      </c>
      <c r="B11" s="16" t="n">
        <v>-0.083</v>
      </c>
      <c r="C11" s="16" t="n">
        <v>0.104</v>
      </c>
      <c r="D11" s="16" t="n">
        <v>1.103</v>
      </c>
      <c r="E11" s="16" t="n">
        <v>0.76</v>
      </c>
      <c r="F11" s="16" t="n">
        <v>1.94</v>
      </c>
      <c r="G11" s="16" t="n">
        <v>2.025</v>
      </c>
      <c r="H11" s="16" t="n">
        <v>0.4305</v>
      </c>
      <c r="I11" s="16" t="n">
        <v>-0.4661</v>
      </c>
      <c r="J11" s="16" t="n">
        <v>0.4394</v>
      </c>
      <c r="K11" s="16" t="n">
        <v>0.898</v>
      </c>
      <c r="L11" s="16" t="n">
        <v>0.24</v>
      </c>
      <c r="M11" s="9">
        <f>($C11-$B11)*100</f>
        <v/>
      </c>
      <c r="N11" s="9">
        <f>($D11-$C11)*100</f>
        <v/>
      </c>
      <c r="O11" s="9">
        <f>($F11-$E11)*100</f>
        <v/>
      </c>
      <c r="P11" s="9">
        <f>($J11-$I11)*100</f>
        <v/>
      </c>
    </row>
    <row r="12">
      <c r="A12" s="17" t="n">
        <v>42405</v>
      </c>
      <c r="B12" s="16" t="n">
        <v>-0.193</v>
      </c>
      <c r="C12" s="16" t="n">
        <v>0.036</v>
      </c>
      <c r="D12" s="16" t="n">
        <v>1.11</v>
      </c>
      <c r="E12" s="16" t="n">
        <v>0.74</v>
      </c>
      <c r="F12" s="16" t="n">
        <v>1.86</v>
      </c>
      <c r="G12" s="16" t="n">
        <v>1.826</v>
      </c>
      <c r="H12" s="16" t="n">
        <v>0.1729</v>
      </c>
      <c r="I12" s="16" t="n">
        <v>-0.4719</v>
      </c>
      <c r="J12" s="16" t="n">
        <v>0.4098</v>
      </c>
      <c r="K12" s="16" t="n">
        <v>0.795</v>
      </c>
      <c r="L12" s="16" t="n">
        <v>0.33</v>
      </c>
      <c r="M12" s="9">
        <f>($C12-$B12)*100</f>
        <v/>
      </c>
      <c r="N12" s="9">
        <f>($D12-$C12)*100</f>
        <v/>
      </c>
      <c r="O12" s="9">
        <f>($F12-$E12)*100</f>
        <v/>
      </c>
      <c r="P12" s="9">
        <f>($J12-$I12)*100</f>
        <v/>
      </c>
    </row>
    <row r="13">
      <c r="A13" s="17" t="n">
        <v>42412</v>
      </c>
      <c r="B13" s="16" t="n">
        <v>-0.164</v>
      </c>
      <c r="C13" s="16" t="n">
        <v>0.08599999999999999</v>
      </c>
      <c r="D13" s="16" t="n">
        <v>1.177</v>
      </c>
      <c r="E13" s="16" t="n">
        <v>0.71</v>
      </c>
      <c r="F13" s="16" t="n">
        <v>1.74</v>
      </c>
      <c r="G13" s="16" t="n">
        <v>1.826</v>
      </c>
      <c r="H13" s="16" t="n">
        <v>0.1729</v>
      </c>
      <c r="I13" s="16" t="n">
        <v>-0.4979</v>
      </c>
      <c r="J13" s="16" t="n">
        <v>0.336</v>
      </c>
      <c r="K13" s="16" t="n">
        <v>0.73</v>
      </c>
      <c r="L13" s="16" t="n">
        <v>0.25</v>
      </c>
      <c r="M13" s="9">
        <f>($C13-$B13)*100</f>
        <v/>
      </c>
      <c r="N13" s="9">
        <f>($D13-$C13)*100</f>
        <v/>
      </c>
      <c r="O13" s="9">
        <f>($F13-$E13)*100</f>
        <v/>
      </c>
      <c r="P13" s="9">
        <f>($J13-$I13)*100</f>
        <v/>
      </c>
    </row>
    <row r="14">
      <c r="A14" s="17" t="n">
        <v>42419</v>
      </c>
      <c r="B14" s="16" t="n">
        <v>-0.212</v>
      </c>
      <c r="C14" s="16" t="n">
        <v>0.016</v>
      </c>
      <c r="D14" s="16" t="n">
        <v>1.062</v>
      </c>
      <c r="E14" s="16" t="n">
        <v>0.76</v>
      </c>
      <c r="F14" s="16" t="n">
        <v>1.76</v>
      </c>
      <c r="G14" s="16" t="n">
        <v>1.826</v>
      </c>
      <c r="H14" s="16" t="n">
        <v>0.1729</v>
      </c>
      <c r="I14" s="16" t="n">
        <v>-0.5034</v>
      </c>
      <c r="J14" s="16" t="n">
        <v>0.2989</v>
      </c>
      <c r="K14" s="16" t="n">
        <v>0.666</v>
      </c>
      <c r="L14" s="16" t="n">
        <v>0.14</v>
      </c>
      <c r="M14" s="9">
        <f>($C14-$B14)*100</f>
        <v/>
      </c>
      <c r="N14" s="9">
        <f>($D14-$C14)*100</f>
        <v/>
      </c>
      <c r="O14" s="9">
        <f>($F14-$E14)*100</f>
        <v/>
      </c>
      <c r="P14" s="9">
        <f>($J14-$I14)*100</f>
        <v/>
      </c>
    </row>
    <row r="15">
      <c r="A15" s="17" t="n">
        <v>42426</v>
      </c>
      <c r="B15" s="16" t="n">
        <v>-0.236</v>
      </c>
      <c r="C15" s="16" t="n">
        <v>-0.055</v>
      </c>
      <c r="D15" s="16" t="n">
        <v>0.907</v>
      </c>
      <c r="E15" s="16" t="n">
        <v>0.8</v>
      </c>
      <c r="F15" s="16" t="n">
        <v>1.76</v>
      </c>
      <c r="G15" s="16" t="n">
        <v>1.826</v>
      </c>
      <c r="H15" s="16" t="n">
        <v>0.1729</v>
      </c>
      <c r="I15" s="16" t="n">
        <v>-0.52</v>
      </c>
      <c r="J15" s="16" t="n">
        <v>0.2571</v>
      </c>
      <c r="K15" s="16" t="n">
        <v>0.5620000000000001</v>
      </c>
      <c r="L15" s="16" t="n">
        <v>0.06</v>
      </c>
      <c r="M15" s="9">
        <f>($C15-$B15)*100</f>
        <v/>
      </c>
      <c r="N15" s="9">
        <f>($D15-$C15)*100</f>
        <v/>
      </c>
      <c r="O15" s="9">
        <f>($F15-$E15)*100</f>
        <v/>
      </c>
      <c r="P15" s="9">
        <f>($J15-$I15)*100</f>
        <v/>
      </c>
    </row>
    <row r="16">
      <c r="A16" s="17" t="n">
        <v>42433</v>
      </c>
      <c r="B16" s="16" t="n">
        <v>-0.203</v>
      </c>
      <c r="C16" s="16" t="n">
        <v>-0.042</v>
      </c>
      <c r="D16" s="16" t="n">
        <v>0.777</v>
      </c>
      <c r="E16" s="16" t="n">
        <v>0.88</v>
      </c>
      <c r="F16" s="16" t="n">
        <v>1.88</v>
      </c>
      <c r="G16" s="16" t="n">
        <v>1.854</v>
      </c>
      <c r="H16" s="16" t="n">
        <v>0.1714</v>
      </c>
      <c r="I16" s="16" t="n">
        <v>-0.5303</v>
      </c>
      <c r="J16" s="16" t="n">
        <v>0.3266</v>
      </c>
      <c r="K16" s="16" t="n">
        <v>0.661</v>
      </c>
      <c r="L16" s="16" t="n">
        <v>0.07000000000000001</v>
      </c>
      <c r="M16" s="9">
        <f>($C16-$B16)*100</f>
        <v/>
      </c>
      <c r="N16" s="9">
        <f>($D16-$C16)*100</f>
        <v/>
      </c>
      <c r="O16" s="9">
        <f>($F16-$E16)*100</f>
        <v/>
      </c>
      <c r="P16" s="9">
        <f>($J16-$I16)*100</f>
        <v/>
      </c>
    </row>
    <row r="17">
      <c r="A17" s="17" t="n">
        <v>42440</v>
      </c>
      <c r="B17" s="16" t="n">
        <v>-0.163</v>
      </c>
      <c r="C17" s="16" t="n">
        <v>-0.016</v>
      </c>
      <c r="D17" s="16" t="n">
        <v>0.791</v>
      </c>
      <c r="E17" s="16" t="n">
        <v>0.97</v>
      </c>
      <c r="F17" s="16" t="n">
        <v>1.98</v>
      </c>
      <c r="G17" s="16" t="n">
        <v>1.854</v>
      </c>
      <c r="H17" s="16" t="n">
        <v>0.1714</v>
      </c>
      <c r="I17" s="16" t="n">
        <v>-0.4581</v>
      </c>
      <c r="J17" s="16" t="n">
        <v>0.3697</v>
      </c>
      <c r="K17" s="16" t="n">
        <v>0.606</v>
      </c>
      <c r="L17" s="16" t="n">
        <v>0.06</v>
      </c>
      <c r="M17" s="9">
        <f>($C17-$B17)*100</f>
        <v/>
      </c>
      <c r="N17" s="9">
        <f>($D17-$C17)*100</f>
        <v/>
      </c>
      <c r="O17" s="9">
        <f>($F17-$E17)*100</f>
        <v/>
      </c>
      <c r="P17" s="9">
        <f>($J17-$I17)*100</f>
        <v/>
      </c>
    </row>
    <row r="18">
      <c r="A18" s="17" t="n">
        <v>42447</v>
      </c>
      <c r="B18" s="16" t="n">
        <v>-0.22</v>
      </c>
      <c r="C18" s="16" t="n">
        <v>-0.101</v>
      </c>
      <c r="D18" s="16" t="n">
        <v>0.475</v>
      </c>
      <c r="E18" s="16" t="n">
        <v>0.84</v>
      </c>
      <c r="F18" s="16" t="n">
        <v>1.88</v>
      </c>
      <c r="G18" s="16" t="n">
        <v>1.854</v>
      </c>
      <c r="H18" s="16" t="n">
        <v>0.1714</v>
      </c>
      <c r="I18" s="16" t="n">
        <v>-0.481</v>
      </c>
      <c r="J18" s="16" t="n">
        <v>0.3021</v>
      </c>
      <c r="K18" s="16" t="n">
        <v>0.54</v>
      </c>
      <c r="L18" s="16" t="n">
        <v>0.02</v>
      </c>
      <c r="M18" s="9">
        <f>($C18-$B18)*100</f>
        <v/>
      </c>
      <c r="N18" s="9">
        <f>($D18-$C18)*100</f>
        <v/>
      </c>
      <c r="O18" s="9">
        <f>($F18-$E18)*100</f>
        <v/>
      </c>
      <c r="P18" s="9">
        <f>($J18-$I18)*100</f>
        <v/>
      </c>
    </row>
    <row r="19">
      <c r="A19" s="17" t="n">
        <v>42454</v>
      </c>
      <c r="B19" s="16" t="n">
        <v>-0.224</v>
      </c>
      <c r="C19" s="16" t="n">
        <v>-0.1</v>
      </c>
      <c r="D19" s="16" t="n">
        <v>0.523</v>
      </c>
      <c r="E19" s="16" t="n">
        <v>0.89</v>
      </c>
      <c r="F19" s="16" t="n">
        <v>1.91</v>
      </c>
      <c r="G19" s="16" t="n">
        <v>1.854</v>
      </c>
      <c r="H19" s="16" t="n">
        <v>0.1714</v>
      </c>
      <c r="I19" s="16" t="n">
        <v>-0.4842</v>
      </c>
      <c r="J19" s="16" t="n">
        <v>0.2865</v>
      </c>
      <c r="K19" s="16" t="n">
        <v>0.621</v>
      </c>
      <c r="L19" s="16" t="n">
        <v>0.06</v>
      </c>
      <c r="M19" s="9">
        <f>($C19-$B19)*100</f>
        <v/>
      </c>
      <c r="N19" s="9">
        <f>($D19-$C19)*100</f>
        <v/>
      </c>
      <c r="O19" s="9">
        <f>($F19-$E19)*100</f>
        <v/>
      </c>
      <c r="P19" s="9">
        <f>($J19-$I19)*100</f>
        <v/>
      </c>
    </row>
    <row r="20">
      <c r="A20" s="17" t="n">
        <v>42461</v>
      </c>
      <c r="B20" s="16" t="n">
        <v>-0.214</v>
      </c>
      <c r="C20" s="16" t="n">
        <v>-0.065</v>
      </c>
      <c r="D20" s="16" t="n">
        <v>0.43</v>
      </c>
      <c r="E20" s="16" t="n">
        <v>0.76</v>
      </c>
      <c r="F20" s="16" t="n">
        <v>1.79</v>
      </c>
      <c r="G20" s="16" t="n">
        <v>1.81</v>
      </c>
      <c r="H20" s="16" t="n">
        <v>0.1343</v>
      </c>
      <c r="I20" s="16" t="n">
        <v>-0.491</v>
      </c>
      <c r="J20" s="16" t="n">
        <v>0.2254</v>
      </c>
      <c r="K20" s="16" t="n">
        <v>0.5639999999999999</v>
      </c>
      <c r="L20" s="16" t="n">
        <v>0.08</v>
      </c>
      <c r="M20" s="9">
        <f>($C20-$B20)*100</f>
        <v/>
      </c>
      <c r="N20" s="9">
        <f>($D20-$C20)*100</f>
        <v/>
      </c>
      <c r="O20" s="9">
        <f>($F20-$E20)*100</f>
        <v/>
      </c>
      <c r="P20" s="9">
        <f>($J20-$I20)*100</f>
        <v/>
      </c>
    </row>
    <row r="21">
      <c r="A21" s="17" t="n">
        <v>42468</v>
      </c>
      <c r="B21" s="16" t="n">
        <v>-0.241</v>
      </c>
      <c r="C21" s="16" t="n">
        <v>-0.083</v>
      </c>
      <c r="D21" s="16" t="n">
        <v>0.44</v>
      </c>
      <c r="E21" s="16" t="n">
        <v>0.7</v>
      </c>
      <c r="F21" s="16" t="n">
        <v>1.72</v>
      </c>
      <c r="G21" s="16" t="n">
        <v>1.81</v>
      </c>
      <c r="H21" s="16" t="n">
        <v>0.1343</v>
      </c>
      <c r="I21" s="16" t="n">
        <v>-0.5065</v>
      </c>
      <c r="J21" s="16" t="n">
        <v>0.1954</v>
      </c>
      <c r="K21" s="16" t="n">
        <v>0.593</v>
      </c>
      <c r="L21" s="16" t="n">
        <v>0.05</v>
      </c>
      <c r="M21" s="9">
        <f>($C21-$B21)*100</f>
        <v/>
      </c>
      <c r="N21" s="9">
        <f>($D21-$C21)*100</f>
        <v/>
      </c>
      <c r="O21" s="9">
        <f>($F21-$E21)*100</f>
        <v/>
      </c>
      <c r="P21" s="9">
        <f>($J21-$I21)*100</f>
        <v/>
      </c>
    </row>
    <row r="22">
      <c r="A22" s="17" t="n">
        <v>42475</v>
      </c>
      <c r="B22" s="16" t="n">
        <v>-0.254</v>
      </c>
      <c r="C22" s="16" t="n">
        <v>-0.113</v>
      </c>
      <c r="D22" s="16" t="n">
        <v>0.41</v>
      </c>
      <c r="E22" s="16" t="n">
        <v>0.74</v>
      </c>
      <c r="F22" s="16" t="n">
        <v>1.76</v>
      </c>
      <c r="G22" s="16" t="n">
        <v>1.81</v>
      </c>
      <c r="H22" s="16" t="n">
        <v>0.1343</v>
      </c>
      <c r="I22" s="16" t="n">
        <v>-0.5149</v>
      </c>
      <c r="J22" s="16" t="n">
        <v>0.1857</v>
      </c>
      <c r="K22" s="16" t="n">
        <v>0.606</v>
      </c>
      <c r="L22" s="16" t="n">
        <v>0.05</v>
      </c>
      <c r="M22" s="9">
        <f>($C22-$B22)*100</f>
        <v/>
      </c>
      <c r="N22" s="9">
        <f>($D22-$C22)*100</f>
        <v/>
      </c>
      <c r="O22" s="9">
        <f>($F22-$E22)*100</f>
        <v/>
      </c>
      <c r="P22" s="9">
        <f>($J22-$I22)*100</f>
        <v/>
      </c>
    </row>
    <row r="23">
      <c r="A23" s="17" t="n">
        <v>42482</v>
      </c>
      <c r="B23" s="16" t="n">
        <v>-0.28</v>
      </c>
      <c r="C23" s="16" t="n">
        <v>-0.123</v>
      </c>
      <c r="D23" s="16" t="n">
        <v>0.354</v>
      </c>
      <c r="E23" s="16" t="n">
        <v>0.84</v>
      </c>
      <c r="F23" s="16" t="n">
        <v>1.89</v>
      </c>
      <c r="G23" s="16" t="n">
        <v>1.81</v>
      </c>
      <c r="H23" s="16" t="n">
        <v>0.1343</v>
      </c>
      <c r="I23" s="16" t="n">
        <v>-0.4957</v>
      </c>
      <c r="J23" s="16" t="n">
        <v>0.2885</v>
      </c>
      <c r="K23" s="16" t="n">
        <v>0.619</v>
      </c>
      <c r="L23" s="16" t="n">
        <v>0.04</v>
      </c>
      <c r="M23" s="9">
        <f>($C23-$B23)*100</f>
        <v/>
      </c>
      <c r="N23" s="9">
        <f>($D23-$C23)*100</f>
        <v/>
      </c>
      <c r="O23" s="9">
        <f>($F23-$E23)*100</f>
        <v/>
      </c>
      <c r="P23" s="9">
        <f>($J23-$I23)*100</f>
        <v/>
      </c>
    </row>
    <row r="24">
      <c r="A24" s="17" t="n">
        <v>42489</v>
      </c>
      <c r="B24" s="16" t="n">
        <v>-0.244</v>
      </c>
      <c r="C24" s="16" t="n">
        <v>-0.082</v>
      </c>
      <c r="D24" s="16" t="n">
        <v>0.349</v>
      </c>
      <c r="E24" s="16" t="n">
        <v>0.77</v>
      </c>
      <c r="F24" s="16" t="n">
        <v>1.83</v>
      </c>
      <c r="G24" s="16" t="n">
        <v>1.81</v>
      </c>
      <c r="H24" s="16" t="n">
        <v>0.1343</v>
      </c>
      <c r="I24" s="16" t="n">
        <v>-0.5024</v>
      </c>
      <c r="J24" s="16" t="n">
        <v>0.3432</v>
      </c>
      <c r="K24" s="16" t="n">
        <v>0.593</v>
      </c>
      <c r="L24" s="16" t="n">
        <v>0.06</v>
      </c>
      <c r="M24" s="9">
        <f>($C24-$B24)*100</f>
        <v/>
      </c>
      <c r="N24" s="9">
        <f>($D24-$C24)*100</f>
        <v/>
      </c>
      <c r="O24" s="9">
        <f>($F24-$E24)*100</f>
        <v/>
      </c>
      <c r="P24" s="9">
        <f>($J24-$I24)*100</f>
        <v/>
      </c>
    </row>
    <row r="25">
      <c r="A25" s="17" t="n">
        <v>42496</v>
      </c>
      <c r="B25" s="16" t="n">
        <v>-0.247</v>
      </c>
      <c r="C25" s="16" t="n">
        <v>-0.117</v>
      </c>
      <c r="D25" s="16" t="n">
        <v>0.288</v>
      </c>
      <c r="E25" s="16" t="n">
        <v>0.74</v>
      </c>
      <c r="F25" s="16" t="n">
        <v>1.79</v>
      </c>
      <c r="G25" s="16" t="n">
        <v>1.787</v>
      </c>
      <c r="H25" s="16" t="n">
        <v>0.1329</v>
      </c>
      <c r="I25" s="16" t="n">
        <v>-0.5314</v>
      </c>
      <c r="J25" s="16" t="n">
        <v>0.2207</v>
      </c>
      <c r="K25" s="16" t="n">
        <v>0.629</v>
      </c>
      <c r="L25" s="16" t="n">
        <v>0.06</v>
      </c>
      <c r="M25" s="9">
        <f>($C25-$B25)*100</f>
        <v/>
      </c>
      <c r="N25" s="9">
        <f>($D25-$C25)*100</f>
        <v/>
      </c>
      <c r="O25" s="9">
        <f>($F25-$E25)*100</f>
        <v/>
      </c>
      <c r="P25" s="9">
        <f>($J25-$I25)*100</f>
        <v/>
      </c>
    </row>
    <row r="26">
      <c r="A26" s="17" t="n">
        <v>42503</v>
      </c>
      <c r="B26" s="16" t="n">
        <v>-0.253</v>
      </c>
      <c r="C26" s="16" t="n">
        <v>-0.11</v>
      </c>
      <c r="D26" s="16" t="n">
        <v>0.365</v>
      </c>
      <c r="E26" s="16" t="n">
        <v>0.76</v>
      </c>
      <c r="F26" s="16" t="n">
        <v>1.71</v>
      </c>
      <c r="G26" s="16" t="n">
        <v>1.787</v>
      </c>
      <c r="H26" s="16" t="n">
        <v>0.1329</v>
      </c>
      <c r="I26" s="16" t="n">
        <v>-0.5328000000000001</v>
      </c>
      <c r="J26" s="16" t="n">
        <v>0.1904</v>
      </c>
      <c r="K26" s="16" t="n">
        <v>0.575</v>
      </c>
      <c r="L26" s="16" t="n">
        <v>0.08</v>
      </c>
      <c r="M26" s="9">
        <f>($C26-$B26)*100</f>
        <v/>
      </c>
      <c r="N26" s="9">
        <f>($D26-$C26)*100</f>
        <v/>
      </c>
      <c r="O26" s="9">
        <f>($F26-$E26)*100</f>
        <v/>
      </c>
      <c r="P26" s="9">
        <f>($J26-$I26)*100</f>
        <v/>
      </c>
    </row>
    <row r="27">
      <c r="A27" s="17" t="n">
        <v>42510</v>
      </c>
      <c r="B27" s="16" t="n">
        <v>-0.236</v>
      </c>
      <c r="C27" s="16" t="n">
        <v>-0.102</v>
      </c>
      <c r="D27" s="16" t="n">
        <v>0.344</v>
      </c>
      <c r="E27" s="16" t="n">
        <v>0.89</v>
      </c>
      <c r="F27" s="16" t="n">
        <v>1.85</v>
      </c>
      <c r="G27" s="16" t="n">
        <v>1.787</v>
      </c>
      <c r="H27" s="16" t="n">
        <v>0.1329</v>
      </c>
      <c r="I27" s="16" t="n">
        <v>-0.5238</v>
      </c>
      <c r="J27" s="16" t="n">
        <v>0.2281</v>
      </c>
      <c r="K27" s="16" t="n">
        <v>0.616</v>
      </c>
      <c r="L27" s="16" t="n">
        <v>0.09</v>
      </c>
      <c r="M27" s="9">
        <f>($C27-$B27)*100</f>
        <v/>
      </c>
      <c r="N27" s="9">
        <f>($D27-$C27)*100</f>
        <v/>
      </c>
      <c r="O27" s="9">
        <f>($F27-$E27)*100</f>
        <v/>
      </c>
      <c r="P27" s="9">
        <f>($J27-$I27)*100</f>
        <v/>
      </c>
    </row>
    <row r="28">
      <c r="A28" s="17" t="n">
        <v>42517</v>
      </c>
      <c r="B28" s="16" t="n">
        <v>-0.24</v>
      </c>
      <c r="C28" s="16" t="n">
        <v>-0.113</v>
      </c>
      <c r="D28" s="16" t="n">
        <v>0.326</v>
      </c>
      <c r="E28" s="16" t="n">
        <v>0.9</v>
      </c>
      <c r="F28" s="16" t="n">
        <v>1.85</v>
      </c>
      <c r="G28" s="16" t="n">
        <v>1.787</v>
      </c>
      <c r="H28" s="16" t="n">
        <v>0.1329</v>
      </c>
      <c r="I28" s="16" t="n">
        <v>-0.5417999999999999</v>
      </c>
      <c r="J28" s="16" t="n">
        <v>0.1709</v>
      </c>
      <c r="K28" s="16" t="n">
        <v>0.593</v>
      </c>
      <c r="L28" s="16" t="n">
        <v>0.14</v>
      </c>
      <c r="M28" s="9">
        <f>($C28-$B28)*100</f>
        <v/>
      </c>
      <c r="N28" s="9">
        <f>($D28-$C28)*100</f>
        <v/>
      </c>
      <c r="O28" s="9">
        <f>($F28-$E28)*100</f>
        <v/>
      </c>
      <c r="P28" s="9">
        <f>($J28-$I28)*100</f>
        <v/>
      </c>
    </row>
    <row r="29">
      <c r="A29" s="17" t="n">
        <v>42524</v>
      </c>
      <c r="B29" s="16" t="n">
        <v>-0.24</v>
      </c>
      <c r="C29" s="16" t="n">
        <v>-0.108</v>
      </c>
      <c r="D29" s="16" t="n">
        <v>0.33</v>
      </c>
      <c r="E29" s="16" t="n">
        <v>0.78</v>
      </c>
      <c r="F29" s="16" t="n">
        <v>1.71</v>
      </c>
      <c r="G29" s="16" t="n">
        <v>1.617</v>
      </c>
      <c r="H29" s="16" t="n">
        <v>-0.0168</v>
      </c>
      <c r="I29" s="16" t="n">
        <v>-0.5496</v>
      </c>
      <c r="J29" s="16" t="n">
        <v>0.1237</v>
      </c>
      <c r="K29" s="16" t="n">
        <v>0.618</v>
      </c>
      <c r="L29" s="16" t="n">
        <v>0.19</v>
      </c>
      <c r="M29" s="9">
        <f>($C29-$B29)*100</f>
        <v/>
      </c>
      <c r="N29" s="9">
        <f>($D29-$C29)*100</f>
        <v/>
      </c>
      <c r="O29" s="9">
        <f>($F29-$E29)*100</f>
        <v/>
      </c>
      <c r="P29" s="9">
        <f>($J29-$I29)*100</f>
        <v/>
      </c>
    </row>
    <row r="30">
      <c r="A30" s="17" t="n">
        <v>42531</v>
      </c>
      <c r="B30" s="16" t="n">
        <v>-0.271</v>
      </c>
      <c r="C30" s="16" t="n">
        <v>-0.158</v>
      </c>
      <c r="D30" s="16" t="n">
        <v>0.271</v>
      </c>
      <c r="E30" s="16" t="n">
        <v>0.73</v>
      </c>
      <c r="F30" s="16" t="n">
        <v>1.64</v>
      </c>
      <c r="G30" s="16" t="n">
        <v>1.617</v>
      </c>
      <c r="H30" s="16" t="n">
        <v>-0.0168</v>
      </c>
      <c r="I30" s="16" t="n">
        <v>-0.5638</v>
      </c>
      <c r="J30" s="16" t="n">
        <v>0.0466</v>
      </c>
      <c r="K30" s="16" t="n">
        <v>0.494</v>
      </c>
      <c r="L30" s="16" t="n">
        <v>0.18</v>
      </c>
      <c r="M30" s="9">
        <f>($C30-$B30)*100</f>
        <v/>
      </c>
      <c r="N30" s="9">
        <f>($D30-$C30)*100</f>
        <v/>
      </c>
      <c r="O30" s="9">
        <f>($F30-$E30)*100</f>
        <v/>
      </c>
      <c r="P30" s="9">
        <f>($J30-$I30)*100</f>
        <v/>
      </c>
    </row>
    <row r="31">
      <c r="A31" s="17" t="n">
        <v>42538</v>
      </c>
      <c r="B31" s="16" t="n">
        <v>-0.255</v>
      </c>
      <c r="C31" s="16" t="n">
        <v>-0.157</v>
      </c>
      <c r="D31" s="16" t="n">
        <v>0.232</v>
      </c>
      <c r="E31" s="16" t="n">
        <v>0.7</v>
      </c>
      <c r="F31" s="16" t="n">
        <v>1.62</v>
      </c>
      <c r="G31" s="16" t="n">
        <v>1.617</v>
      </c>
      <c r="H31" s="16" t="n">
        <v>-0.0168</v>
      </c>
      <c r="I31" s="16" t="n">
        <v>-0.6071</v>
      </c>
      <c r="J31" s="16" t="n">
        <v>0.0484</v>
      </c>
      <c r="K31" s="16" t="n">
        <v>0.534</v>
      </c>
      <c r="L31" s="16" t="n">
        <v>0.14</v>
      </c>
      <c r="M31" s="9">
        <f>($C31-$B31)*100</f>
        <v/>
      </c>
      <c r="N31" s="9">
        <f>($D31-$C31)*100</f>
        <v/>
      </c>
      <c r="O31" s="9">
        <f>($F31-$E31)*100</f>
        <v/>
      </c>
      <c r="P31" s="9">
        <f>($J31-$I31)*100</f>
        <v/>
      </c>
    </row>
    <row r="32">
      <c r="A32" s="17" t="n">
        <v>42545</v>
      </c>
      <c r="B32" s="16" t="n">
        <v>-0.289</v>
      </c>
      <c r="C32" s="16" t="n">
        <v>-0.201</v>
      </c>
      <c r="D32" s="16" t="n">
        <v>0.133</v>
      </c>
      <c r="E32" s="16" t="n">
        <v>0.64</v>
      </c>
      <c r="F32" s="16" t="n">
        <v>1.57</v>
      </c>
      <c r="G32" s="16" t="n">
        <v>1.617</v>
      </c>
      <c r="H32" s="16" t="n">
        <v>-0.0168</v>
      </c>
      <c r="I32" s="16" t="n">
        <v>-0.6609</v>
      </c>
      <c r="J32" s="16" t="n">
        <v>-0.0245</v>
      </c>
      <c r="K32" s="16" t="n">
        <v>0.464</v>
      </c>
      <c r="L32" s="16" t="n">
        <v>0.13</v>
      </c>
      <c r="M32" s="9">
        <f>($C32-$B32)*100</f>
        <v/>
      </c>
      <c r="N32" s="9">
        <f>($D32-$C32)*100</f>
        <v/>
      </c>
      <c r="O32" s="9">
        <f>($F32-$E32)*100</f>
        <v/>
      </c>
      <c r="P32" s="9">
        <f>($J32-$I32)*100</f>
        <v/>
      </c>
    </row>
    <row r="33">
      <c r="A33" s="17" t="n">
        <v>42552</v>
      </c>
      <c r="B33" s="16" t="n">
        <v>-0.329</v>
      </c>
      <c r="C33" s="16" t="n">
        <v>-0.262</v>
      </c>
      <c r="D33" s="16" t="n">
        <v>0.103</v>
      </c>
      <c r="E33" s="16" t="n">
        <v>0.59</v>
      </c>
      <c r="F33" s="16" t="n">
        <v>1.46</v>
      </c>
      <c r="G33" s="16" t="n">
        <v>1.401</v>
      </c>
      <c r="H33" s="16" t="n">
        <v>-0.1543</v>
      </c>
      <c r="I33" s="16" t="n">
        <v>-0.6624</v>
      </c>
      <c r="J33" s="16" t="n">
        <v>-0.1095</v>
      </c>
      <c r="K33" s="16" t="n">
        <v>0.436</v>
      </c>
      <c r="L33" s="16" t="n">
        <v>0.17</v>
      </c>
      <c r="M33" s="9">
        <f>($C33-$B33)*100</f>
        <v/>
      </c>
      <c r="N33" s="9">
        <f>($D33-$C33)*100</f>
        <v/>
      </c>
      <c r="O33" s="9">
        <f>($F33-$E33)*100</f>
        <v/>
      </c>
      <c r="P33" s="9">
        <f>($J33-$I33)*100</f>
        <v/>
      </c>
    </row>
    <row r="34">
      <c r="A34" s="17" t="n">
        <v>42559</v>
      </c>
      <c r="B34" s="16" t="n">
        <v>-0.354</v>
      </c>
      <c r="C34" s="16" t="n">
        <v>-0.293</v>
      </c>
      <c r="D34" s="16" t="n">
        <v>0.08799999999999999</v>
      </c>
      <c r="E34" s="16" t="n">
        <v>0.61</v>
      </c>
      <c r="F34" s="16" t="n">
        <v>1.37</v>
      </c>
      <c r="G34" s="16" t="n">
        <v>1.401</v>
      </c>
      <c r="H34" s="16" t="n">
        <v>-0.1543</v>
      </c>
      <c r="I34" s="16" t="n">
        <v>-0.6989</v>
      </c>
      <c r="J34" s="16" t="n">
        <v>-0.1601</v>
      </c>
      <c r="K34" s="16" t="n">
        <v>0.449</v>
      </c>
      <c r="L34" s="16" t="n">
        <v>0.19</v>
      </c>
      <c r="M34" s="9">
        <f>($C34-$B34)*100</f>
        <v/>
      </c>
      <c r="N34" s="9">
        <f>($D34-$C34)*100</f>
        <v/>
      </c>
      <c r="O34" s="9">
        <f>($F34-$E34)*100</f>
        <v/>
      </c>
      <c r="P34" s="9">
        <f>($J34-$I34)*100</f>
        <v/>
      </c>
    </row>
    <row r="35">
      <c r="A35" s="17" t="n">
        <v>42566</v>
      </c>
      <c r="B35" s="16" t="n">
        <v>-0.333</v>
      </c>
      <c r="C35" s="16" t="n">
        <v>-0.234</v>
      </c>
      <c r="D35" s="16" t="n">
        <v>0.188</v>
      </c>
      <c r="E35" s="16" t="n">
        <v>0.71</v>
      </c>
      <c r="F35" s="16" t="n">
        <v>1.6</v>
      </c>
      <c r="G35" s="16" t="n">
        <v>1.401</v>
      </c>
      <c r="H35" s="16" t="n">
        <v>-0.1543</v>
      </c>
      <c r="I35" s="16" t="n">
        <v>-0.6698</v>
      </c>
      <c r="J35" s="16" t="n">
        <v>-0.0568</v>
      </c>
      <c r="K35" s="16" t="n">
        <v>0.479</v>
      </c>
      <c r="L35" s="16" t="n">
        <v>0.24</v>
      </c>
      <c r="M35" s="9">
        <f>($C35-$B35)*100</f>
        <v/>
      </c>
      <c r="N35" s="9">
        <f>($D35-$C35)*100</f>
        <v/>
      </c>
      <c r="O35" s="9">
        <f>($F35-$E35)*100</f>
        <v/>
      </c>
      <c r="P35" s="9">
        <f>($J35-$I35)*100</f>
        <v/>
      </c>
    </row>
    <row r="36">
      <c r="A36" s="17" t="n">
        <v>42573</v>
      </c>
      <c r="B36" s="16" t="n">
        <v>-0.333</v>
      </c>
      <c r="C36" s="16" t="n">
        <v>-0.229</v>
      </c>
      <c r="D36" s="16" t="n">
        <v>0.257</v>
      </c>
      <c r="E36" s="16" t="n">
        <v>0.71</v>
      </c>
      <c r="F36" s="16" t="n">
        <v>1.57</v>
      </c>
      <c r="G36" s="16" t="n">
        <v>1.401</v>
      </c>
      <c r="H36" s="16" t="n">
        <v>-0.1543</v>
      </c>
      <c r="I36" s="16" t="n">
        <v>-0.6422</v>
      </c>
      <c r="J36" s="16" t="n">
        <v>-0.0525</v>
      </c>
      <c r="K36" s="16" t="n">
        <v>0.499</v>
      </c>
      <c r="L36" s="16" t="n">
        <v>0.27</v>
      </c>
      <c r="M36" s="9">
        <f>($C36-$B36)*100</f>
        <v/>
      </c>
      <c r="N36" s="9">
        <f>($D36-$C36)*100</f>
        <v/>
      </c>
      <c r="O36" s="9">
        <f>($F36-$E36)*100</f>
        <v/>
      </c>
      <c r="P36" s="9">
        <f>($J36-$I36)*100</f>
        <v/>
      </c>
    </row>
    <row r="37">
      <c r="A37" s="17" t="n">
        <v>42580</v>
      </c>
      <c r="B37" s="16" t="n">
        <v>-0.251</v>
      </c>
      <c r="C37" s="16" t="n">
        <v>-0.178</v>
      </c>
      <c r="D37" s="16" t="n">
        <v>0.263</v>
      </c>
      <c r="E37" s="16" t="n">
        <v>0.67</v>
      </c>
      <c r="F37" s="16" t="n">
        <v>1.46</v>
      </c>
      <c r="G37" s="16" t="n">
        <v>1.401</v>
      </c>
      <c r="H37" s="16" t="n">
        <v>-0.1543</v>
      </c>
      <c r="I37" s="16" t="n">
        <v>-0.6533</v>
      </c>
      <c r="J37" s="16" t="n">
        <v>-0.1518</v>
      </c>
      <c r="K37" s="16" t="n">
        <v>0.492</v>
      </c>
      <c r="L37" s="16" t="n">
        <v>0.28</v>
      </c>
      <c r="M37" s="9">
        <f>($C37-$B37)*100</f>
        <v/>
      </c>
      <c r="N37" s="9">
        <f>($D37-$C37)*100</f>
        <v/>
      </c>
      <c r="O37" s="9">
        <f>($F37-$E37)*100</f>
        <v/>
      </c>
      <c r="P37" s="9">
        <f>($J37-$I37)*100</f>
        <v/>
      </c>
    </row>
    <row r="38">
      <c r="A38" s="17" t="n">
        <v>42587</v>
      </c>
      <c r="B38" s="16" t="n">
        <v>-0.193</v>
      </c>
      <c r="C38" s="16" t="n">
        <v>-0.096</v>
      </c>
      <c r="D38" s="16" t="n">
        <v>0.383</v>
      </c>
      <c r="E38" s="16" t="n">
        <v>0.72</v>
      </c>
      <c r="F38" s="16" t="n">
        <v>1.59</v>
      </c>
      <c r="G38" s="16" t="n">
        <v>1.417</v>
      </c>
      <c r="H38" s="16" t="n">
        <v>-0.1317</v>
      </c>
      <c r="I38" s="16" t="n">
        <v>-0.6536</v>
      </c>
      <c r="J38" s="16" t="n">
        <v>-0.1138</v>
      </c>
      <c r="K38" s="16" t="n">
        <v>0.462</v>
      </c>
      <c r="L38" s="16" t="n">
        <v>0.27</v>
      </c>
      <c r="M38" s="9">
        <f>($C38-$B38)*100</f>
        <v/>
      </c>
      <c r="N38" s="9">
        <f>($D38-$C38)*100</f>
        <v/>
      </c>
      <c r="O38" s="9">
        <f>($F38-$E38)*100</f>
        <v/>
      </c>
      <c r="P38" s="9">
        <f>($J38-$I38)*100</f>
        <v/>
      </c>
    </row>
    <row r="39">
      <c r="A39" s="17" t="n">
        <v>42594</v>
      </c>
      <c r="B39" s="16" t="n">
        <v>-0.197</v>
      </c>
      <c r="C39" s="16" t="n">
        <v>-0.106</v>
      </c>
      <c r="D39" s="16" t="n">
        <v>0.35</v>
      </c>
      <c r="E39" s="16" t="n">
        <v>0.71</v>
      </c>
      <c r="F39" s="16" t="n">
        <v>1.51</v>
      </c>
      <c r="G39" s="16" t="n">
        <v>1.417</v>
      </c>
      <c r="H39" s="16" t="n">
        <v>-0.1317</v>
      </c>
      <c r="I39" s="16" t="n">
        <v>-0.6619</v>
      </c>
      <c r="J39" s="16" t="n">
        <v>-0.1494</v>
      </c>
      <c r="K39" s="16" t="n">
        <v>0.443</v>
      </c>
      <c r="L39" s="16" t="n">
        <v>0.27</v>
      </c>
      <c r="M39" s="9">
        <f>($C39-$B39)*100</f>
        <v/>
      </c>
      <c r="N39" s="9">
        <f>($D39-$C39)*100</f>
        <v/>
      </c>
      <c r="O39" s="9">
        <f>($F39-$E39)*100</f>
        <v/>
      </c>
      <c r="P39" s="9">
        <f>($J39-$I39)*100</f>
        <v/>
      </c>
    </row>
    <row r="40">
      <c r="A40" s="17" t="n">
        <v>42601</v>
      </c>
      <c r="B40" s="16" t="n">
        <v>-0.206</v>
      </c>
      <c r="C40" s="16" t="n">
        <v>-0.08400000000000001</v>
      </c>
      <c r="D40" s="16" t="n">
        <v>0.323</v>
      </c>
      <c r="E40" s="16" t="n">
        <v>0.76</v>
      </c>
      <c r="F40" s="16" t="n">
        <v>1.58</v>
      </c>
      <c r="G40" s="16" t="n">
        <v>1.417</v>
      </c>
      <c r="H40" s="16" t="n">
        <v>-0.1317</v>
      </c>
      <c r="I40" s="16" t="n">
        <v>-0.6415999999999999</v>
      </c>
      <c r="J40" s="16" t="n">
        <v>-0.1081</v>
      </c>
      <c r="K40" s="16" t="n">
        <v>0.455</v>
      </c>
      <c r="L40" s="16" t="n">
        <v>0.27</v>
      </c>
      <c r="M40" s="9">
        <f>($C40-$B40)*100</f>
        <v/>
      </c>
      <c r="N40" s="9">
        <f>($D40-$C40)*100</f>
        <v/>
      </c>
      <c r="O40" s="9">
        <f>($F40-$E40)*100</f>
        <v/>
      </c>
      <c r="P40" s="9">
        <f>($J40-$I40)*100</f>
        <v/>
      </c>
    </row>
    <row r="41">
      <c r="A41" s="17" t="n">
        <v>42608</v>
      </c>
      <c r="B41" s="16" t="n">
        <v>-0.178</v>
      </c>
      <c r="C41" s="16" t="n">
        <v>-0.068</v>
      </c>
      <c r="D41" s="16" t="n">
        <v>0.343</v>
      </c>
      <c r="E41" s="16" t="n">
        <v>0.84</v>
      </c>
      <c r="F41" s="16" t="n">
        <v>1.62</v>
      </c>
      <c r="G41" s="16" t="n">
        <v>1.417</v>
      </c>
      <c r="H41" s="16" t="n">
        <v>-0.1317</v>
      </c>
      <c r="I41" s="16" t="n">
        <v>-0.6407</v>
      </c>
      <c r="J41" s="16" t="n">
        <v>-0.1103</v>
      </c>
      <c r="K41" s="16" t="n">
        <v>0.469</v>
      </c>
      <c r="L41" s="16" t="n">
        <v>0.28</v>
      </c>
      <c r="M41" s="9">
        <f>($C41-$B41)*100</f>
        <v/>
      </c>
      <c r="N41" s="9">
        <f>($D41-$C41)*100</f>
        <v/>
      </c>
      <c r="O41" s="9">
        <f>($F41-$E41)*100</f>
        <v/>
      </c>
      <c r="P41" s="9">
        <f>($J41-$I41)*100</f>
        <v/>
      </c>
    </row>
    <row r="42">
      <c r="A42" s="17" t="n">
        <v>42615</v>
      </c>
      <c r="B42" s="16" t="n">
        <v>-0.187</v>
      </c>
      <c r="C42" s="16" t="n">
        <v>-0.027</v>
      </c>
      <c r="D42" s="16" t="n">
        <v>0.494</v>
      </c>
      <c r="E42" s="16" t="n">
        <v>0.8</v>
      </c>
      <c r="F42" s="16" t="n">
        <v>1.6</v>
      </c>
      <c r="G42" s="16" t="n">
        <v>1.512</v>
      </c>
      <c r="H42" s="16" t="n">
        <v>-0.08409999999999999</v>
      </c>
      <c r="I42" s="16" t="n">
        <v>-0.6558</v>
      </c>
      <c r="J42" s="16" t="n">
        <v>-0.0723</v>
      </c>
      <c r="K42" s="16" t="n">
        <v>0.489</v>
      </c>
      <c r="L42" s="16" t="n">
        <v>0.29</v>
      </c>
      <c r="M42" s="9">
        <f>($C42-$B42)*100</f>
        <v/>
      </c>
      <c r="N42" s="9">
        <f>($D42-$C42)*100</f>
        <v/>
      </c>
      <c r="O42" s="9">
        <f>($F42-$E42)*100</f>
        <v/>
      </c>
      <c r="P42" s="9">
        <f>($J42-$I42)*100</f>
        <v/>
      </c>
    </row>
    <row r="43">
      <c r="A43" s="17" t="n">
        <v>42622</v>
      </c>
      <c r="B43" s="16" t="n">
        <v>-0.204</v>
      </c>
      <c r="C43" s="16" t="n">
        <v>-0.02</v>
      </c>
      <c r="D43" s="16" t="n">
        <v>0.509</v>
      </c>
      <c r="E43" s="16" t="n">
        <v>0.79</v>
      </c>
      <c r="F43" s="16" t="n">
        <v>1.67</v>
      </c>
      <c r="G43" s="16" t="n">
        <v>1.512</v>
      </c>
      <c r="H43" s="16" t="n">
        <v>-0.08409999999999999</v>
      </c>
      <c r="I43" s="16" t="n">
        <v>-0.6506999999999999</v>
      </c>
      <c r="J43" s="16" t="n">
        <v>-0.0254</v>
      </c>
      <c r="K43" s="16" t="n">
        <v>0.469</v>
      </c>
      <c r="L43" s="16" t="n">
        <v>0.28</v>
      </c>
      <c r="M43" s="9">
        <f>($C43-$B43)*100</f>
        <v/>
      </c>
      <c r="N43" s="9">
        <f>($D43-$C43)*100</f>
        <v/>
      </c>
      <c r="O43" s="9">
        <f>($F43-$E43)*100</f>
        <v/>
      </c>
      <c r="P43" s="9">
        <f>($J43-$I43)*100</f>
        <v/>
      </c>
    </row>
    <row r="44">
      <c r="A44" s="17" t="n">
        <v>42629</v>
      </c>
      <c r="B44" s="16" t="n">
        <v>-0.269</v>
      </c>
      <c r="C44" s="16" t="n">
        <v>-0.04</v>
      </c>
      <c r="D44" s="16" t="n">
        <v>0.551</v>
      </c>
      <c r="E44" s="16" t="n">
        <v>0.77</v>
      </c>
      <c r="F44" s="16" t="n">
        <v>1.7</v>
      </c>
      <c r="G44" s="16" t="n">
        <v>1.512</v>
      </c>
      <c r="H44" s="16" t="n">
        <v>-0.08409999999999999</v>
      </c>
      <c r="I44" s="16" t="n">
        <v>-0.6645</v>
      </c>
      <c r="J44" s="16" t="n">
        <v>-0.0072</v>
      </c>
      <c r="K44" s="16" t="n">
        <v>0.52</v>
      </c>
      <c r="L44" s="16" t="n">
        <v>0.31</v>
      </c>
      <c r="M44" s="9">
        <f>($C44-$B44)*100</f>
        <v/>
      </c>
      <c r="N44" s="9">
        <f>($D44-$C44)*100</f>
        <v/>
      </c>
      <c r="O44" s="9">
        <f>($F44-$E44)*100</f>
        <v/>
      </c>
      <c r="P44" s="9">
        <f>($J44-$I44)*100</f>
        <v/>
      </c>
    </row>
    <row r="45">
      <c r="A45" s="17" t="n">
        <v>42636</v>
      </c>
      <c r="B45" s="16" t="n">
        <v>-0.222</v>
      </c>
      <c r="C45" s="16" t="n">
        <v>-0.054</v>
      </c>
      <c r="D45" s="16" t="n">
        <v>0.467</v>
      </c>
      <c r="E45" s="16" t="n">
        <v>0.77</v>
      </c>
      <c r="F45" s="16" t="n">
        <v>1.62</v>
      </c>
      <c r="G45" s="16" t="n">
        <v>1.512</v>
      </c>
      <c r="H45" s="16" t="n">
        <v>-0.08409999999999999</v>
      </c>
      <c r="I45" s="16" t="n">
        <v>-0.6872</v>
      </c>
      <c r="J45" s="16" t="n">
        <v>-0.1028</v>
      </c>
      <c r="K45" s="16" t="n">
        <v>0.447</v>
      </c>
      <c r="L45" s="16" t="n">
        <v>0.29</v>
      </c>
      <c r="M45" s="9">
        <f>($C45-$B45)*100</f>
        <v/>
      </c>
      <c r="N45" s="9">
        <f>($D45-$C45)*100</f>
        <v/>
      </c>
      <c r="O45" s="9">
        <f>($F45-$E45)*100</f>
        <v/>
      </c>
      <c r="P45" s="9">
        <f>($J45-$I45)*100</f>
        <v/>
      </c>
    </row>
    <row r="46">
      <c r="A46" s="17" t="n">
        <v>42643</v>
      </c>
      <c r="B46" s="16" t="n">
        <v>-0.289</v>
      </c>
      <c r="C46" s="16" t="n">
        <v>-0.08400000000000001</v>
      </c>
      <c r="D46" s="16" t="n">
        <v>0.457</v>
      </c>
      <c r="E46" s="16" t="n">
        <v>0.77</v>
      </c>
      <c r="F46" s="16" t="n">
        <v>1.6</v>
      </c>
      <c r="G46" s="16" t="n">
        <v>1.512</v>
      </c>
      <c r="H46" s="16" t="n">
        <v>-0.08409999999999999</v>
      </c>
      <c r="I46" s="16" t="n">
        <v>-0.7198</v>
      </c>
      <c r="J46" s="16" t="n">
        <v>-0.1621</v>
      </c>
      <c r="K46" s="16" t="n">
        <v>0.446</v>
      </c>
      <c r="L46" s="16" t="n">
        <v>0.31</v>
      </c>
      <c r="M46" s="9">
        <f>($C46-$B46)*100</f>
        <v/>
      </c>
      <c r="N46" s="9">
        <f>($D46-$C46)*100</f>
        <v/>
      </c>
      <c r="O46" s="9">
        <f>($F46-$E46)*100</f>
        <v/>
      </c>
      <c r="P46" s="9">
        <f>($J46-$I46)*100</f>
        <v/>
      </c>
    </row>
    <row r="47">
      <c r="A47" s="17" t="n">
        <v>42650</v>
      </c>
      <c r="B47" s="16" t="n">
        <v>-0.28</v>
      </c>
      <c r="C47" s="16" t="n">
        <v>-0.068</v>
      </c>
      <c r="D47" s="16" t="n">
        <v>0.505</v>
      </c>
      <c r="E47" s="16" t="n">
        <v>0.83</v>
      </c>
      <c r="F47" s="16" t="n">
        <v>1.73</v>
      </c>
      <c r="G47" s="16" t="n">
        <v>1.596</v>
      </c>
      <c r="H47" s="16" t="n">
        <v>0.002</v>
      </c>
      <c r="I47" s="16" t="n">
        <v>-0.7066</v>
      </c>
      <c r="J47" s="16" t="n">
        <v>-0.0252</v>
      </c>
      <c r="K47" s="16" t="n">
        <v>0.451</v>
      </c>
      <c r="L47" s="16" t="n">
        <v>0.27</v>
      </c>
      <c r="M47" s="9">
        <f>($C47-$B47)*100</f>
        <v/>
      </c>
      <c r="N47" s="9">
        <f>($D47-$C47)*100</f>
        <v/>
      </c>
      <c r="O47" s="9">
        <f>($F47-$E47)*100</f>
        <v/>
      </c>
      <c r="P47" s="9">
        <f>($J47-$I47)*100</f>
        <v/>
      </c>
    </row>
    <row r="48">
      <c r="A48" s="17" t="n">
        <v>42657</v>
      </c>
      <c r="B48" s="16" t="n">
        <v>-0.273</v>
      </c>
      <c r="C48" s="16" t="n">
        <v>-0.056</v>
      </c>
      <c r="D48" s="16" t="n">
        <v>0.496</v>
      </c>
      <c r="E48" s="16" t="n">
        <v>0.84</v>
      </c>
      <c r="F48" s="16" t="n">
        <v>1.8</v>
      </c>
      <c r="G48" s="16" t="n">
        <v>1.596</v>
      </c>
      <c r="H48" s="16" t="n">
        <v>0.002</v>
      </c>
      <c r="I48" s="16" t="n">
        <v>-0.6973</v>
      </c>
      <c r="J48" s="16" t="n">
        <v>0.0327</v>
      </c>
      <c r="K48" s="16" t="n">
        <v>0.445</v>
      </c>
      <c r="L48" s="16" t="n">
        <v>0.3</v>
      </c>
      <c r="M48" s="9">
        <f>($C48-$B48)*100</f>
        <v/>
      </c>
      <c r="N48" s="9">
        <f>($D48-$C48)*100</f>
        <v/>
      </c>
      <c r="O48" s="9">
        <f>($F48-$E48)*100</f>
        <v/>
      </c>
      <c r="P48" s="9">
        <f>($J48-$I48)*100</f>
        <v/>
      </c>
    </row>
    <row r="49">
      <c r="A49" s="17" t="n">
        <v>42664</v>
      </c>
      <c r="B49" s="16" t="n">
        <v>-0.256</v>
      </c>
      <c r="C49" s="16" t="n">
        <v>-0.056</v>
      </c>
      <c r="D49" s="16" t="n">
        <v>0.496</v>
      </c>
      <c r="E49" s="16" t="n">
        <v>0.84</v>
      </c>
      <c r="F49" s="16" t="n">
        <v>1.74</v>
      </c>
      <c r="G49" s="16" t="n">
        <v>1.596</v>
      </c>
      <c r="H49" s="16" t="n">
        <v>0.002</v>
      </c>
      <c r="I49" s="16" t="n">
        <v>-0.6995</v>
      </c>
      <c r="J49" s="16" t="n">
        <v>-0.0251</v>
      </c>
      <c r="K49" s="16" t="n">
        <v>0.428</v>
      </c>
      <c r="L49" s="16" t="n">
        <v>0.3</v>
      </c>
      <c r="M49" s="9">
        <f>($C49-$B49)*100</f>
        <v/>
      </c>
      <c r="N49" s="9">
        <f>($D49-$C49)*100</f>
        <v/>
      </c>
      <c r="O49" s="9">
        <f>($F49-$E49)*100</f>
        <v/>
      </c>
      <c r="P49" s="9">
        <f>($J49-$I49)*100</f>
        <v/>
      </c>
    </row>
    <row r="50">
      <c r="A50" s="17" t="n">
        <v>42671</v>
      </c>
      <c r="B50" s="16" t="n">
        <v>-0.248</v>
      </c>
      <c r="C50" s="16" t="n">
        <v>-0.045</v>
      </c>
      <c r="D50" s="16" t="n">
        <v>0.516</v>
      </c>
      <c r="E50" s="16" t="n">
        <v>0.86</v>
      </c>
      <c r="F50" s="16" t="n">
        <v>1.86</v>
      </c>
      <c r="G50" s="16" t="n">
        <v>1.596</v>
      </c>
      <c r="H50" s="16" t="n">
        <v>0.002</v>
      </c>
      <c r="I50" s="16" t="n">
        <v>-0.6654</v>
      </c>
      <c r="J50" s="16" t="n">
        <v>0.1559</v>
      </c>
      <c r="K50" s="16" t="n">
        <v>0.499</v>
      </c>
      <c r="L50" s="16" t="n">
        <v>0.31</v>
      </c>
      <c r="M50" s="9">
        <f>($C50-$B50)*100</f>
        <v/>
      </c>
      <c r="N50" s="9">
        <f>($D50-$C50)*100</f>
        <v/>
      </c>
      <c r="O50" s="9">
        <f>($F50-$E50)*100</f>
        <v/>
      </c>
      <c r="P50" s="9">
        <f>($J50-$I50)*100</f>
        <v/>
      </c>
    </row>
    <row r="51">
      <c r="A51" s="17" t="n">
        <v>42678</v>
      </c>
      <c r="B51" s="16" t="n">
        <v>-0.264</v>
      </c>
      <c r="C51" s="16" t="n">
        <v>-0.059</v>
      </c>
      <c r="D51" s="16" t="n">
        <v>0.487</v>
      </c>
      <c r="E51" s="16" t="n">
        <v>0.8</v>
      </c>
      <c r="F51" s="16" t="n">
        <v>1.79</v>
      </c>
      <c r="G51" s="16" t="n">
        <v>1.965</v>
      </c>
      <c r="H51" s="16" t="n">
        <v>0.1891</v>
      </c>
      <c r="I51" s="16" t="n">
        <v>-0.6892</v>
      </c>
      <c r="J51" s="16" t="n">
        <v>0.1189</v>
      </c>
      <c r="K51" s="16" t="n">
        <v>0.505</v>
      </c>
      <c r="L51" s="16" t="n">
        <v>0.29</v>
      </c>
      <c r="M51" s="9">
        <f>($C51-$B51)*100</f>
        <v/>
      </c>
      <c r="N51" s="9">
        <f>($D51-$C51)*100</f>
        <v/>
      </c>
      <c r="O51" s="9">
        <f>($F51-$E51)*100</f>
        <v/>
      </c>
      <c r="P51" s="9">
        <f>($J51-$I51)*100</f>
        <v/>
      </c>
    </row>
    <row r="52">
      <c r="A52" s="17" t="n">
        <v>42685</v>
      </c>
      <c r="B52" s="16" t="n">
        <v>-0.248</v>
      </c>
      <c r="C52" s="16" t="n">
        <v>-0.027</v>
      </c>
      <c r="D52" s="16" t="n">
        <v>0.526</v>
      </c>
      <c r="E52" s="16" t="n">
        <v>0.92</v>
      </c>
      <c r="F52" s="16" t="n">
        <v>2.15</v>
      </c>
      <c r="G52" s="16" t="n">
        <v>1.965</v>
      </c>
      <c r="H52" s="16" t="n">
        <v>0.1891</v>
      </c>
      <c r="I52" s="16" t="n">
        <v>-0.657</v>
      </c>
      <c r="J52" s="16" t="n">
        <v>0.3135</v>
      </c>
      <c r="K52" s="16" t="n">
        <v>0.642</v>
      </c>
      <c r="L52" s="16" t="n">
        <v>0.28</v>
      </c>
      <c r="M52" s="9">
        <f>($C52-$B52)*100</f>
        <v/>
      </c>
      <c r="N52" s="9">
        <f>($D52-$C52)*100</f>
        <v/>
      </c>
      <c r="O52" s="9">
        <f>($F52-$E52)*100</f>
        <v/>
      </c>
      <c r="P52" s="9">
        <f>($J52-$I52)*100</f>
        <v/>
      </c>
    </row>
    <row r="53">
      <c r="A53" s="17" t="n">
        <v>42692</v>
      </c>
      <c r="B53" s="16" t="n">
        <v>-0.166</v>
      </c>
      <c r="C53" s="16" t="n">
        <v>0.044</v>
      </c>
      <c r="D53" s="16" t="n">
        <v>0.594</v>
      </c>
      <c r="E53" s="16" t="n">
        <v>1.07</v>
      </c>
      <c r="F53" s="16" t="n">
        <v>2.34</v>
      </c>
      <c r="G53" s="16" t="n">
        <v>1.965</v>
      </c>
      <c r="H53" s="16" t="n">
        <v>0.1891</v>
      </c>
      <c r="I53" s="16" t="n">
        <v>-0.6982</v>
      </c>
      <c r="J53" s="16" t="n">
        <v>0.2922</v>
      </c>
      <c r="K53" s="16" t="n">
        <v>0.724</v>
      </c>
      <c r="L53" s="16" t="n">
        <v>0.26</v>
      </c>
      <c r="M53" s="9">
        <f>($C53-$B53)*100</f>
        <v/>
      </c>
      <c r="N53" s="9">
        <f>($D53-$C53)*100</f>
        <v/>
      </c>
      <c r="O53" s="9">
        <f>($F53-$E53)*100</f>
        <v/>
      </c>
      <c r="P53" s="9">
        <f>($J53-$I53)*100</f>
        <v/>
      </c>
    </row>
    <row r="54">
      <c r="A54" s="17" t="n">
        <v>42699</v>
      </c>
      <c r="B54" s="16" t="n">
        <v>-0.142</v>
      </c>
      <c r="C54" s="16" t="n">
        <v>0.039</v>
      </c>
      <c r="D54" s="16" t="n">
        <v>0.599</v>
      </c>
      <c r="E54" s="16" t="n">
        <v>1.12</v>
      </c>
      <c r="F54" s="16" t="n">
        <v>2.36</v>
      </c>
      <c r="G54" s="16" t="n">
        <v>1.965</v>
      </c>
      <c r="H54" s="16" t="n">
        <v>0.1891</v>
      </c>
      <c r="I54" s="16" t="n">
        <v>-0.7751</v>
      </c>
      <c r="J54" s="16" t="n">
        <v>0.2863</v>
      </c>
      <c r="K54" s="16" t="n">
        <v>0.8169999999999999</v>
      </c>
      <c r="L54" s="16" t="n">
        <v>0.27</v>
      </c>
      <c r="M54" s="9">
        <f>($C54-$B54)*100</f>
        <v/>
      </c>
      <c r="N54" s="9">
        <f>($D54-$C54)*100</f>
        <v/>
      </c>
      <c r="O54" s="9">
        <f>($F54-$E54)*100</f>
        <v/>
      </c>
      <c r="P54" s="9">
        <f>($J54-$I54)*100</f>
        <v/>
      </c>
    </row>
    <row r="55">
      <c r="A55" s="17" t="n">
        <v>42706</v>
      </c>
      <c r="B55" s="16" t="n">
        <v>-0.179</v>
      </c>
      <c r="C55" s="16" t="n">
        <v>0.034</v>
      </c>
      <c r="D55" s="16" t="n">
        <v>0.589</v>
      </c>
      <c r="E55" s="16" t="n">
        <v>1.11</v>
      </c>
      <c r="F55" s="16" t="n">
        <v>2.4</v>
      </c>
      <c r="G55" s="16" t="n">
        <v>2.159</v>
      </c>
      <c r="H55" s="16" t="n">
        <v>0.2519</v>
      </c>
      <c r="I55" s="16" t="n">
        <v>-0.7562</v>
      </c>
      <c r="J55" s="16" t="n">
        <v>0.3746</v>
      </c>
      <c r="K55" s="16" t="n">
        <v>0.799</v>
      </c>
      <c r="L55" s="16" t="n">
        <v>0.28</v>
      </c>
      <c r="M55" s="9">
        <f>($C55-$B55)*100</f>
        <v/>
      </c>
      <c r="N55" s="9">
        <f>($D55-$C55)*100</f>
        <v/>
      </c>
      <c r="O55" s="9">
        <f>($F55-$E55)*100</f>
        <v/>
      </c>
      <c r="P55" s="9">
        <f>($J55-$I55)*100</f>
        <v/>
      </c>
    </row>
    <row r="56">
      <c r="A56" s="17" t="n">
        <v>42713</v>
      </c>
      <c r="B56" s="16" t="n">
        <v>-0.189</v>
      </c>
      <c r="C56" s="16" t="n">
        <v>0.05</v>
      </c>
      <c r="D56" s="16" t="n">
        <v>0.6909999999999999</v>
      </c>
      <c r="E56" s="16" t="n">
        <v>1.15</v>
      </c>
      <c r="F56" s="16" t="n">
        <v>2.47</v>
      </c>
      <c r="G56" s="16" t="n">
        <v>2.159</v>
      </c>
      <c r="H56" s="16" t="n">
        <v>0.2519</v>
      </c>
      <c r="I56" s="16" t="n">
        <v>-0.7791</v>
      </c>
      <c r="J56" s="16" t="n">
        <v>0.3929</v>
      </c>
      <c r="K56" s="16" t="n">
        <v>0.797</v>
      </c>
      <c r="L56" s="16" t="n">
        <v>0.32</v>
      </c>
      <c r="M56" s="9">
        <f>($C56-$B56)*100</f>
        <v/>
      </c>
      <c r="N56" s="9">
        <f>($D56-$C56)*100</f>
        <v/>
      </c>
      <c r="O56" s="9">
        <f>($F56-$E56)*100</f>
        <v/>
      </c>
      <c r="P56" s="9">
        <f>($J56-$I56)*100</f>
        <v/>
      </c>
    </row>
    <row r="57">
      <c r="A57" s="17" t="n">
        <v>42720</v>
      </c>
      <c r="B57" s="16" t="n">
        <v>-0.18</v>
      </c>
      <c r="C57" s="16" t="n">
        <v>0.076</v>
      </c>
      <c r="D57" s="16" t="n">
        <v>0.66</v>
      </c>
      <c r="E57" s="16" t="n">
        <v>1.28</v>
      </c>
      <c r="F57" s="16" t="n">
        <v>2.6</v>
      </c>
      <c r="G57" s="16" t="n">
        <v>2.159</v>
      </c>
      <c r="H57" s="16" t="n">
        <v>0.2519</v>
      </c>
      <c r="I57" s="16" t="n">
        <v>-0.8024</v>
      </c>
      <c r="J57" s="16" t="n">
        <v>0.3631</v>
      </c>
      <c r="K57" s="16" t="n">
        <v>1.053</v>
      </c>
      <c r="L57" s="16" t="n">
        <v>0.5</v>
      </c>
      <c r="M57" s="9">
        <f>($C57-$B57)*100</f>
        <v/>
      </c>
      <c r="N57" s="9">
        <f>($D57-$C57)*100</f>
        <v/>
      </c>
      <c r="O57" s="9">
        <f>($F57-$E57)*100</f>
        <v/>
      </c>
      <c r="P57" s="9">
        <f>($J57-$I57)*100</f>
        <v/>
      </c>
    </row>
    <row r="58">
      <c r="A58" s="17" t="n">
        <v>42727</v>
      </c>
      <c r="B58" s="16" t="n">
        <v>-0.181</v>
      </c>
      <c r="C58" s="16" t="n">
        <v>0.051</v>
      </c>
      <c r="D58" s="16" t="n">
        <v>0.664</v>
      </c>
      <c r="E58" s="16" t="n">
        <v>1.22</v>
      </c>
      <c r="F58" s="16" t="n">
        <v>2.55</v>
      </c>
      <c r="G58" s="16" t="n">
        <v>2.159</v>
      </c>
      <c r="H58" s="16" t="n">
        <v>0.2519</v>
      </c>
      <c r="I58" s="16" t="n">
        <v>-0.8132</v>
      </c>
      <c r="J58" s="16" t="n">
        <v>0.2848</v>
      </c>
      <c r="K58" s="16" t="n">
        <v>1.182</v>
      </c>
      <c r="L58" s="16" t="n">
        <v>0.7</v>
      </c>
      <c r="M58" s="9">
        <f>($C58-$B58)*100</f>
        <v/>
      </c>
      <c r="N58" s="9">
        <f>($D58-$C58)*100</f>
        <v/>
      </c>
      <c r="O58" s="9">
        <f>($F58-$E58)*100</f>
        <v/>
      </c>
      <c r="P58" s="9">
        <f>($J58-$I58)*100</f>
        <v/>
      </c>
    </row>
    <row r="59">
      <c r="A59" s="17" t="n">
        <v>42734</v>
      </c>
      <c r="B59" s="16" t="n">
        <v>-0.187</v>
      </c>
      <c r="C59" s="16" t="n">
        <v>0.043</v>
      </c>
      <c r="D59" s="16" t="n">
        <v>0.701</v>
      </c>
      <c r="E59" s="16" t="n">
        <v>1.2</v>
      </c>
      <c r="F59" s="16" t="n">
        <v>2.45</v>
      </c>
      <c r="G59" s="16" t="n">
        <v>2.159</v>
      </c>
      <c r="H59" s="16" t="n">
        <v>0.2519</v>
      </c>
      <c r="I59" s="16" t="n">
        <v>-0.8001</v>
      </c>
      <c r="J59" s="16" t="n">
        <v>0.2581</v>
      </c>
      <c r="K59" s="16" t="n">
        <v>1.047</v>
      </c>
      <c r="L59" s="16" t="n">
        <v>0.67</v>
      </c>
      <c r="M59" s="9">
        <f>($C59-$B59)*100</f>
        <v/>
      </c>
      <c r="N59" s="9">
        <f>($D59-$C59)*100</f>
        <v/>
      </c>
      <c r="O59" s="9">
        <f>($F59-$E59)*100</f>
        <v/>
      </c>
      <c r="P59" s="9">
        <f>($J59-$I59)*100</f>
        <v/>
      </c>
    </row>
    <row r="60">
      <c r="A60" s="17" t="n">
        <v>42741</v>
      </c>
      <c r="B60" s="16" t="n">
        <v>-0.213</v>
      </c>
      <c r="C60" s="16" t="n">
        <v>0.053</v>
      </c>
      <c r="D60" s="16" t="n">
        <v>0.724</v>
      </c>
      <c r="E60" s="16" t="n">
        <v>1.22</v>
      </c>
      <c r="F60" s="16" t="n">
        <v>2.42</v>
      </c>
      <c r="G60" s="16" t="n">
        <v>2.111</v>
      </c>
      <c r="H60" s="16" t="n">
        <v>0.2509</v>
      </c>
      <c r="I60" s="16" t="n">
        <v>-0.7393</v>
      </c>
      <c r="J60" s="16" t="n">
        <v>0.3454</v>
      </c>
      <c r="K60" s="16" t="n">
        <v>0.965</v>
      </c>
      <c r="L60" s="16" t="n">
        <v>0.64</v>
      </c>
      <c r="M60" s="9">
        <f>($C60-$B60)*100</f>
        <v/>
      </c>
      <c r="N60" s="9">
        <f>($D60-$C60)*100</f>
        <v/>
      </c>
      <c r="O60" s="9">
        <f>($F60-$E60)*100</f>
        <v/>
      </c>
      <c r="P60" s="9">
        <f>($J60-$I60)*100</f>
        <v/>
      </c>
    </row>
    <row r="61">
      <c r="A61" s="17" t="n">
        <v>42748</v>
      </c>
      <c r="B61" s="16" t="n">
        <v>-0.224</v>
      </c>
      <c r="C61" s="16" t="n">
        <v>0.049</v>
      </c>
      <c r="D61" s="16" t="n">
        <v>0.719</v>
      </c>
      <c r="E61" s="16" t="n">
        <v>1.21</v>
      </c>
      <c r="F61" s="16" t="n">
        <v>2.4</v>
      </c>
      <c r="G61" s="16" t="n">
        <v>2.111</v>
      </c>
      <c r="H61" s="16" t="n">
        <v>0.2509</v>
      </c>
      <c r="I61" s="16" t="n">
        <v>-0.7506</v>
      </c>
      <c r="J61" s="16" t="n">
        <v>0.329</v>
      </c>
      <c r="K61" s="16" t="n">
        <v>0.974</v>
      </c>
      <c r="L61" s="16" t="n">
        <v>0.6</v>
      </c>
      <c r="M61" s="9">
        <f>($C61-$B61)*100</f>
        <v/>
      </c>
      <c r="N61" s="9">
        <f>($D61-$C61)*100</f>
        <v/>
      </c>
      <c r="O61" s="9">
        <f>($F61-$E61)*100</f>
        <v/>
      </c>
      <c r="P61" s="9">
        <f>($J61-$I61)*100</f>
        <v/>
      </c>
    </row>
    <row r="62">
      <c r="A62" s="17" t="n">
        <v>42755</v>
      </c>
      <c r="B62" s="16" t="n">
        <v>-0.235</v>
      </c>
      <c r="C62" s="16" t="n">
        <v>0.065</v>
      </c>
      <c r="D62" s="16" t="n">
        <v>0.778</v>
      </c>
      <c r="E62" s="16" t="n">
        <v>1.2</v>
      </c>
      <c r="F62" s="16" t="n">
        <v>2.48</v>
      </c>
      <c r="G62" s="16" t="n">
        <v>2.111</v>
      </c>
      <c r="H62" s="16" t="n">
        <v>0.2509</v>
      </c>
      <c r="I62" s="16" t="n">
        <v>-0.7098</v>
      </c>
      <c r="J62" s="16" t="n">
        <v>0.4143</v>
      </c>
      <c r="K62" s="16" t="n">
        <v>0.968</v>
      </c>
      <c r="L62" s="16" t="n">
        <v>0.5</v>
      </c>
      <c r="M62" s="9">
        <f>($C62-$B62)*100</f>
        <v/>
      </c>
      <c r="N62" s="9">
        <f>($D62-$C62)*100</f>
        <v/>
      </c>
      <c r="O62" s="9">
        <f>($F62-$E62)*100</f>
        <v/>
      </c>
      <c r="P62" s="9">
        <f>($J62-$I62)*100</f>
        <v/>
      </c>
    </row>
    <row r="63">
      <c r="A63" s="17" t="n">
        <v>42762</v>
      </c>
      <c r="B63" s="16" t="n">
        <v>-0.2</v>
      </c>
      <c r="C63" s="16" t="n">
        <v>0.08</v>
      </c>
      <c r="D63" s="16" t="n">
        <v>0.8139999999999999</v>
      </c>
      <c r="E63" s="16" t="n">
        <v>1.22</v>
      </c>
      <c r="F63" s="16" t="n">
        <v>2.49</v>
      </c>
      <c r="G63" s="16" t="n">
        <v>2.111</v>
      </c>
      <c r="H63" s="16" t="n">
        <v>0.2509</v>
      </c>
      <c r="I63" s="16" t="n">
        <v>-0.6725</v>
      </c>
      <c r="J63" s="16" t="n">
        <v>0.4972</v>
      </c>
      <c r="K63" s="16" t="n">
        <v>1.023</v>
      </c>
      <c r="L63" s="16" t="n">
        <v>0.54</v>
      </c>
      <c r="M63" s="9">
        <f>($C63-$B63)*100</f>
        <v/>
      </c>
      <c r="N63" s="9">
        <f>($D63-$C63)*100</f>
        <v/>
      </c>
      <c r="O63" s="9">
        <f>($F63-$E63)*100</f>
        <v/>
      </c>
      <c r="P63" s="9">
        <f>($J63-$I63)*100</f>
        <v/>
      </c>
    </row>
    <row r="64">
      <c r="A64" s="17" t="n">
        <v>42769</v>
      </c>
      <c r="B64" s="16" t="n">
        <v>-0.231</v>
      </c>
      <c r="C64" s="16" t="n">
        <v>0.102</v>
      </c>
      <c r="D64" s="16" t="n">
        <v>0.84</v>
      </c>
      <c r="E64" s="16" t="n">
        <v>1.21</v>
      </c>
      <c r="F64" s="16" t="n">
        <v>2.49</v>
      </c>
      <c r="G64" s="16" t="n">
        <v>2.163</v>
      </c>
      <c r="H64" s="16" t="n">
        <v>0.258</v>
      </c>
      <c r="I64" s="16" t="n">
        <v>-0.7588</v>
      </c>
      <c r="J64" s="16" t="n">
        <v>0.473</v>
      </c>
      <c r="K64" s="16" t="n">
        <v>0.976</v>
      </c>
      <c r="L64" s="16" t="n">
        <v>0.5600000000000001</v>
      </c>
      <c r="M64" s="9">
        <f>($C64-$B64)*100</f>
        <v/>
      </c>
      <c r="N64" s="9">
        <f>($D64-$C64)*100</f>
        <v/>
      </c>
      <c r="O64" s="9">
        <f>($F64-$E64)*100</f>
        <v/>
      </c>
      <c r="P64" s="9">
        <f>($J64-$I64)*100</f>
        <v/>
      </c>
    </row>
    <row r="65">
      <c r="A65" s="17" t="n">
        <v>42776</v>
      </c>
      <c r="B65" s="16" t="n">
        <v>-0.214</v>
      </c>
      <c r="C65" s="16" t="n">
        <v>0.08599999999999999</v>
      </c>
      <c r="D65" s="16" t="n">
        <v>0.827</v>
      </c>
      <c r="E65" s="16" t="n">
        <v>1.2</v>
      </c>
      <c r="F65" s="16" t="n">
        <v>2.41</v>
      </c>
      <c r="G65" s="16" t="n">
        <v>2.163</v>
      </c>
      <c r="H65" s="16" t="n">
        <v>0.258</v>
      </c>
      <c r="I65" s="16" t="n">
        <v>-0.7931</v>
      </c>
      <c r="J65" s="16" t="n">
        <v>0.3991</v>
      </c>
      <c r="K65" s="16" t="n">
        <v>0.895</v>
      </c>
      <c r="L65" s="16" t="n">
        <v>0.53</v>
      </c>
      <c r="M65" s="9">
        <f>($C65-$B65)*100</f>
        <v/>
      </c>
      <c r="N65" s="9">
        <f>($D65-$C65)*100</f>
        <v/>
      </c>
      <c r="O65" s="9">
        <f>($F65-$E65)*100</f>
        <v/>
      </c>
      <c r="P65" s="9">
        <f>($J65-$I65)*100</f>
        <v/>
      </c>
    </row>
    <row r="66">
      <c r="A66" s="17" t="n">
        <v>42783</v>
      </c>
      <c r="B66" s="16" t="n">
        <v>-0.244</v>
      </c>
      <c r="C66" s="16" t="n">
        <v>0.093</v>
      </c>
      <c r="D66" s="16" t="n">
        <v>0.886</v>
      </c>
      <c r="E66" s="16" t="n">
        <v>1.21</v>
      </c>
      <c r="F66" s="16" t="n">
        <v>2.42</v>
      </c>
      <c r="G66" s="16" t="n">
        <v>2.163</v>
      </c>
      <c r="H66" s="16" t="n">
        <v>0.258</v>
      </c>
      <c r="I66" s="16" t="n">
        <v>-0.8164</v>
      </c>
      <c r="J66" s="16" t="n">
        <v>0.356</v>
      </c>
      <c r="K66" s="16" t="n">
        <v>0.968</v>
      </c>
      <c r="L66" s="16" t="n">
        <v>0.47</v>
      </c>
      <c r="M66" s="9">
        <f>($C66-$B66)*100</f>
        <v/>
      </c>
      <c r="N66" s="9">
        <f>($D66-$C66)*100</f>
        <v/>
      </c>
      <c r="O66" s="9">
        <f>($F66-$E66)*100</f>
        <v/>
      </c>
      <c r="P66" s="9">
        <f>($J66-$I66)*100</f>
        <v/>
      </c>
    </row>
    <row r="67">
      <c r="A67" s="17" t="n">
        <v>42790</v>
      </c>
      <c r="B67" s="16" t="n">
        <v>-0.265</v>
      </c>
      <c r="C67" s="16" t="n">
        <v>0.067</v>
      </c>
      <c r="D67" s="16" t="n">
        <v>0.823</v>
      </c>
      <c r="E67" s="16" t="n">
        <v>1.12</v>
      </c>
      <c r="F67" s="16" t="n">
        <v>2.31</v>
      </c>
      <c r="G67" s="16" t="n">
        <v>2.163</v>
      </c>
      <c r="H67" s="16" t="n">
        <v>0.258</v>
      </c>
      <c r="I67" s="16" t="n">
        <v>-0.9304</v>
      </c>
      <c r="J67" s="16" t="n">
        <v>0.2505</v>
      </c>
      <c r="K67" s="16" t="n">
        <v>0.948</v>
      </c>
      <c r="L67" s="16" t="n">
        <v>0.42</v>
      </c>
      <c r="M67" s="9">
        <f>($C67-$B67)*100</f>
        <v/>
      </c>
      <c r="N67" s="9">
        <f>($D67-$C67)*100</f>
        <v/>
      </c>
      <c r="O67" s="9">
        <f>($F67-$E67)*100</f>
        <v/>
      </c>
      <c r="P67" s="9">
        <f>($J67-$I67)*100</f>
        <v/>
      </c>
    </row>
    <row r="68">
      <c r="A68" s="17" t="n">
        <v>42797</v>
      </c>
      <c r="B68" s="16" t="n">
        <v>-0.291</v>
      </c>
      <c r="C68" s="16" t="n">
        <v>0.068</v>
      </c>
      <c r="D68" s="16" t="n">
        <v>0.828</v>
      </c>
      <c r="E68" s="16" t="n">
        <v>1.32</v>
      </c>
      <c r="F68" s="16" t="n">
        <v>2.49</v>
      </c>
      <c r="G68" s="16" t="n">
        <v>2.221</v>
      </c>
      <c r="H68" s="16" t="n">
        <v>0.3483</v>
      </c>
      <c r="I68" s="16" t="n">
        <v>-0.8345</v>
      </c>
      <c r="J68" s="16" t="n">
        <v>0.3854</v>
      </c>
      <c r="K68" s="16" t="n">
        <v>1.072</v>
      </c>
      <c r="L68" s="16" t="n">
        <v>0.43</v>
      </c>
      <c r="M68" s="9">
        <f>($C68-$B68)*100</f>
        <v/>
      </c>
      <c r="N68" s="9">
        <f>($D68-$C68)*100</f>
        <v/>
      </c>
      <c r="O68" s="9">
        <f>($F68-$E68)*100</f>
        <v/>
      </c>
      <c r="P68" s="9">
        <f>($J68-$I68)*100</f>
        <v/>
      </c>
    </row>
    <row r="69">
      <c r="A69" s="17" t="n">
        <v>42804</v>
      </c>
      <c r="B69" s="16" t="n">
        <v>-0.264</v>
      </c>
      <c r="C69" s="16" t="n">
        <v>0.08500000000000001</v>
      </c>
      <c r="D69" s="16" t="n">
        <v>0.858</v>
      </c>
      <c r="E69" s="16" t="n">
        <v>1.36</v>
      </c>
      <c r="F69" s="16" t="n">
        <v>2.58</v>
      </c>
      <c r="G69" s="16" t="n">
        <v>2.221</v>
      </c>
      <c r="H69" s="16" t="n">
        <v>0.3483</v>
      </c>
      <c r="I69" s="16" t="n">
        <v>-0.846</v>
      </c>
      <c r="J69" s="16" t="n">
        <v>0.5038</v>
      </c>
      <c r="K69" s="16" t="n">
        <v>1.125</v>
      </c>
      <c r="L69" s="16" t="n">
        <v>0.41</v>
      </c>
      <c r="M69" s="9">
        <f>($C69-$B69)*100</f>
        <v/>
      </c>
      <c r="N69" s="9">
        <f>($D69-$C69)*100</f>
        <v/>
      </c>
      <c r="O69" s="9">
        <f>($F69-$E69)*100</f>
        <v/>
      </c>
      <c r="P69" s="9">
        <f>($J69-$I69)*100</f>
        <v/>
      </c>
    </row>
    <row r="70">
      <c r="A70" s="17" t="n">
        <v>42811</v>
      </c>
      <c r="B70" s="16" t="n">
        <v>-0.265</v>
      </c>
      <c r="C70" s="16" t="n">
        <v>0.07099999999999999</v>
      </c>
      <c r="D70" s="16" t="n">
        <v>0.832</v>
      </c>
      <c r="E70" s="16" t="n">
        <v>1.33</v>
      </c>
      <c r="F70" s="16" t="n">
        <v>2.5</v>
      </c>
      <c r="G70" s="16" t="n">
        <v>2.221</v>
      </c>
      <c r="H70" s="16" t="n">
        <v>0.3483</v>
      </c>
      <c r="I70" s="16" t="n">
        <v>-0.7881</v>
      </c>
      <c r="J70" s="16" t="n">
        <v>0.4887</v>
      </c>
      <c r="K70" s="16" t="n">
        <v>1.026</v>
      </c>
      <c r="L70" s="16" t="n">
        <v>0.39</v>
      </c>
      <c r="M70" s="9">
        <f>($C70-$B70)*100</f>
        <v/>
      </c>
      <c r="N70" s="9">
        <f>($D70-$C70)*100</f>
        <v/>
      </c>
      <c r="O70" s="9">
        <f>($F70-$E70)*100</f>
        <v/>
      </c>
      <c r="P70" s="9">
        <f>($J70-$I70)*100</f>
        <v/>
      </c>
    </row>
    <row r="71">
      <c r="A71" s="17" t="n">
        <v>42818</v>
      </c>
      <c r="B71" s="16" t="n">
        <v>-0.264</v>
      </c>
      <c r="C71" s="16" t="n">
        <v>0.061</v>
      </c>
      <c r="D71" s="16" t="n">
        <v>0.832</v>
      </c>
      <c r="E71" s="16" t="n">
        <v>1.26</v>
      </c>
      <c r="F71" s="16" t="n">
        <v>2.4</v>
      </c>
      <c r="G71" s="16" t="n">
        <v>2.221</v>
      </c>
      <c r="H71" s="16" t="n">
        <v>0.3483</v>
      </c>
      <c r="I71" s="16" t="n">
        <v>-0.737</v>
      </c>
      <c r="J71" s="16" t="n">
        <v>0.4495</v>
      </c>
      <c r="K71" s="16" t="n">
        <v>0.915</v>
      </c>
      <c r="L71" s="16" t="n">
        <v>0.28</v>
      </c>
      <c r="M71" s="9">
        <f>($C71-$B71)*100</f>
        <v/>
      </c>
      <c r="N71" s="9">
        <f>($D71-$C71)*100</f>
        <v/>
      </c>
      <c r="O71" s="9">
        <f>($F71-$E71)*100</f>
        <v/>
      </c>
      <c r="P71" s="9">
        <f>($J71-$I71)*100</f>
        <v/>
      </c>
    </row>
    <row r="72">
      <c r="A72" s="17" t="n">
        <v>42825</v>
      </c>
      <c r="B72" s="16" t="n">
        <v>-0.204</v>
      </c>
      <c r="C72" s="16" t="n">
        <v>0.067</v>
      </c>
      <c r="D72" s="16" t="n">
        <v>0.841</v>
      </c>
      <c r="E72" s="16" t="n">
        <v>1.27</v>
      </c>
      <c r="F72" s="16" t="n">
        <v>2.4</v>
      </c>
      <c r="G72" s="16" t="n">
        <v>2.221</v>
      </c>
      <c r="H72" s="16" t="n">
        <v>0.3483</v>
      </c>
      <c r="I72" s="16" t="n">
        <v>-0.7284</v>
      </c>
      <c r="J72" s="16" t="n">
        <v>0.3814</v>
      </c>
      <c r="K72" s="16" t="n">
        <v>0.866</v>
      </c>
      <c r="L72" s="16" t="n">
        <v>0.27</v>
      </c>
      <c r="M72" s="9">
        <f>($C72-$B72)*100</f>
        <v/>
      </c>
      <c r="N72" s="9">
        <f>($D72-$C72)*100</f>
        <v/>
      </c>
      <c r="O72" s="9">
        <f>($F72-$E72)*100</f>
        <v/>
      </c>
      <c r="P72" s="9">
        <f>($J72-$I72)*100</f>
        <v/>
      </c>
    </row>
    <row r="73">
      <c r="A73" s="17" t="n">
        <v>42832</v>
      </c>
      <c r="B73" s="16" t="n">
        <v>-0.219</v>
      </c>
      <c r="C73" s="16" t="n">
        <v>0.048</v>
      </c>
      <c r="D73" s="16" t="n">
        <v>0.828</v>
      </c>
      <c r="E73" s="16" t="n">
        <v>1.29</v>
      </c>
      <c r="F73" s="16" t="n">
        <v>2.38</v>
      </c>
      <c r="G73" s="16" t="n">
        <v>2.182</v>
      </c>
      <c r="H73" s="16" t="n">
        <v>0.2256</v>
      </c>
      <c r="I73" s="16" t="n">
        <v>-0.8156</v>
      </c>
      <c r="J73" s="16" t="n">
        <v>0.274</v>
      </c>
      <c r="K73" s="16" t="n">
        <v>0.843</v>
      </c>
      <c r="L73" s="16" t="n">
        <v>0.32</v>
      </c>
      <c r="M73" s="9">
        <f>($C73-$B73)*100</f>
        <v/>
      </c>
      <c r="N73" s="9">
        <f>($D73-$C73)*100</f>
        <v/>
      </c>
      <c r="O73" s="9">
        <f>($F73-$E73)*100</f>
        <v/>
      </c>
      <c r="P73" s="9">
        <f>($J73-$I73)*100</f>
        <v/>
      </c>
    </row>
    <row r="74">
      <c r="A74" s="17" t="n">
        <v>42839</v>
      </c>
      <c r="B74" s="16" t="n">
        <v>-0.224</v>
      </c>
      <c r="C74" s="16" t="n">
        <v>0.013</v>
      </c>
      <c r="D74" s="16" t="n">
        <v>0.765</v>
      </c>
      <c r="E74" s="16" t="n">
        <v>1.21</v>
      </c>
      <c r="F74" s="16" t="n">
        <v>2.24</v>
      </c>
      <c r="G74" s="16" t="n">
        <v>2.182</v>
      </c>
      <c r="H74" s="16" t="n">
        <v>0.2256</v>
      </c>
      <c r="I74" s="16" t="n">
        <v>-0.8572</v>
      </c>
      <c r="J74" s="16" t="n">
        <v>0.2346</v>
      </c>
      <c r="K74" s="16" t="n">
        <v>0.77</v>
      </c>
      <c r="L74" s="16" t="n">
        <v>0.37</v>
      </c>
      <c r="M74" s="9">
        <f>($C74-$B74)*100</f>
        <v/>
      </c>
      <c r="N74" s="9">
        <f>($D74-$C74)*100</f>
        <v/>
      </c>
      <c r="O74" s="9">
        <f>($F74-$E74)*100</f>
        <v/>
      </c>
      <c r="P74" s="9">
        <f>($J74-$I74)*100</f>
        <v/>
      </c>
    </row>
    <row r="75">
      <c r="A75" s="17" t="n">
        <v>42846</v>
      </c>
      <c r="B75" s="16" t="n">
        <v>-0.222</v>
      </c>
      <c r="C75" s="16" t="n">
        <v>0.014</v>
      </c>
      <c r="D75" s="16" t="n">
        <v>0.761</v>
      </c>
      <c r="E75" s="16" t="n">
        <v>1.2</v>
      </c>
      <c r="F75" s="16" t="n">
        <v>2.24</v>
      </c>
      <c r="G75" s="16" t="n">
        <v>2.182</v>
      </c>
      <c r="H75" s="16" t="n">
        <v>0.2256</v>
      </c>
      <c r="I75" s="16" t="n">
        <v>-0.7857</v>
      </c>
      <c r="J75" s="16" t="n">
        <v>0.3026</v>
      </c>
      <c r="K75" s="16" t="n">
        <v>0.735</v>
      </c>
      <c r="L75" s="16" t="n">
        <v>0.41</v>
      </c>
      <c r="M75" s="9">
        <f>($C75-$B75)*100</f>
        <v/>
      </c>
      <c r="N75" s="9">
        <f>($D75-$C75)*100</f>
        <v/>
      </c>
      <c r="O75" s="9">
        <f>($F75-$E75)*100</f>
        <v/>
      </c>
      <c r="P75" s="9">
        <f>($J75-$I75)*100</f>
        <v/>
      </c>
    </row>
    <row r="76">
      <c r="A76" s="17" t="n">
        <v>42853</v>
      </c>
      <c r="B76" s="16" t="n">
        <v>-0.207</v>
      </c>
      <c r="C76" s="16" t="n">
        <v>0.016</v>
      </c>
      <c r="D76" s="16" t="n">
        <v>0.78</v>
      </c>
      <c r="E76" s="16" t="n">
        <v>1.28</v>
      </c>
      <c r="F76" s="16" t="n">
        <v>2.29</v>
      </c>
      <c r="G76" s="16" t="n">
        <v>2.182</v>
      </c>
      <c r="H76" s="16" t="n">
        <v>0.2256</v>
      </c>
      <c r="I76" s="16" t="n">
        <v>-0.7321</v>
      </c>
      <c r="J76" s="16" t="n">
        <v>0.382</v>
      </c>
      <c r="K76" s="16" t="n">
        <v>0.743</v>
      </c>
      <c r="L76" s="16" t="n">
        <v>0.4</v>
      </c>
      <c r="M76" s="9">
        <f>($C76-$B76)*100</f>
        <v/>
      </c>
      <c r="N76" s="9">
        <f>($D76-$C76)*100</f>
        <v/>
      </c>
      <c r="O76" s="9">
        <f>($F76-$E76)*100</f>
        <v/>
      </c>
      <c r="P76" s="9">
        <f>($J76-$I76)*100</f>
        <v/>
      </c>
    </row>
    <row r="77">
      <c r="A77" s="17" t="n">
        <v>42860</v>
      </c>
      <c r="B77" s="16" t="n">
        <v>-0.202</v>
      </c>
      <c r="C77" s="16" t="n">
        <v>0.022</v>
      </c>
      <c r="D77" s="16" t="n">
        <v>0.794</v>
      </c>
      <c r="E77" s="16" t="n">
        <v>1.32</v>
      </c>
      <c r="F77" s="16" t="n">
        <v>2.36</v>
      </c>
      <c r="G77" s="16" t="n">
        <v>2.257</v>
      </c>
      <c r="H77" s="16" t="n">
        <v>0.3364</v>
      </c>
      <c r="I77" s="16" t="n">
        <v>-0.6978</v>
      </c>
      <c r="J77" s="16" t="n">
        <v>0.4537</v>
      </c>
      <c r="K77" s="16" t="n">
        <v>0.78</v>
      </c>
      <c r="L77" s="16" t="n">
        <v>0.36</v>
      </c>
      <c r="M77" s="9">
        <f>($C77-$B77)*100</f>
        <v/>
      </c>
      <c r="N77" s="9">
        <f>($D77-$C77)*100</f>
        <v/>
      </c>
      <c r="O77" s="9">
        <f>($F77-$E77)*100</f>
        <v/>
      </c>
      <c r="P77" s="9">
        <f>($J77-$I77)*100</f>
        <v/>
      </c>
    </row>
    <row r="78">
      <c r="A78" s="17" t="n">
        <v>42867</v>
      </c>
      <c r="B78" s="16" t="n">
        <v>-0.178</v>
      </c>
      <c r="C78" s="16" t="n">
        <v>0.046</v>
      </c>
      <c r="D78" s="16" t="n">
        <v>0.836</v>
      </c>
      <c r="E78" s="16" t="n">
        <v>1.29</v>
      </c>
      <c r="F78" s="16" t="n">
        <v>2.33</v>
      </c>
      <c r="G78" s="16" t="n">
        <v>2.257</v>
      </c>
      <c r="H78" s="16" t="n">
        <v>0.3364</v>
      </c>
      <c r="I78" s="16" t="n">
        <v>-0.6886</v>
      </c>
      <c r="J78" s="16" t="n">
        <v>0.4563</v>
      </c>
      <c r="K78" s="16" t="n">
        <v>0.6919999999999999</v>
      </c>
      <c r="L78" s="16" t="n">
        <v>0.3</v>
      </c>
      <c r="M78" s="9">
        <f>($C78-$B78)*100</f>
        <v/>
      </c>
      <c r="N78" s="9">
        <f>($D78-$C78)*100</f>
        <v/>
      </c>
      <c r="O78" s="9">
        <f>($F78-$E78)*100</f>
        <v/>
      </c>
      <c r="P78" s="9">
        <f>($J78-$I78)*100</f>
        <v/>
      </c>
    </row>
    <row r="79">
      <c r="A79" s="17" t="n">
        <v>42874</v>
      </c>
      <c r="B79" s="16" t="n">
        <v>-0.161</v>
      </c>
      <c r="C79" s="16" t="n">
        <v>0.043</v>
      </c>
      <c r="D79" s="16" t="n">
        <v>0.794</v>
      </c>
      <c r="E79" s="16" t="n">
        <v>1.28</v>
      </c>
      <c r="F79" s="16" t="n">
        <v>2.23</v>
      </c>
      <c r="G79" s="16" t="n">
        <v>2.257</v>
      </c>
      <c r="H79" s="16" t="n">
        <v>0.3364</v>
      </c>
      <c r="I79" s="16" t="n">
        <v>-0.6791</v>
      </c>
      <c r="J79" s="16" t="n">
        <v>0.4358</v>
      </c>
      <c r="K79" s="16" t="n">
        <v>0.637</v>
      </c>
      <c r="L79" s="16" t="n">
        <v>0.24</v>
      </c>
      <c r="M79" s="9">
        <f>($C79-$B79)*100</f>
        <v/>
      </c>
      <c r="N79" s="9">
        <f>($D79-$C79)*100</f>
        <v/>
      </c>
      <c r="O79" s="9">
        <f>($F79-$E79)*100</f>
        <v/>
      </c>
      <c r="P79" s="9">
        <f>($J79-$I79)*100</f>
        <v/>
      </c>
    </row>
    <row r="80">
      <c r="A80" s="17" t="n">
        <v>42881</v>
      </c>
      <c r="B80" s="16" t="n">
        <v>-0.168</v>
      </c>
      <c r="C80" s="16" t="n">
        <v>0.044</v>
      </c>
      <c r="D80" s="16" t="n">
        <v>0.795</v>
      </c>
      <c r="E80" s="16" t="n">
        <v>1.3</v>
      </c>
      <c r="F80" s="16" t="n">
        <v>2.25</v>
      </c>
      <c r="G80" s="16" t="n">
        <v>2.257</v>
      </c>
      <c r="H80" s="16" t="n">
        <v>0.3364</v>
      </c>
      <c r="I80" s="16" t="n">
        <v>-0.7040999999999999</v>
      </c>
      <c r="J80" s="16" t="n">
        <v>0.4032</v>
      </c>
      <c r="K80" s="16" t="n">
        <v>0.597</v>
      </c>
      <c r="L80" s="16" t="n">
        <v>0.26</v>
      </c>
      <c r="M80" s="9">
        <f>($C80-$B80)*100</f>
        <v/>
      </c>
      <c r="N80" s="9">
        <f>($D80-$C80)*100</f>
        <v/>
      </c>
      <c r="O80" s="9">
        <f>($F80-$E80)*100</f>
        <v/>
      </c>
      <c r="P80" s="9">
        <f>($J80-$I80)*100</f>
        <v/>
      </c>
    </row>
    <row r="81">
      <c r="A81" s="17" t="n">
        <v>42888</v>
      </c>
      <c r="B81" s="16" t="n">
        <v>-0.155</v>
      </c>
      <c r="C81" s="16" t="n">
        <v>0.047</v>
      </c>
      <c r="D81" s="16" t="n">
        <v>0.8090000000000001</v>
      </c>
      <c r="E81" s="16" t="n">
        <v>1.28</v>
      </c>
      <c r="F81" s="16" t="n">
        <v>2.15</v>
      </c>
      <c r="G81" s="16" t="n">
        <v>2.165</v>
      </c>
      <c r="H81" s="16" t="n">
        <v>0.2505</v>
      </c>
      <c r="I81" s="16" t="n">
        <v>-0.748</v>
      </c>
      <c r="J81" s="16" t="n">
        <v>0.3531</v>
      </c>
      <c r="K81" s="16" t="n">
        <v>0.667</v>
      </c>
      <c r="L81" s="16" t="n">
        <v>0.29</v>
      </c>
      <c r="M81" s="9">
        <f>($C81-$B81)*100</f>
        <v/>
      </c>
      <c r="N81" s="9">
        <f>($D81-$C81)*100</f>
        <v/>
      </c>
      <c r="O81" s="9">
        <f>($F81-$E81)*100</f>
        <v/>
      </c>
      <c r="P81" s="9">
        <f>($J81-$I81)*100</f>
        <v/>
      </c>
    </row>
    <row r="82">
      <c r="A82" s="17" t="n">
        <v>42895</v>
      </c>
      <c r="B82" s="16" t="n">
        <v>-0.108</v>
      </c>
      <c r="C82" s="16" t="n">
        <v>0.05</v>
      </c>
      <c r="D82" s="16" t="n">
        <v>0.8179999999999999</v>
      </c>
      <c r="E82" s="16" t="n">
        <v>1.35</v>
      </c>
      <c r="F82" s="16" t="n">
        <v>2.21</v>
      </c>
      <c r="G82" s="16" t="n">
        <v>2.165</v>
      </c>
      <c r="H82" s="16" t="n">
        <v>0.2505</v>
      </c>
      <c r="I82" s="16" t="n">
        <v>-0.7549</v>
      </c>
      <c r="J82" s="16" t="n">
        <v>0.3523</v>
      </c>
      <c r="K82" s="16" t="n">
        <v>0.67</v>
      </c>
      <c r="L82" s="16" t="n">
        <v>0.27</v>
      </c>
      <c r="M82" s="9">
        <f>($C82-$B82)*100</f>
        <v/>
      </c>
      <c r="N82" s="9">
        <f>($D82-$C82)*100</f>
        <v/>
      </c>
      <c r="O82" s="9">
        <f>($F82-$E82)*100</f>
        <v/>
      </c>
      <c r="P82" s="9">
        <f>($J82-$I82)*100</f>
        <v/>
      </c>
    </row>
    <row r="83">
      <c r="A83" s="17" t="n">
        <v>42902</v>
      </c>
      <c r="B83" s="16" t="n">
        <v>-0.12</v>
      </c>
      <c r="C83" s="16" t="n">
        <v>0.05</v>
      </c>
      <c r="D83" s="16" t="n">
        <v>0.805</v>
      </c>
      <c r="E83" s="16" t="n">
        <v>1.32</v>
      </c>
      <c r="F83" s="16" t="n">
        <v>2.16</v>
      </c>
      <c r="G83" s="16" t="n">
        <v>2.165</v>
      </c>
      <c r="H83" s="16" t="n">
        <v>0.2505</v>
      </c>
      <c r="I83" s="16" t="n">
        <v>-0.6831</v>
      </c>
      <c r="J83" s="16" t="n">
        <v>0.3581</v>
      </c>
      <c r="K83" s="16" t="n">
        <v>0.716</v>
      </c>
      <c r="L83" s="16" t="n">
        <v>0.3</v>
      </c>
      <c r="M83" s="9">
        <f>($C83-$B83)*100</f>
        <v/>
      </c>
      <c r="N83" s="9">
        <f>($D83-$C83)*100</f>
        <v/>
      </c>
      <c r="O83" s="9">
        <f>($F83-$E83)*100</f>
        <v/>
      </c>
      <c r="P83" s="9">
        <f>($J83-$I83)*100</f>
        <v/>
      </c>
    </row>
    <row r="84">
      <c r="A84" s="17" t="n">
        <v>42909</v>
      </c>
      <c r="B84" s="16" t="n">
        <v>-0.103</v>
      </c>
      <c r="C84" s="16" t="n">
        <v>0.051</v>
      </c>
      <c r="D84" s="16" t="n">
        <v>0.796</v>
      </c>
      <c r="E84" s="16" t="n">
        <v>1.34</v>
      </c>
      <c r="F84" s="16" t="n">
        <v>2.15</v>
      </c>
      <c r="G84" s="16" t="n">
        <v>2.165</v>
      </c>
      <c r="H84" s="16" t="n">
        <v>0.2505</v>
      </c>
      <c r="I84" s="16" t="n">
        <v>-0.6503</v>
      </c>
      <c r="J84" s="16" t="n">
        <v>0.3312</v>
      </c>
      <c r="K84" s="16" t="n">
        <v>0.721</v>
      </c>
      <c r="L84" s="16" t="n">
        <v>0.26</v>
      </c>
      <c r="M84" s="9">
        <f>($C84-$B84)*100</f>
        <v/>
      </c>
      <c r="N84" s="9">
        <f>($D84-$C84)*100</f>
        <v/>
      </c>
      <c r="O84" s="9">
        <f>($F84-$E84)*100</f>
        <v/>
      </c>
      <c r="P84" s="9">
        <f>($J84-$I84)*100</f>
        <v/>
      </c>
    </row>
    <row r="85">
      <c r="A85" s="17" t="n">
        <v>42916</v>
      </c>
      <c r="B85" s="16" t="n">
        <v>-0.115</v>
      </c>
      <c r="C85" s="16" t="n">
        <v>0.08599999999999999</v>
      </c>
      <c r="D85" s="16" t="n">
        <v>0.842</v>
      </c>
      <c r="E85" s="16" t="n">
        <v>1.38</v>
      </c>
      <c r="F85" s="16" t="n">
        <v>2.31</v>
      </c>
      <c r="G85" s="16" t="n">
        <v>2.165</v>
      </c>
      <c r="H85" s="16" t="n">
        <v>0.2505</v>
      </c>
      <c r="I85" s="16" t="n">
        <v>-0.586</v>
      </c>
      <c r="J85" s="16" t="n">
        <v>0.5409</v>
      </c>
      <c r="K85" s="16" t="n">
        <v>0.827</v>
      </c>
      <c r="L85" s="16" t="n">
        <v>0.31</v>
      </c>
      <c r="M85" s="9">
        <f>($C85-$B85)*100</f>
        <v/>
      </c>
      <c r="N85" s="9">
        <f>($D85-$C85)*100</f>
        <v/>
      </c>
      <c r="O85" s="9">
        <f>($F85-$E85)*100</f>
        <v/>
      </c>
      <c r="P85" s="9">
        <f>($J85-$I85)*100</f>
        <v/>
      </c>
    </row>
    <row r="86">
      <c r="A86" s="17" t="n">
        <v>42923</v>
      </c>
      <c r="B86" s="16" t="n">
        <v>-0.102</v>
      </c>
      <c r="C86" s="16" t="n">
        <v>0.08799999999999999</v>
      </c>
      <c r="D86" s="16" t="n">
        <v>0.878</v>
      </c>
      <c r="E86" s="16" t="n">
        <v>1.4</v>
      </c>
      <c r="F86" s="16" t="n">
        <v>2.39</v>
      </c>
      <c r="G86" s="16" t="n">
        <v>2.252</v>
      </c>
      <c r="H86" s="16" t="n">
        <v>0.4557</v>
      </c>
      <c r="I86" s="16" t="n">
        <v>-0.6061</v>
      </c>
      <c r="J86" s="16" t="n">
        <v>0.6497000000000001</v>
      </c>
      <c r="K86" s="16" t="n">
        <v>0.881</v>
      </c>
      <c r="L86" s="16" t="n">
        <v>0.34</v>
      </c>
      <c r="M86" s="9">
        <f>($C86-$B86)*100</f>
        <v/>
      </c>
      <c r="N86" s="9">
        <f>($D86-$C86)*100</f>
        <v/>
      </c>
      <c r="O86" s="9">
        <f>($F86-$E86)*100</f>
        <v/>
      </c>
      <c r="P86" s="9">
        <f>($J86-$I86)*100</f>
        <v/>
      </c>
    </row>
    <row r="87">
      <c r="A87" s="17" t="n">
        <v>42930</v>
      </c>
      <c r="B87" s="16" t="n">
        <v>-0.109</v>
      </c>
      <c r="C87" s="16" t="n">
        <v>0.078</v>
      </c>
      <c r="D87" s="16" t="n">
        <v>0.861</v>
      </c>
      <c r="E87" s="16" t="n">
        <v>1.35</v>
      </c>
      <c r="F87" s="16" t="n">
        <v>2.33</v>
      </c>
      <c r="G87" s="16" t="n">
        <v>2.252</v>
      </c>
      <c r="H87" s="16" t="n">
        <v>0.4557</v>
      </c>
      <c r="I87" s="16" t="n">
        <v>-0.6325</v>
      </c>
      <c r="J87" s="16" t="n">
        <v>0.5948</v>
      </c>
      <c r="K87" s="16" t="n">
        <v>0.794</v>
      </c>
      <c r="L87" s="16" t="n">
        <v>0.32</v>
      </c>
      <c r="M87" s="9">
        <f>($C87-$B87)*100</f>
        <v/>
      </c>
      <c r="N87" s="9">
        <f>($D87-$C87)*100</f>
        <v/>
      </c>
      <c r="O87" s="9">
        <f>($F87-$E87)*100</f>
        <v/>
      </c>
      <c r="P87" s="9">
        <f>($J87-$I87)*100</f>
        <v/>
      </c>
    </row>
    <row r="88">
      <c r="A88" s="17" t="n">
        <v>42937</v>
      </c>
      <c r="B88" s="16" t="n">
        <v>-0.116</v>
      </c>
      <c r="C88" s="16" t="n">
        <v>0.068</v>
      </c>
      <c r="D88" s="16" t="n">
        <v>0.857</v>
      </c>
      <c r="E88" s="16" t="n">
        <v>1.36</v>
      </c>
      <c r="F88" s="16" t="n">
        <v>2.24</v>
      </c>
      <c r="G88" s="16" t="n">
        <v>2.252</v>
      </c>
      <c r="H88" s="16" t="n">
        <v>0.4557</v>
      </c>
      <c r="I88" s="16" t="n">
        <v>-0.6438</v>
      </c>
      <c r="J88" s="16" t="n">
        <v>0.5352</v>
      </c>
      <c r="K88" s="16" t="n">
        <v>0.772</v>
      </c>
      <c r="L88" s="16" t="n">
        <v>0.34</v>
      </c>
      <c r="M88" s="9">
        <f>($C88-$B88)*100</f>
        <v/>
      </c>
      <c r="N88" s="9">
        <f>($D88-$C88)*100</f>
        <v/>
      </c>
      <c r="O88" s="9">
        <f>($F88-$E88)*100</f>
        <v/>
      </c>
      <c r="P88" s="9">
        <f>($J88-$I88)*100</f>
        <v/>
      </c>
    </row>
    <row r="89">
      <c r="A89" s="17" t="n">
        <v>42944</v>
      </c>
      <c r="B89" s="16" t="n">
        <v>-0.117</v>
      </c>
      <c r="C89" s="16" t="n">
        <v>0.074</v>
      </c>
      <c r="D89" s="16" t="n">
        <v>0.857</v>
      </c>
      <c r="E89" s="16" t="n">
        <v>1.34</v>
      </c>
      <c r="F89" s="16" t="n">
        <v>2.3</v>
      </c>
      <c r="G89" s="16" t="n">
        <v>2.252</v>
      </c>
      <c r="H89" s="16" t="n">
        <v>0.4557</v>
      </c>
      <c r="I89" s="16" t="n">
        <v>-0.6588000000000001</v>
      </c>
      <c r="J89" s="16" t="n">
        <v>0.5862000000000001</v>
      </c>
      <c r="K89" s="16" t="n">
        <v>0.744</v>
      </c>
      <c r="L89" s="16" t="n">
        <v>0.35</v>
      </c>
      <c r="M89" s="9">
        <f>($C89-$B89)*100</f>
        <v/>
      </c>
      <c r="N89" s="9">
        <f>($D89-$C89)*100</f>
        <v/>
      </c>
      <c r="O89" s="9">
        <f>($F89-$E89)*100</f>
        <v/>
      </c>
      <c r="P89" s="9">
        <f>($J89-$I89)*100</f>
        <v/>
      </c>
    </row>
    <row r="90">
      <c r="A90" s="17" t="n">
        <v>42951</v>
      </c>
      <c r="B90" s="16" t="n">
        <v>-0.113</v>
      </c>
      <c r="C90" s="16" t="n">
        <v>0.065</v>
      </c>
      <c r="D90" s="16" t="n">
        <v>0.862</v>
      </c>
      <c r="E90" s="16" t="n">
        <v>1.36</v>
      </c>
      <c r="F90" s="16" t="n">
        <v>2.27</v>
      </c>
      <c r="G90" s="16" t="n">
        <v>2.287</v>
      </c>
      <c r="H90" s="16" t="n">
        <v>0.3461</v>
      </c>
      <c r="I90" s="16" t="n">
        <v>-0.6729000000000001</v>
      </c>
      <c r="J90" s="16" t="n">
        <v>0.5026</v>
      </c>
      <c r="K90" s="16" t="n">
        <v>0.727</v>
      </c>
      <c r="L90" s="16" t="n">
        <v>0.36</v>
      </c>
      <c r="M90" s="9">
        <f>($C90-$B90)*100</f>
        <v/>
      </c>
      <c r="N90" s="9">
        <f>($D90-$C90)*100</f>
        <v/>
      </c>
      <c r="O90" s="9">
        <f>($F90-$E90)*100</f>
        <v/>
      </c>
      <c r="P90" s="9">
        <f>($J90-$I90)*100</f>
        <v/>
      </c>
    </row>
    <row r="91">
      <c r="A91" s="17" t="n">
        <v>42958</v>
      </c>
      <c r="B91" s="16" t="n">
        <v>-0.114</v>
      </c>
      <c r="C91" s="16" t="n">
        <v>0.06</v>
      </c>
      <c r="D91" s="16" t="n">
        <v>0.843</v>
      </c>
      <c r="E91" s="16" t="n">
        <v>1.3</v>
      </c>
      <c r="F91" s="16" t="n">
        <v>2.19</v>
      </c>
      <c r="G91" s="16" t="n">
        <v>2.287</v>
      </c>
      <c r="H91" s="16" t="n">
        <v>0.3461</v>
      </c>
      <c r="I91" s="16" t="n">
        <v>-0.7032</v>
      </c>
      <c r="J91" s="16" t="n">
        <v>0.4161</v>
      </c>
      <c r="K91" s="16" t="n">
        <v>0.834</v>
      </c>
      <c r="L91" s="16" t="n">
        <v>0.41</v>
      </c>
      <c r="M91" s="9">
        <f>($C91-$B91)*100</f>
        <v/>
      </c>
      <c r="N91" s="9">
        <f>($D91-$C91)*100</f>
        <v/>
      </c>
      <c r="O91" s="9">
        <f>($F91-$E91)*100</f>
        <v/>
      </c>
      <c r="P91" s="9">
        <f>($J91-$I91)*100</f>
        <v/>
      </c>
    </row>
    <row r="92">
      <c r="A92" s="17" t="n">
        <v>42965</v>
      </c>
      <c r="B92" s="16" t="n">
        <v>-0.131</v>
      </c>
      <c r="C92" s="16" t="n">
        <v>0.043</v>
      </c>
      <c r="D92" s="16" t="n">
        <v>0.848</v>
      </c>
      <c r="E92" s="16" t="n">
        <v>1.33</v>
      </c>
      <c r="F92" s="16" t="n">
        <v>2.19</v>
      </c>
      <c r="G92" s="16" t="n">
        <v>2.287</v>
      </c>
      <c r="H92" s="16" t="n">
        <v>0.3461</v>
      </c>
      <c r="I92" s="16" t="n">
        <v>-0.7000999999999999</v>
      </c>
      <c r="J92" s="16" t="n">
        <v>0.4275</v>
      </c>
      <c r="K92" s="16" t="n">
        <v>0.794</v>
      </c>
      <c r="L92" s="16" t="n">
        <v>0.35</v>
      </c>
      <c r="M92" s="9">
        <f>($C92-$B92)*100</f>
        <v/>
      </c>
      <c r="N92" s="9">
        <f>($D92-$C92)*100</f>
        <v/>
      </c>
      <c r="O92" s="9">
        <f>($F92-$E92)*100</f>
        <v/>
      </c>
      <c r="P92" s="9">
        <f>($J92-$I92)*100</f>
        <v/>
      </c>
    </row>
    <row r="93">
      <c r="A93" s="17" t="n">
        <v>42972</v>
      </c>
      <c r="B93" s="16" t="n">
        <v>-0.157</v>
      </c>
      <c r="C93" s="16" t="n">
        <v>0.018</v>
      </c>
      <c r="D93" s="16" t="n">
        <v>0.83</v>
      </c>
      <c r="E93" s="16" t="n">
        <v>1.35</v>
      </c>
      <c r="F93" s="16" t="n">
        <v>2.17</v>
      </c>
      <c r="G93" s="16" t="n">
        <v>2.287</v>
      </c>
      <c r="H93" s="16" t="n">
        <v>0.3461</v>
      </c>
      <c r="I93" s="16" t="n">
        <v>-0.7114</v>
      </c>
      <c r="J93" s="16" t="n">
        <v>0.4239</v>
      </c>
      <c r="K93" s="16" t="n">
        <v>0.831</v>
      </c>
      <c r="L93" s="16" t="n">
        <v>0.35</v>
      </c>
      <c r="M93" s="9">
        <f>($C93-$B93)*100</f>
        <v/>
      </c>
      <c r="N93" s="9">
        <f>($D93-$C93)*100</f>
        <v/>
      </c>
      <c r="O93" s="9">
        <f>($F93-$E93)*100</f>
        <v/>
      </c>
      <c r="P93" s="9">
        <f>($J93-$I93)*100</f>
        <v/>
      </c>
    </row>
    <row r="94">
      <c r="A94" s="17" t="n">
        <v>42979</v>
      </c>
      <c r="B94" s="16" t="n">
        <v>-0.165</v>
      </c>
      <c r="C94" s="16" t="n">
        <v>0.005</v>
      </c>
      <c r="D94" s="16" t="n">
        <v>0.822</v>
      </c>
      <c r="E94" s="16" t="n">
        <v>1.35</v>
      </c>
      <c r="F94" s="16" t="n">
        <v>2.16</v>
      </c>
      <c r="G94" s="16" t="n">
        <v>2.286</v>
      </c>
      <c r="H94" s="16" t="n">
        <v>0.3471</v>
      </c>
      <c r="I94" s="16" t="n">
        <v>-0.7265</v>
      </c>
      <c r="J94" s="16" t="n">
        <v>0.4196</v>
      </c>
      <c r="K94" s="16" t="n">
        <v>0.719</v>
      </c>
      <c r="L94" s="16" t="n">
        <v>0.27</v>
      </c>
      <c r="M94" s="9">
        <f>($C94-$B94)*100</f>
        <v/>
      </c>
      <c r="N94" s="9">
        <f>($D94-$C94)*100</f>
        <v/>
      </c>
      <c r="O94" s="9">
        <f>($F94-$E94)*100</f>
        <v/>
      </c>
      <c r="P94" s="9">
        <f>($J94-$I94)*100</f>
        <v/>
      </c>
    </row>
    <row r="95">
      <c r="A95" s="17" t="n">
        <v>42986</v>
      </c>
      <c r="B95" s="16" t="n">
        <v>-0.162</v>
      </c>
      <c r="C95" s="16" t="n">
        <v>-0.012</v>
      </c>
      <c r="D95" s="16" t="n">
        <v>0.804</v>
      </c>
      <c r="E95" s="16" t="n">
        <v>1.27</v>
      </c>
      <c r="F95" s="16" t="n">
        <v>2.06</v>
      </c>
      <c r="G95" s="16" t="n">
        <v>2.286</v>
      </c>
      <c r="H95" s="16" t="n">
        <v>0.3471</v>
      </c>
      <c r="I95" s="16" t="n">
        <v>-0.7633</v>
      </c>
      <c r="J95" s="16" t="n">
        <v>0.3641</v>
      </c>
      <c r="K95" s="16" t="n">
        <v>0.671</v>
      </c>
      <c r="L95" s="16" t="n">
        <v>0.28</v>
      </c>
      <c r="M95" s="9">
        <f>($C95-$B95)*100</f>
        <v/>
      </c>
      <c r="N95" s="9">
        <f>($D95-$C95)*100</f>
        <v/>
      </c>
      <c r="O95" s="9">
        <f>($F95-$E95)*100</f>
        <v/>
      </c>
      <c r="P95" s="9">
        <f>($J95-$I95)*100</f>
        <v/>
      </c>
    </row>
    <row r="96">
      <c r="A96" s="17" t="n">
        <v>42993</v>
      </c>
      <c r="B96" s="16" t="n">
        <v>-0.15</v>
      </c>
      <c r="C96" s="16" t="n">
        <v>0.015</v>
      </c>
      <c r="D96" s="16" t="n">
        <v>0.823</v>
      </c>
      <c r="E96" s="16" t="n">
        <v>1.39</v>
      </c>
      <c r="F96" s="16" t="n">
        <v>2.2</v>
      </c>
      <c r="G96" s="16" t="n">
        <v>2.286</v>
      </c>
      <c r="H96" s="16" t="n">
        <v>0.3471</v>
      </c>
      <c r="I96" s="16" t="n">
        <v>-0.7056</v>
      </c>
      <c r="J96" s="16" t="n">
        <v>0.4769</v>
      </c>
      <c r="K96" s="16" t="n">
        <v>0.707</v>
      </c>
      <c r="L96" s="16" t="n">
        <v>0.29</v>
      </c>
      <c r="M96" s="9">
        <f>($C96-$B96)*100</f>
        <v/>
      </c>
      <c r="N96" s="9">
        <f>($D96-$C96)*100</f>
        <v/>
      </c>
      <c r="O96" s="9">
        <f>($F96-$E96)*100</f>
        <v/>
      </c>
      <c r="P96" s="9">
        <f>($J96-$I96)*100</f>
        <v/>
      </c>
    </row>
    <row r="97">
      <c r="A97" s="17" t="n">
        <v>43000</v>
      </c>
      <c r="B97" s="16" t="n">
        <v>-0.137</v>
      </c>
      <c r="C97" s="16" t="n">
        <v>0.021</v>
      </c>
      <c r="D97" s="16" t="n">
        <v>0.8139999999999999</v>
      </c>
      <c r="E97" s="16" t="n">
        <v>1.46</v>
      </c>
      <c r="F97" s="16" t="n">
        <v>2.26</v>
      </c>
      <c r="G97" s="16" t="n">
        <v>2.286</v>
      </c>
      <c r="H97" s="16" t="n">
        <v>0.3471</v>
      </c>
      <c r="I97" s="16" t="n">
        <v>-0.6917</v>
      </c>
      <c r="J97" s="16" t="n">
        <v>0.4921</v>
      </c>
      <c r="K97" s="16" t="n">
        <v>0.786</v>
      </c>
      <c r="L97" s="16" t="n">
        <v>0.35</v>
      </c>
      <c r="M97" s="9">
        <f>($C97-$B97)*100</f>
        <v/>
      </c>
      <c r="N97" s="9">
        <f>($D97-$C97)*100</f>
        <v/>
      </c>
      <c r="O97" s="9">
        <f>($F97-$E97)*100</f>
        <v/>
      </c>
      <c r="P97" s="9">
        <f>($J97-$I97)*100</f>
        <v/>
      </c>
    </row>
    <row r="98">
      <c r="A98" s="17" t="n">
        <v>43007</v>
      </c>
      <c r="B98" s="16" t="n">
        <v>-0.12</v>
      </c>
      <c r="C98" s="16" t="n">
        <v>0.062</v>
      </c>
      <c r="D98" s="16" t="n">
        <v>0.855</v>
      </c>
      <c r="E98" s="16" t="n">
        <v>1.47</v>
      </c>
      <c r="F98" s="16" t="n">
        <v>2.33</v>
      </c>
      <c r="G98" s="16" t="n">
        <v>2.286</v>
      </c>
      <c r="H98" s="16" t="n">
        <v>0.3471</v>
      </c>
      <c r="I98" s="16" t="n">
        <v>-0.7</v>
      </c>
      <c r="J98" s="16" t="n">
        <v>0.5163</v>
      </c>
      <c r="K98" s="16" t="n">
        <v>0.845</v>
      </c>
      <c r="L98" s="16" t="n">
        <v>0.45</v>
      </c>
      <c r="M98" s="9">
        <f>($C98-$B98)*100</f>
        <v/>
      </c>
      <c r="N98" s="9">
        <f>($D98-$C98)*100</f>
        <v/>
      </c>
      <c r="O98" s="9">
        <f>($F98-$E98)*100</f>
        <v/>
      </c>
      <c r="P98" s="9">
        <f>($J98-$I98)*100</f>
        <v/>
      </c>
    </row>
    <row r="99">
      <c r="A99" s="17" t="n">
        <v>43014</v>
      </c>
      <c r="B99" s="16" t="n">
        <v>-0.14</v>
      </c>
      <c r="C99" s="16" t="n">
        <v>0.053</v>
      </c>
      <c r="D99" s="16" t="n">
        <v>0.873</v>
      </c>
      <c r="E99" s="16" t="n">
        <v>1.54</v>
      </c>
      <c r="F99" s="16" t="n">
        <v>2.37</v>
      </c>
      <c r="G99" s="16" t="n">
        <v>2.455</v>
      </c>
      <c r="H99" s="16" t="n">
        <v>0.3725</v>
      </c>
      <c r="I99" s="16" t="n">
        <v>-0.6825</v>
      </c>
      <c r="J99" s="16" t="n">
        <v>0.5504</v>
      </c>
      <c r="K99" s="16" t="n">
        <v>0.9429999999999999</v>
      </c>
      <c r="L99" s="16" t="n">
        <v>0.5</v>
      </c>
      <c r="M99" s="9">
        <f>($C99-$B99)*100</f>
        <v/>
      </c>
      <c r="N99" s="9">
        <f>($D99-$C99)*100</f>
        <v/>
      </c>
      <c r="O99" s="9">
        <f>($F99-$E99)*100</f>
        <v/>
      </c>
      <c r="P99" s="9">
        <f>($J99-$I99)*100</f>
        <v/>
      </c>
    </row>
    <row r="100">
      <c r="A100" s="17" t="n">
        <v>43021</v>
      </c>
      <c r="B100" s="16" t="n">
        <v>-0.144</v>
      </c>
      <c r="C100" s="16" t="n">
        <v>0.063</v>
      </c>
      <c r="D100" s="16" t="n">
        <v>0.865</v>
      </c>
      <c r="E100" s="16" t="n">
        <v>1.51</v>
      </c>
      <c r="F100" s="16" t="n">
        <v>2.28</v>
      </c>
      <c r="G100" s="16" t="n">
        <v>2.455</v>
      </c>
      <c r="H100" s="16" t="n">
        <v>0.3725</v>
      </c>
      <c r="I100" s="16" t="n">
        <v>-0.7286</v>
      </c>
      <c r="J100" s="16" t="n">
        <v>0.4612</v>
      </c>
      <c r="K100" s="16" t="n">
        <v>0.862</v>
      </c>
      <c r="L100" s="16" t="n">
        <v>0.46</v>
      </c>
      <c r="M100" s="9">
        <f>($C100-$B100)*100</f>
        <v/>
      </c>
      <c r="N100" s="9">
        <f>($D100-$C100)*100</f>
        <v/>
      </c>
      <c r="O100" s="9">
        <f>($F100-$E100)*100</f>
        <v/>
      </c>
      <c r="P100" s="9">
        <f>($J100-$I100)*100</f>
        <v/>
      </c>
    </row>
    <row r="101">
      <c r="A101" s="17" t="n">
        <v>43028</v>
      </c>
      <c r="B101" s="16" t="n">
        <v>-0.136</v>
      </c>
      <c r="C101" s="16" t="n">
        <v>0.074</v>
      </c>
      <c r="D101" s="16" t="n">
        <v>0.879</v>
      </c>
      <c r="E101" s="16" t="n">
        <v>1.6</v>
      </c>
      <c r="F101" s="16" t="n">
        <v>2.39</v>
      </c>
      <c r="G101" s="16" t="n">
        <v>2.455</v>
      </c>
      <c r="H101" s="16" t="n">
        <v>0.3725</v>
      </c>
      <c r="I101" s="16" t="n">
        <v>-0.7185</v>
      </c>
      <c r="J101" s="16" t="n">
        <v>0.5054</v>
      </c>
      <c r="K101" s="16" t="n">
        <v>1.013</v>
      </c>
      <c r="L101" s="16" t="n">
        <v>0.6</v>
      </c>
      <c r="M101" s="9">
        <f>($C101-$B101)*100</f>
        <v/>
      </c>
      <c r="N101" s="9">
        <f>($D101-$C101)*100</f>
        <v/>
      </c>
      <c r="O101" s="9">
        <f>($F101-$E101)*100</f>
        <v/>
      </c>
      <c r="P101" s="9">
        <f>($J101-$I101)*100</f>
        <v/>
      </c>
    </row>
    <row r="102">
      <c r="A102" s="17" t="n">
        <v>43035</v>
      </c>
      <c r="B102" s="16" t="n">
        <v>-0.149</v>
      </c>
      <c r="C102" s="16" t="n">
        <v>0.07000000000000001</v>
      </c>
      <c r="D102" s="16" t="n">
        <v>0.865</v>
      </c>
      <c r="E102" s="16" t="n">
        <v>1.59</v>
      </c>
      <c r="F102" s="16" t="n">
        <v>2.42</v>
      </c>
      <c r="G102" s="16" t="n">
        <v>2.455</v>
      </c>
      <c r="H102" s="16" t="n">
        <v>0.3725</v>
      </c>
      <c r="I102" s="16" t="n">
        <v>-0.7486</v>
      </c>
      <c r="J102" s="16" t="n">
        <v>0.474</v>
      </c>
      <c r="K102" s="16" t="n">
        <v>1.038</v>
      </c>
      <c r="L102" s="16" t="n">
        <v>0.73</v>
      </c>
      <c r="M102" s="9">
        <f>($C102-$B102)*100</f>
        <v/>
      </c>
      <c r="N102" s="9">
        <f>($D102-$C102)*100</f>
        <v/>
      </c>
      <c r="O102" s="9">
        <f>($F102-$E102)*100</f>
        <v/>
      </c>
      <c r="P102" s="9">
        <f>($J102-$I102)*100</f>
        <v/>
      </c>
    </row>
    <row r="103">
      <c r="A103" s="17" t="n">
        <v>43042</v>
      </c>
      <c r="B103" s="16" t="n">
        <v>-0.163</v>
      </c>
      <c r="C103" s="16" t="n">
        <v>0.055</v>
      </c>
      <c r="D103" s="16" t="n">
        <v>0.843</v>
      </c>
      <c r="E103" s="16" t="n">
        <v>1.63</v>
      </c>
      <c r="F103" s="16" t="n">
        <v>2.34</v>
      </c>
      <c r="G103" s="16" t="n">
        <v>2.54</v>
      </c>
      <c r="H103" s="16" t="n">
        <v>0.3082</v>
      </c>
      <c r="I103" s="16" t="n">
        <v>-0.7567</v>
      </c>
      <c r="J103" s="16" t="n">
        <v>0.4194</v>
      </c>
      <c r="K103" s="16" t="n">
        <v>0.99</v>
      </c>
      <c r="L103" s="16" t="n">
        <v>0.84</v>
      </c>
      <c r="M103" s="9">
        <f>($C103-$B103)*100</f>
        <v/>
      </c>
      <c r="N103" s="9">
        <f>($D103-$C103)*100</f>
        <v/>
      </c>
      <c r="O103" s="9">
        <f>($F103-$E103)*100</f>
        <v/>
      </c>
      <c r="P103" s="9">
        <f>($J103-$I103)*100</f>
        <v/>
      </c>
    </row>
    <row r="104">
      <c r="A104" s="17" t="n">
        <v>43049</v>
      </c>
      <c r="B104" s="16" t="n">
        <v>-0.179</v>
      </c>
      <c r="C104" s="16" t="n">
        <v>0.042</v>
      </c>
      <c r="D104" s="16" t="n">
        <v>0.803</v>
      </c>
      <c r="E104" s="16" t="n">
        <v>1.67</v>
      </c>
      <c r="F104" s="16" t="n">
        <v>2.4</v>
      </c>
      <c r="G104" s="16" t="n">
        <v>2.54</v>
      </c>
      <c r="H104" s="16" t="n">
        <v>0.3082</v>
      </c>
      <c r="I104" s="16" t="n">
        <v>-0.7477</v>
      </c>
      <c r="J104" s="16" t="n">
        <v>0.4592</v>
      </c>
      <c r="K104" s="16" t="n">
        <v>1.049</v>
      </c>
      <c r="L104" s="16" t="n">
        <v>0.89</v>
      </c>
      <c r="M104" s="9">
        <f>($C104-$B104)*100</f>
        <v/>
      </c>
      <c r="N104" s="9">
        <f>($D104-$C104)*100</f>
        <v/>
      </c>
      <c r="O104" s="9">
        <f>($F104-$E104)*100</f>
        <v/>
      </c>
      <c r="P104" s="9">
        <f>($J104-$I104)*100</f>
        <v/>
      </c>
    </row>
    <row r="105">
      <c r="A105" s="17" t="n">
        <v>43056</v>
      </c>
      <c r="B105" s="16" t="n">
        <v>-0.195</v>
      </c>
      <c r="C105" s="16" t="n">
        <v>0.038</v>
      </c>
      <c r="D105" s="16" t="n">
        <v>0.823</v>
      </c>
      <c r="E105" s="16" t="n">
        <v>1.73</v>
      </c>
      <c r="F105" s="16" t="n">
        <v>2.35</v>
      </c>
      <c r="G105" s="16" t="n">
        <v>2.54</v>
      </c>
      <c r="H105" s="16" t="n">
        <v>0.3082</v>
      </c>
      <c r="I105" s="16" t="n">
        <v>-0.7378</v>
      </c>
      <c r="J105" s="16" t="n">
        <v>0.4391</v>
      </c>
      <c r="K105" s="16" t="n">
        <v>0.994</v>
      </c>
      <c r="L105" s="16" t="n">
        <v>0.65</v>
      </c>
      <c r="M105" s="9">
        <f>($C105-$B105)*100</f>
        <v/>
      </c>
      <c r="N105" s="9">
        <f>($D105-$C105)*100</f>
        <v/>
      </c>
      <c r="O105" s="9">
        <f>($F105-$E105)*100</f>
        <v/>
      </c>
      <c r="P105" s="9">
        <f>($J105-$I105)*100</f>
        <v/>
      </c>
    </row>
    <row r="106">
      <c r="A106" s="17" t="n">
        <v>43063</v>
      </c>
      <c r="B106" s="16" t="n">
        <v>-0.188</v>
      </c>
      <c r="C106" s="16" t="n">
        <v>0.035</v>
      </c>
      <c r="D106" s="16" t="n">
        <v>0.826</v>
      </c>
      <c r="E106" s="16" t="n">
        <v>1.75</v>
      </c>
      <c r="F106" s="16" t="n">
        <v>2.34</v>
      </c>
      <c r="G106" s="16" t="n">
        <v>2.54</v>
      </c>
      <c r="H106" s="16" t="n">
        <v>0.3082</v>
      </c>
      <c r="I106" s="16" t="n">
        <v>-0.7119</v>
      </c>
      <c r="J106" s="16" t="n">
        <v>0.4278</v>
      </c>
      <c r="K106" s="16" t="n">
        <v>1.122</v>
      </c>
      <c r="L106" s="16" t="n">
        <v>0.55</v>
      </c>
      <c r="M106" s="9">
        <f>($C106-$B106)*100</f>
        <v/>
      </c>
      <c r="N106" s="9">
        <f>($D106-$C106)*100</f>
        <v/>
      </c>
      <c r="O106" s="9">
        <f>($F106-$E106)*100</f>
        <v/>
      </c>
      <c r="P106" s="9">
        <f>($J106-$I106)*100</f>
        <v/>
      </c>
    </row>
    <row r="107">
      <c r="A107" s="17" t="n">
        <v>43070</v>
      </c>
      <c r="B107" s="16" t="n">
        <v>-0.16</v>
      </c>
      <c r="C107" s="16" t="n">
        <v>0.04</v>
      </c>
      <c r="D107" s="16" t="n">
        <v>0.831</v>
      </c>
      <c r="E107" s="16" t="n">
        <v>1.78</v>
      </c>
      <c r="F107" s="16" t="n">
        <v>2.37</v>
      </c>
      <c r="G107" s="16" t="n">
        <v>2.472</v>
      </c>
      <c r="H107" s="16" t="n">
        <v>0.2968</v>
      </c>
      <c r="I107" s="16" t="n">
        <v>-0.7156</v>
      </c>
      <c r="J107" s="16" t="n">
        <v>0.401</v>
      </c>
      <c r="K107" s="16" t="n">
        <v>1.19</v>
      </c>
      <c r="L107" s="16" t="n">
        <v>0.74</v>
      </c>
      <c r="M107" s="9">
        <f>($C107-$B107)*100</f>
        <v/>
      </c>
      <c r="N107" s="9">
        <f>($D107-$C107)*100</f>
        <v/>
      </c>
      <c r="O107" s="9">
        <f>($F107-$E107)*100</f>
        <v/>
      </c>
      <c r="P107" s="9">
        <f>($J107-$I107)*100</f>
        <v/>
      </c>
    </row>
    <row r="108">
      <c r="A108" s="17" t="n">
        <v>43077</v>
      </c>
      <c r="B108" s="16" t="n">
        <v>-0.153</v>
      </c>
      <c r="C108" s="16" t="n">
        <v>0.044</v>
      </c>
      <c r="D108" s="16" t="n">
        <v>0.8129999999999999</v>
      </c>
      <c r="E108" s="16" t="n">
        <v>1.8</v>
      </c>
      <c r="F108" s="16" t="n">
        <v>2.38</v>
      </c>
      <c r="G108" s="16" t="n">
        <v>2.472</v>
      </c>
      <c r="H108" s="16" t="n">
        <v>0.2968</v>
      </c>
      <c r="I108" s="16" t="n">
        <v>-0.7623</v>
      </c>
      <c r="J108" s="16" t="n">
        <v>0.3715</v>
      </c>
      <c r="K108" s="16" t="n">
        <v>1.249</v>
      </c>
      <c r="L108" s="16" t="n">
        <v>0.7</v>
      </c>
      <c r="M108" s="9">
        <f>($C108-$B108)*100</f>
        <v/>
      </c>
      <c r="N108" s="9">
        <f>($D108-$C108)*100</f>
        <v/>
      </c>
      <c r="O108" s="9">
        <f>($F108-$E108)*100</f>
        <v/>
      </c>
      <c r="P108" s="9">
        <f>($J108-$I108)*100</f>
        <v/>
      </c>
    </row>
    <row r="109">
      <c r="A109" s="17" t="n">
        <v>43084</v>
      </c>
      <c r="B109" s="16" t="n">
        <v>-0.155</v>
      </c>
      <c r="C109" s="16" t="n">
        <v>0.04</v>
      </c>
      <c r="D109" s="16" t="n">
        <v>0.805</v>
      </c>
      <c r="E109" s="16" t="n">
        <v>1.84</v>
      </c>
      <c r="F109" s="16" t="n">
        <v>2.35</v>
      </c>
      <c r="G109" s="16" t="n">
        <v>2.472</v>
      </c>
      <c r="H109" s="16" t="n">
        <v>0.2968</v>
      </c>
      <c r="I109" s="16" t="n">
        <v>-0.7383</v>
      </c>
      <c r="J109" s="16" t="n">
        <v>0.3735</v>
      </c>
      <c r="K109" s="16" t="n">
        <v>1.23</v>
      </c>
      <c r="L109" s="16" t="n">
        <v>0.76</v>
      </c>
      <c r="M109" s="9">
        <f>($C109-$B109)*100</f>
        <v/>
      </c>
      <c r="N109" s="9">
        <f>($D109-$C109)*100</f>
        <v/>
      </c>
      <c r="O109" s="9">
        <f>($F109-$E109)*100</f>
        <v/>
      </c>
      <c r="P109" s="9">
        <f>($J109-$I109)*100</f>
        <v/>
      </c>
    </row>
    <row r="110">
      <c r="A110" s="17" t="n">
        <v>43091</v>
      </c>
      <c r="B110" s="16" t="n">
        <v>-0.147</v>
      </c>
      <c r="C110" s="16" t="n">
        <v>0.046</v>
      </c>
      <c r="D110" s="16" t="n">
        <v>0.8139999999999999</v>
      </c>
      <c r="E110" s="16" t="n">
        <v>1.91</v>
      </c>
      <c r="F110" s="16" t="n">
        <v>2.48</v>
      </c>
      <c r="G110" s="16" t="n">
        <v>2.472</v>
      </c>
      <c r="H110" s="16" t="n">
        <v>0.2968</v>
      </c>
      <c r="I110" s="16" t="n">
        <v>-0.665</v>
      </c>
      <c r="J110" s="16" t="n">
        <v>0.4932</v>
      </c>
      <c r="K110" s="16" t="n">
        <v>1.35</v>
      </c>
      <c r="L110" s="16" t="n">
        <v>1.05</v>
      </c>
      <c r="M110" s="9">
        <f>($C110-$B110)*100</f>
        <v/>
      </c>
      <c r="N110" s="9">
        <f>($D110-$C110)*100</f>
        <v/>
      </c>
      <c r="O110" s="9">
        <f>($F110-$E110)*100</f>
        <v/>
      </c>
      <c r="P110" s="9">
        <f>($J110-$I110)*100</f>
        <v/>
      </c>
    </row>
    <row r="111">
      <c r="A111" s="17" t="n">
        <v>43098</v>
      </c>
      <c r="B111" s="16" t="n">
        <v>-0.14</v>
      </c>
      <c r="C111" s="16" t="n">
        <v>0.047</v>
      </c>
      <c r="D111" s="16" t="n">
        <v>0.805</v>
      </c>
      <c r="E111" s="16" t="n">
        <v>1.89</v>
      </c>
      <c r="F111" s="16" t="n">
        <v>2.4</v>
      </c>
      <c r="G111" s="16" t="n">
        <v>2.472</v>
      </c>
      <c r="H111" s="16" t="n">
        <v>0.2968</v>
      </c>
      <c r="I111" s="16" t="n">
        <v>-0.6352</v>
      </c>
      <c r="J111" s="16" t="n">
        <v>0.522</v>
      </c>
      <c r="K111" s="16" t="n">
        <v>1.299</v>
      </c>
      <c r="L111" s="16" t="n">
        <v>1.02</v>
      </c>
      <c r="M111" s="9">
        <f>($C111-$B111)*100</f>
        <v/>
      </c>
      <c r="N111" s="9">
        <f>($D111-$C111)*100</f>
        <v/>
      </c>
      <c r="O111" s="9">
        <f>($F111-$E111)*100</f>
        <v/>
      </c>
      <c r="P111" s="9">
        <f>($J111-$I111)*100</f>
        <v/>
      </c>
    </row>
    <row r="112">
      <c r="A112" s="17" t="n">
        <v>43105</v>
      </c>
      <c r="B112" s="16" t="n">
        <v>-0.138</v>
      </c>
      <c r="C112" s="16" t="n">
        <v>0.057</v>
      </c>
      <c r="D112" s="16" t="n">
        <v>0.8149999999999999</v>
      </c>
      <c r="E112" s="16" t="n">
        <v>1.96</v>
      </c>
      <c r="F112" s="16" t="n">
        <v>2.47</v>
      </c>
      <c r="G112" s="16" t="n">
        <v>2.626</v>
      </c>
      <c r="H112" s="16" t="n">
        <v>0.4745</v>
      </c>
      <c r="I112" s="16" t="n">
        <v>-0.6105</v>
      </c>
      <c r="J112" s="16" t="n">
        <v>0.5235</v>
      </c>
      <c r="K112" s="16" t="n">
        <v>1.252</v>
      </c>
      <c r="L112" s="16" t="n">
        <v>0.95</v>
      </c>
      <c r="M112" s="9">
        <f>($C112-$B112)*100</f>
        <v/>
      </c>
      <c r="N112" s="9">
        <f>($D112-$C112)*100</f>
        <v/>
      </c>
      <c r="O112" s="9">
        <f>($F112-$E112)*100</f>
        <v/>
      </c>
      <c r="P112" s="9">
        <f>($J112-$I112)*100</f>
        <v/>
      </c>
    </row>
    <row r="113">
      <c r="A113" s="17" t="n">
        <v>43112</v>
      </c>
      <c r="B113" s="16" t="n">
        <v>-0.134</v>
      </c>
      <c r="C113" s="16" t="n">
        <v>0.073</v>
      </c>
      <c r="D113" s="16" t="n">
        <v>0.828</v>
      </c>
      <c r="E113" s="16" t="n">
        <v>1.99</v>
      </c>
      <c r="F113" s="16" t="n">
        <v>2.55</v>
      </c>
      <c r="G113" s="16" t="n">
        <v>2.626</v>
      </c>
      <c r="H113" s="16" t="n">
        <v>0.4745</v>
      </c>
      <c r="I113" s="16" t="n">
        <v>-0.5598</v>
      </c>
      <c r="J113" s="16" t="n">
        <v>0.6191</v>
      </c>
      <c r="K113" s="16" t="n">
        <v>1.238</v>
      </c>
      <c r="L113" s="16" t="n">
        <v>0.8</v>
      </c>
      <c r="M113" s="9">
        <f>($C113-$B113)*100</f>
        <v/>
      </c>
      <c r="N113" s="9">
        <f>($D113-$C113)*100</f>
        <v/>
      </c>
      <c r="O113" s="9">
        <f>($F113-$E113)*100</f>
        <v/>
      </c>
      <c r="P113" s="9">
        <f>($J113-$I113)*100</f>
        <v/>
      </c>
    </row>
    <row r="114">
      <c r="A114" s="17" t="n">
        <v>43119</v>
      </c>
      <c r="B114" s="16" t="n">
        <v>-0.136</v>
      </c>
      <c r="C114" s="16" t="n">
        <v>0.079</v>
      </c>
      <c r="D114" s="16" t="n">
        <v>0.824</v>
      </c>
      <c r="E114" s="16" t="n">
        <v>2.06</v>
      </c>
      <c r="F114" s="16" t="n">
        <v>2.64</v>
      </c>
      <c r="G114" s="16" t="n">
        <v>2.626</v>
      </c>
      <c r="H114" s="16" t="n">
        <v>0.4745</v>
      </c>
      <c r="I114" s="16" t="n">
        <v>-0.5855</v>
      </c>
      <c r="J114" s="16" t="n">
        <v>0.6152</v>
      </c>
      <c r="K114" s="16" t="n">
        <v>1.29</v>
      </c>
      <c r="L114" s="16" t="n">
        <v>0.7</v>
      </c>
      <c r="M114" s="9">
        <f>($C114-$B114)*100</f>
        <v/>
      </c>
      <c r="N114" s="9">
        <f>($D114-$C114)*100</f>
        <v/>
      </c>
      <c r="O114" s="9">
        <f>($F114-$E114)*100</f>
        <v/>
      </c>
      <c r="P114" s="9">
        <f>($J114-$I114)*100</f>
        <v/>
      </c>
    </row>
    <row r="115">
      <c r="A115" s="17" t="n">
        <v>43126</v>
      </c>
      <c r="B115" s="16" t="n">
        <v>-0.132</v>
      </c>
      <c r="C115" s="16" t="n">
        <v>0.074</v>
      </c>
      <c r="D115" s="16" t="n">
        <v>0.8110000000000001</v>
      </c>
      <c r="E115" s="16" t="n">
        <v>2.13</v>
      </c>
      <c r="F115" s="16" t="n">
        <v>2.66</v>
      </c>
      <c r="G115" s="16" t="n">
        <v>2.626</v>
      </c>
      <c r="H115" s="16" t="n">
        <v>0.4745</v>
      </c>
      <c r="I115" s="16" t="n">
        <v>-0.5387</v>
      </c>
      <c r="J115" s="16" t="n">
        <v>0.6623</v>
      </c>
      <c r="K115" s="16" t="n">
        <v>1.264</v>
      </c>
      <c r="L115" s="16" t="n">
        <v>0.65</v>
      </c>
      <c r="M115" s="9">
        <f>($C115-$B115)*100</f>
        <v/>
      </c>
      <c r="N115" s="9">
        <f>($D115-$C115)*100</f>
        <v/>
      </c>
      <c r="O115" s="9">
        <f>($F115-$E115)*100</f>
        <v/>
      </c>
      <c r="P115" s="9">
        <f>($J115-$I115)*100</f>
        <v/>
      </c>
    </row>
    <row r="116">
      <c r="A116" s="17" t="n">
        <v>43133</v>
      </c>
      <c r="B116" s="16" t="n">
        <v>-0.131</v>
      </c>
      <c r="C116" s="16" t="n">
        <v>0.08500000000000001</v>
      </c>
      <c r="D116" s="16" t="n">
        <v>0.8159999999999999</v>
      </c>
      <c r="E116" s="16" t="n">
        <v>2.15</v>
      </c>
      <c r="F116" s="16" t="n">
        <v>2.84</v>
      </c>
      <c r="G116" s="16" t="n">
        <v>2.77</v>
      </c>
      <c r="H116" s="16" t="n">
        <v>0.659</v>
      </c>
      <c r="I116" s="16" t="n">
        <v>-0.5218</v>
      </c>
      <c r="J116" s="16" t="n">
        <v>0.7891</v>
      </c>
      <c r="K116" s="16" t="n">
        <v>1.273</v>
      </c>
      <c r="L116" s="16" t="n">
        <v>0.65</v>
      </c>
      <c r="M116" s="9">
        <f>($C116-$B116)*100</f>
        <v/>
      </c>
      <c r="N116" s="9">
        <f>($D116-$C116)*100</f>
        <v/>
      </c>
      <c r="O116" s="9">
        <f>($F116-$E116)*100</f>
        <v/>
      </c>
      <c r="P116" s="9">
        <f>($J116-$I116)*100</f>
        <v/>
      </c>
    </row>
    <row r="117">
      <c r="A117" s="17" t="n">
        <v>43140</v>
      </c>
      <c r="B117" s="16" t="n">
        <v>-0.149</v>
      </c>
      <c r="C117" s="16" t="n">
        <v>0.07099999999999999</v>
      </c>
      <c r="D117" s="16" t="n">
        <v>0.8070000000000001</v>
      </c>
      <c r="E117" s="16" t="n">
        <v>2.05</v>
      </c>
      <c r="F117" s="16" t="n">
        <v>2.83</v>
      </c>
      <c r="G117" s="16" t="n">
        <v>2.77</v>
      </c>
      <c r="H117" s="16" t="n">
        <v>0.659</v>
      </c>
      <c r="I117" s="16" t="n">
        <v>-0.5456</v>
      </c>
      <c r="J117" s="16" t="n">
        <v>0.7927</v>
      </c>
      <c r="K117" s="16" t="n">
        <v>1.206</v>
      </c>
      <c r="L117" s="16" t="n">
        <v>0.5600000000000001</v>
      </c>
      <c r="M117" s="9">
        <f>($C117-$B117)*100</f>
        <v/>
      </c>
      <c r="N117" s="9">
        <f>($D117-$C117)*100</f>
        <v/>
      </c>
      <c r="O117" s="9">
        <f>($F117-$E117)*100</f>
        <v/>
      </c>
      <c r="P117" s="9">
        <f>($J117-$I117)*100</f>
        <v/>
      </c>
    </row>
    <row r="118">
      <c r="A118" s="17" t="n">
        <v>43147</v>
      </c>
      <c r="B118" s="16" t="n">
        <v>-0.16</v>
      </c>
      <c r="C118" s="16" t="n">
        <v>0.062</v>
      </c>
      <c r="D118" s="16" t="n">
        <v>0.789</v>
      </c>
      <c r="E118" s="16" t="n">
        <v>2.21</v>
      </c>
      <c r="F118" s="16" t="n">
        <v>2.87</v>
      </c>
      <c r="G118" s="16" t="n">
        <v>2.77</v>
      </c>
      <c r="H118" s="16" t="n">
        <v>0.659</v>
      </c>
      <c r="I118" s="16" t="n">
        <v>-0.5553</v>
      </c>
      <c r="J118" s="16" t="n">
        <v>0.768</v>
      </c>
      <c r="K118" s="16" t="n">
        <v>1.143</v>
      </c>
      <c r="L118" s="16" t="n">
        <v>0.55</v>
      </c>
      <c r="M118" s="9">
        <f>($C118-$B118)*100</f>
        <v/>
      </c>
      <c r="N118" s="9">
        <f>($D118-$C118)*100</f>
        <v/>
      </c>
      <c r="O118" s="9">
        <f>($F118-$E118)*100</f>
        <v/>
      </c>
      <c r="P118" s="9">
        <f>($J118-$I118)*100</f>
        <v/>
      </c>
    </row>
    <row r="119">
      <c r="A119" s="17" t="n">
        <v>43154</v>
      </c>
      <c r="B119" s="16" t="n">
        <v>-0.153</v>
      </c>
      <c r="C119" s="16" t="n">
        <v>0.053</v>
      </c>
      <c r="D119" s="16" t="n">
        <v>0.758</v>
      </c>
      <c r="E119" s="16" t="n">
        <v>2.25</v>
      </c>
      <c r="F119" s="16" t="n">
        <v>2.88</v>
      </c>
      <c r="G119" s="16" t="n">
        <v>2.77</v>
      </c>
      <c r="H119" s="16" t="n">
        <v>0.659</v>
      </c>
      <c r="I119" s="16" t="n">
        <v>-0.5701000000000001</v>
      </c>
      <c r="J119" s="16" t="n">
        <v>0.7154</v>
      </c>
      <c r="K119" s="16" t="n">
        <v>1.209</v>
      </c>
      <c r="L119" s="16" t="n">
        <v>0.58</v>
      </c>
      <c r="M119" s="9">
        <f>($C119-$B119)*100</f>
        <v/>
      </c>
      <c r="N119" s="9">
        <f>($D119-$C119)*100</f>
        <v/>
      </c>
      <c r="O119" s="9">
        <f>($F119-$E119)*100</f>
        <v/>
      </c>
      <c r="P119" s="9">
        <f>($J119-$I119)*100</f>
        <v/>
      </c>
    </row>
    <row r="120">
      <c r="A120" s="17" t="n">
        <v>43161</v>
      </c>
      <c r="B120" s="16" t="n">
        <v>-0.155</v>
      </c>
      <c r="C120" s="16" t="n">
        <v>0.063</v>
      </c>
      <c r="D120" s="16" t="n">
        <v>0.767</v>
      </c>
      <c r="E120" s="16" t="n">
        <v>2.25</v>
      </c>
      <c r="F120" s="16" t="n">
        <v>2.86</v>
      </c>
      <c r="G120" s="16" t="n">
        <v>2.708</v>
      </c>
      <c r="H120" s="16" t="n">
        <v>0.5295</v>
      </c>
      <c r="I120" s="16" t="n">
        <v>-0.5805</v>
      </c>
      <c r="J120" s="16" t="n">
        <v>0.6748</v>
      </c>
      <c r="K120" s="16" t="n">
        <v>1.193</v>
      </c>
      <c r="L120" s="16" t="n">
        <v>0.6</v>
      </c>
      <c r="M120" s="9">
        <f>($C120-$B120)*100</f>
        <v/>
      </c>
      <c r="N120" s="9">
        <f>($D120-$C120)*100</f>
        <v/>
      </c>
      <c r="O120" s="9">
        <f>($F120-$E120)*100</f>
        <v/>
      </c>
      <c r="P120" s="9">
        <f>($J120-$I120)*100</f>
        <v/>
      </c>
    </row>
    <row r="121">
      <c r="A121" s="17" t="n">
        <v>43168</v>
      </c>
      <c r="B121" s="16" t="n">
        <v>-0.157</v>
      </c>
      <c r="C121" s="16" t="n">
        <v>0.044</v>
      </c>
      <c r="D121" s="16" t="n">
        <v>0.759</v>
      </c>
      <c r="E121" s="16" t="n">
        <v>2.27</v>
      </c>
      <c r="F121" s="16" t="n">
        <v>2.9</v>
      </c>
      <c r="G121" s="16" t="n">
        <v>2.708</v>
      </c>
      <c r="H121" s="16" t="n">
        <v>0.5295</v>
      </c>
      <c r="I121" s="16" t="n">
        <v>-0.5715</v>
      </c>
      <c r="J121" s="16" t="n">
        <v>0.7018</v>
      </c>
      <c r="K121" s="16" t="n">
        <v>1.385</v>
      </c>
      <c r="L121" s="16" t="n">
        <v>0.6899999999999999</v>
      </c>
      <c r="M121" s="9">
        <f>($C121-$B121)*100</f>
        <v/>
      </c>
      <c r="N121" s="9">
        <f>($D121-$C121)*100</f>
        <v/>
      </c>
      <c r="O121" s="9">
        <f>($F121-$E121)*100</f>
        <v/>
      </c>
      <c r="P121" s="9">
        <f>($J121-$I121)*100</f>
        <v/>
      </c>
    </row>
    <row r="122">
      <c r="A122" s="17" t="n">
        <v>43175</v>
      </c>
      <c r="B122" s="16" t="n">
        <v>-0.15</v>
      </c>
      <c r="C122" s="16" t="n">
        <v>0.031</v>
      </c>
      <c r="D122" s="16" t="n">
        <v>0.759</v>
      </c>
      <c r="E122" s="16" t="n">
        <v>2.31</v>
      </c>
      <c r="F122" s="16" t="n">
        <v>2.85</v>
      </c>
      <c r="G122" s="16" t="n">
        <v>2.708</v>
      </c>
      <c r="H122" s="16" t="n">
        <v>0.5295</v>
      </c>
      <c r="I122" s="16" t="n">
        <v>-0.5911</v>
      </c>
      <c r="J122" s="16" t="n">
        <v>0.635</v>
      </c>
      <c r="K122" s="16" t="n">
        <v>1.296</v>
      </c>
      <c r="L122" s="16" t="n">
        <v>0.75</v>
      </c>
      <c r="M122" s="9">
        <f>($C122-$B122)*100</f>
        <v/>
      </c>
      <c r="N122" s="9">
        <f>($D122-$C122)*100</f>
        <v/>
      </c>
      <c r="O122" s="9">
        <f>($F122-$E122)*100</f>
        <v/>
      </c>
      <c r="P122" s="9">
        <f>($J122-$I122)*100</f>
        <v/>
      </c>
    </row>
    <row r="123">
      <c r="A123" s="17" t="n">
        <v>43182</v>
      </c>
      <c r="B123" s="16" t="n">
        <v>-0.157</v>
      </c>
      <c r="C123" s="16" t="n">
        <v>0.016</v>
      </c>
      <c r="D123" s="16" t="n">
        <v>0.741</v>
      </c>
      <c r="E123" s="16" t="n">
        <v>2.28</v>
      </c>
      <c r="F123" s="16" t="n">
        <v>2.82</v>
      </c>
      <c r="G123" s="16" t="n">
        <v>2.708</v>
      </c>
      <c r="H123" s="16" t="n">
        <v>0.5295</v>
      </c>
      <c r="I123" s="16" t="n">
        <v>-0.6017</v>
      </c>
      <c r="J123" s="16" t="n">
        <v>0.5875</v>
      </c>
      <c r="K123" s="16" t="n">
        <v>1.397</v>
      </c>
      <c r="L123" s="16" t="n">
        <v>0.89</v>
      </c>
      <c r="M123" s="9">
        <f>($C123-$B123)*100</f>
        <v/>
      </c>
      <c r="N123" s="9">
        <f>($D123-$C123)*100</f>
        <v/>
      </c>
      <c r="O123" s="9">
        <f>($F123-$E123)*100</f>
        <v/>
      </c>
      <c r="P123" s="9">
        <f>($J123-$I123)*100</f>
        <v/>
      </c>
    </row>
    <row r="124">
      <c r="A124" s="17" t="n">
        <v>43189</v>
      </c>
      <c r="B124" s="16" t="n">
        <v>-0.137</v>
      </c>
      <c r="C124" s="16" t="n">
        <v>0.043</v>
      </c>
      <c r="D124" s="16" t="n">
        <v>0.741</v>
      </c>
      <c r="E124" s="16" t="n">
        <v>2.27</v>
      </c>
      <c r="F124" s="16" t="n">
        <v>2.74</v>
      </c>
      <c r="G124" s="16" t="n">
        <v>2.708</v>
      </c>
      <c r="H124" s="16" t="n">
        <v>0.5295</v>
      </c>
      <c r="I124" s="16" t="n">
        <v>-0.61</v>
      </c>
      <c r="J124" s="16" t="n">
        <v>0.5484</v>
      </c>
      <c r="K124" s="16" t="n">
        <v>1.355</v>
      </c>
      <c r="L124" s="16" t="n">
        <v>0.96</v>
      </c>
      <c r="M124" s="9">
        <f>($C124-$B124)*100</f>
        <v/>
      </c>
      <c r="N124" s="9">
        <f>($D124-$C124)*100</f>
        <v/>
      </c>
      <c r="O124" s="9">
        <f>($F124-$E124)*100</f>
        <v/>
      </c>
      <c r="P124" s="9">
        <f>($J124-$I124)*100</f>
        <v/>
      </c>
    </row>
    <row r="125">
      <c r="A125" s="17" t="n">
        <v>43196</v>
      </c>
      <c r="B125" s="16" t="n">
        <v>-0.143</v>
      </c>
      <c r="C125" s="16" t="n">
        <v>0.038</v>
      </c>
      <c r="D125" s="16" t="n">
        <v>0.746</v>
      </c>
      <c r="E125" s="16" t="n">
        <v>2.27</v>
      </c>
      <c r="F125" s="16" t="n">
        <v>2.77</v>
      </c>
      <c r="G125" s="16" t="n">
        <v>2.655</v>
      </c>
      <c r="H125" s="16" t="n">
        <v>0.48</v>
      </c>
      <c r="I125" s="16" t="n">
        <v>-0.5905</v>
      </c>
      <c r="J125" s="16" t="n">
        <v>0.5599</v>
      </c>
      <c r="K125" s="16" t="n">
        <v>1.383</v>
      </c>
      <c r="L125" s="16" t="n">
        <v>0.9399999999999999</v>
      </c>
      <c r="M125" s="9">
        <f>($C125-$B125)*100</f>
        <v/>
      </c>
      <c r="N125" s="9">
        <f>($D125-$C125)*100</f>
        <v/>
      </c>
      <c r="O125" s="9">
        <f>($F125-$E125)*100</f>
        <v/>
      </c>
      <c r="P125" s="9">
        <f>($J125-$I125)*100</f>
        <v/>
      </c>
    </row>
    <row r="126">
      <c r="A126" s="17" t="n">
        <v>43203</v>
      </c>
      <c r="B126" s="16" t="n">
        <v>-0.159</v>
      </c>
      <c r="C126" s="16" t="n">
        <v>0.033</v>
      </c>
      <c r="D126" s="16" t="n">
        <v>0.705</v>
      </c>
      <c r="E126" s="16" t="n">
        <v>2.37</v>
      </c>
      <c r="F126" s="16" t="n">
        <v>2.82</v>
      </c>
      <c r="G126" s="16" t="n">
        <v>2.655</v>
      </c>
      <c r="H126" s="16" t="n">
        <v>0.48</v>
      </c>
      <c r="I126" s="16" t="n">
        <v>-0.5807</v>
      </c>
      <c r="J126" s="16" t="n">
        <v>0.5766</v>
      </c>
      <c r="K126" s="16" t="n">
        <v>1.389</v>
      </c>
      <c r="L126" s="16" t="n">
        <v>0.88</v>
      </c>
      <c r="M126" s="9">
        <f>($C126-$B126)*100</f>
        <v/>
      </c>
      <c r="N126" s="9">
        <f>($D126-$C126)*100</f>
        <v/>
      </c>
      <c r="O126" s="9">
        <f>($F126-$E126)*100</f>
        <v/>
      </c>
      <c r="P126" s="9">
        <f>($J126-$I126)*100</f>
        <v/>
      </c>
    </row>
    <row r="127">
      <c r="A127" s="17" t="n">
        <v>43210</v>
      </c>
      <c r="B127" s="16" t="n">
        <v>-0.131</v>
      </c>
      <c r="C127" s="16" t="n">
        <v>0.059</v>
      </c>
      <c r="D127" s="16" t="n">
        <v>0.733</v>
      </c>
      <c r="E127" s="16" t="n">
        <v>2.46</v>
      </c>
      <c r="F127" s="16" t="n">
        <v>2.96</v>
      </c>
      <c r="G127" s="16" t="n">
        <v>2.655</v>
      </c>
      <c r="H127" s="16" t="n">
        <v>0.48</v>
      </c>
      <c r="I127" s="16" t="n">
        <v>-0.5570000000000001</v>
      </c>
      <c r="J127" s="16" t="n">
        <v>0.6578000000000001</v>
      </c>
      <c r="K127" s="16" t="n">
        <v>1.608</v>
      </c>
      <c r="L127" s="16" t="n">
        <v>1.16</v>
      </c>
      <c r="M127" s="9">
        <f>($C127-$B127)*100</f>
        <v/>
      </c>
      <c r="N127" s="9">
        <f>($D127-$C127)*100</f>
        <v/>
      </c>
      <c r="O127" s="9">
        <f>($F127-$E127)*100</f>
        <v/>
      </c>
      <c r="P127" s="9">
        <f>($J127-$I127)*100</f>
        <v/>
      </c>
    </row>
    <row r="128">
      <c r="A128" s="17" t="n">
        <v>43217</v>
      </c>
      <c r="B128" s="16" t="n">
        <v>-0.137</v>
      </c>
      <c r="C128" s="16" t="n">
        <v>0.055</v>
      </c>
      <c r="D128" s="16" t="n">
        <v>0.747</v>
      </c>
      <c r="E128" s="16" t="n">
        <v>2.49</v>
      </c>
      <c r="F128" s="16" t="n">
        <v>2.96</v>
      </c>
      <c r="G128" s="16" t="n">
        <v>2.655</v>
      </c>
      <c r="H128" s="16" t="n">
        <v>0.48</v>
      </c>
      <c r="I128" s="16" t="n">
        <v>-0.5719</v>
      </c>
      <c r="J128" s="16" t="n">
        <v>0.6228</v>
      </c>
      <c r="K128" s="16" t="n">
        <v>1.617</v>
      </c>
      <c r="L128" s="16" t="n">
        <v>1.17</v>
      </c>
      <c r="M128" s="9">
        <f>($C128-$B128)*100</f>
        <v/>
      </c>
      <c r="N128" s="9">
        <f>($D128-$C128)*100</f>
        <v/>
      </c>
      <c r="O128" s="9">
        <f>($F128-$E128)*100</f>
        <v/>
      </c>
      <c r="P128" s="9">
        <f>($J128-$I128)*100</f>
        <v/>
      </c>
    </row>
    <row r="129">
      <c r="A129" s="17" t="n">
        <v>43224</v>
      </c>
      <c r="B129" s="16" t="n">
        <v>-0.138</v>
      </c>
      <c r="C129" s="16" t="n">
        <v>0.045</v>
      </c>
      <c r="D129" s="16" t="n">
        <v>0.733</v>
      </c>
      <c r="E129" s="16" t="n">
        <v>2.51</v>
      </c>
      <c r="F129" s="16" t="n">
        <v>2.95</v>
      </c>
      <c r="G129" s="16" t="n">
        <v>2.757</v>
      </c>
      <c r="H129" s="16" t="n">
        <v>0.45</v>
      </c>
      <c r="I129" s="16" t="n">
        <v>-0.5726</v>
      </c>
      <c r="J129" s="16" t="n">
        <v>0.6022</v>
      </c>
      <c r="K129" s="16" t="n">
        <v>1.706</v>
      </c>
      <c r="L129" s="16" t="n">
        <v>1.18</v>
      </c>
      <c r="M129" s="9">
        <f>($C129-$B129)*100</f>
        <v/>
      </c>
      <c r="N129" s="9">
        <f>($D129-$C129)*100</f>
        <v/>
      </c>
      <c r="O129" s="9">
        <f>($F129-$E129)*100</f>
        <v/>
      </c>
      <c r="P129" s="9">
        <f>($J129-$I129)*100</f>
        <v/>
      </c>
    </row>
    <row r="130">
      <c r="A130" s="17" t="n">
        <v>43231</v>
      </c>
      <c r="B130" s="16" t="n">
        <v>-0.138</v>
      </c>
      <c r="C130" s="16" t="n">
        <v>0.047</v>
      </c>
      <c r="D130" s="16" t="n">
        <v>0.743</v>
      </c>
      <c r="E130" s="16" t="n">
        <v>2.54</v>
      </c>
      <c r="F130" s="16" t="n">
        <v>2.97</v>
      </c>
      <c r="G130" s="16" t="n">
        <v>2.757</v>
      </c>
      <c r="H130" s="16" t="n">
        <v>0.45</v>
      </c>
      <c r="I130" s="16" t="n">
        <v>-0.5679999999999999</v>
      </c>
      <c r="J130" s="16" t="n">
        <v>0.6224</v>
      </c>
      <c r="K130" s="16" t="n">
        <v>1.704</v>
      </c>
      <c r="L130" s="16" t="n">
        <v>1.1</v>
      </c>
      <c r="M130" s="9">
        <f>($C130-$B130)*100</f>
        <v/>
      </c>
      <c r="N130" s="9">
        <f>($D130-$C130)*100</f>
        <v/>
      </c>
      <c r="O130" s="9">
        <f>($F130-$E130)*100</f>
        <v/>
      </c>
      <c r="P130" s="9">
        <f>($J130-$I130)*100</f>
        <v/>
      </c>
    </row>
    <row r="131">
      <c r="A131" s="17" t="n">
        <v>43238</v>
      </c>
      <c r="B131" s="16" t="n">
        <v>-0.135</v>
      </c>
      <c r="C131" s="16" t="n">
        <v>0.062</v>
      </c>
      <c r="D131" s="16" t="n">
        <v>0.766</v>
      </c>
      <c r="E131" s="16" t="n">
        <v>2.55</v>
      </c>
      <c r="F131" s="16" t="n">
        <v>3.06</v>
      </c>
      <c r="G131" s="16" t="n">
        <v>2.757</v>
      </c>
      <c r="H131" s="16" t="n">
        <v>0.45</v>
      </c>
      <c r="I131" s="16" t="n">
        <v>-0.5639999999999999</v>
      </c>
      <c r="J131" s="16" t="n">
        <v>0.6788</v>
      </c>
      <c r="K131" s="16" t="n">
        <v>1.856</v>
      </c>
      <c r="L131" s="16" t="n">
        <v>1.1</v>
      </c>
      <c r="M131" s="9">
        <f>($C131-$B131)*100</f>
        <v/>
      </c>
      <c r="N131" s="9">
        <f>($D131-$C131)*100</f>
        <v/>
      </c>
      <c r="O131" s="9">
        <f>($F131-$E131)*100</f>
        <v/>
      </c>
      <c r="P131" s="9">
        <f>($J131-$I131)*100</f>
        <v/>
      </c>
    </row>
    <row r="132">
      <c r="A132" s="17" t="n">
        <v>43245</v>
      </c>
      <c r="B132" s="16" t="n">
        <v>-0.143</v>
      </c>
      <c r="C132" s="16" t="n">
        <v>0.043</v>
      </c>
      <c r="D132" s="16" t="n">
        <v>0.748</v>
      </c>
      <c r="E132" s="16" t="n">
        <v>2.48</v>
      </c>
      <c r="F132" s="16" t="n">
        <v>2.93</v>
      </c>
      <c r="G132" s="16" t="n">
        <v>2.757</v>
      </c>
      <c r="H132" s="16" t="n">
        <v>0.45</v>
      </c>
      <c r="I132" s="16" t="n">
        <v>-0.6529</v>
      </c>
      <c r="J132" s="16" t="n">
        <v>0.4727</v>
      </c>
      <c r="K132" s="16" t="n">
        <v>1.807</v>
      </c>
      <c r="L132" s="16" t="n">
        <v>1.06</v>
      </c>
      <c r="M132" s="9">
        <f>($C132-$B132)*100</f>
        <v/>
      </c>
      <c r="N132" s="9">
        <f>($D132-$C132)*100</f>
        <v/>
      </c>
      <c r="O132" s="9">
        <f>($F132-$E132)*100</f>
        <v/>
      </c>
      <c r="P132" s="9">
        <f>($J132-$I132)*100</f>
        <v/>
      </c>
    </row>
    <row r="133">
      <c r="A133" s="17" t="n">
        <v>43252</v>
      </c>
      <c r="B133" s="16" t="n">
        <v>-0.145</v>
      </c>
      <c r="C133" s="16" t="n">
        <v>0.05</v>
      </c>
      <c r="D133" s="16" t="n">
        <v>0.725</v>
      </c>
      <c r="E133" s="16" t="n">
        <v>2.47</v>
      </c>
      <c r="F133" s="16" t="n">
        <v>2.89</v>
      </c>
      <c r="G133" s="16" t="n">
        <v>2.656</v>
      </c>
      <c r="H133" s="16" t="n">
        <v>0.3271</v>
      </c>
      <c r="I133" s="16" t="n">
        <v>-0.6367</v>
      </c>
      <c r="J133" s="16" t="n">
        <v>0.4608</v>
      </c>
      <c r="K133" s="16" t="n">
        <v>1.718</v>
      </c>
      <c r="L133" s="16" t="n">
        <v>1.06</v>
      </c>
      <c r="M133" s="9">
        <f>($C133-$B133)*100</f>
        <v/>
      </c>
      <c r="N133" s="9">
        <f>($D133-$C133)*100</f>
        <v/>
      </c>
      <c r="O133" s="9">
        <f>($F133-$E133)*100</f>
        <v/>
      </c>
      <c r="P133" s="9">
        <f>($J133-$I133)*100</f>
        <v/>
      </c>
    </row>
    <row r="134">
      <c r="A134" s="17" t="n">
        <v>43259</v>
      </c>
      <c r="B134" s="16" t="n">
        <v>-0.127</v>
      </c>
      <c r="C134" s="16" t="n">
        <v>0.051</v>
      </c>
      <c r="D134" s="16" t="n">
        <v>0.722</v>
      </c>
      <c r="E134" s="16" t="n">
        <v>2.5</v>
      </c>
      <c r="F134" s="16" t="n">
        <v>2.93</v>
      </c>
      <c r="G134" s="16" t="n">
        <v>2.656</v>
      </c>
      <c r="H134" s="16" t="n">
        <v>0.3271</v>
      </c>
      <c r="I134" s="16" t="n">
        <v>-0.6596</v>
      </c>
      <c r="J134" s="16" t="n">
        <v>0.5272</v>
      </c>
      <c r="K134" s="16" t="n">
        <v>1.87</v>
      </c>
      <c r="L134" s="16" t="n">
        <v>1.25</v>
      </c>
      <c r="M134" s="9">
        <f>($C134-$B134)*100</f>
        <v/>
      </c>
      <c r="N134" s="9">
        <f>($D134-$C134)*100</f>
        <v/>
      </c>
      <c r="O134" s="9">
        <f>($F134-$E134)*100</f>
        <v/>
      </c>
      <c r="P134" s="9">
        <f>($J134-$I134)*100</f>
        <v/>
      </c>
    </row>
    <row r="135">
      <c r="A135" s="17" t="n">
        <v>43266</v>
      </c>
      <c r="B135" s="16" t="n">
        <v>-0.138</v>
      </c>
      <c r="C135" s="16" t="n">
        <v>0.041</v>
      </c>
      <c r="D135" s="16" t="n">
        <v>0.721</v>
      </c>
      <c r="E135" s="16" t="n">
        <v>2.55</v>
      </c>
      <c r="F135" s="16" t="n">
        <v>2.93</v>
      </c>
      <c r="G135" s="16" t="n">
        <v>2.656</v>
      </c>
      <c r="H135" s="16" t="n">
        <v>0.3271</v>
      </c>
      <c r="I135" s="16" t="n">
        <v>-0.6443</v>
      </c>
      <c r="J135" s="16" t="n">
        <v>0.4763</v>
      </c>
      <c r="K135" s="16" t="n">
        <v>1.914</v>
      </c>
      <c r="L135" s="16" t="n">
        <v>1.38</v>
      </c>
      <c r="M135" s="9">
        <f>($C135-$B135)*100</f>
        <v/>
      </c>
      <c r="N135" s="9">
        <f>($D135-$C135)*100</f>
        <v/>
      </c>
      <c r="O135" s="9">
        <f>($F135-$E135)*100</f>
        <v/>
      </c>
      <c r="P135" s="9">
        <f>($J135-$I135)*100</f>
        <v/>
      </c>
    </row>
    <row r="136">
      <c r="A136" s="17" t="n">
        <v>43273</v>
      </c>
      <c r="B136" s="16" t="n">
        <v>-0.136</v>
      </c>
      <c r="C136" s="16" t="n">
        <v>0.039</v>
      </c>
      <c r="D136" s="16" t="n">
        <v>0.716</v>
      </c>
      <c r="E136" s="16" t="n">
        <v>2.56</v>
      </c>
      <c r="F136" s="16" t="n">
        <v>2.9</v>
      </c>
      <c r="G136" s="16" t="n">
        <v>2.656</v>
      </c>
      <c r="H136" s="16" t="n">
        <v>0.3271</v>
      </c>
      <c r="I136" s="16" t="n">
        <v>-0.6928</v>
      </c>
      <c r="J136" s="16" t="n">
        <v>0.4182</v>
      </c>
      <c r="K136" s="16" t="n">
        <v>2.007</v>
      </c>
      <c r="L136" s="16" t="n">
        <v>1.75</v>
      </c>
      <c r="M136" s="9">
        <f>($C136-$B136)*100</f>
        <v/>
      </c>
      <c r="N136" s="9">
        <f>($D136-$C136)*100</f>
        <v/>
      </c>
      <c r="O136" s="9">
        <f>($F136-$E136)*100</f>
        <v/>
      </c>
      <c r="P136" s="9">
        <f>($J136-$I136)*100</f>
        <v/>
      </c>
    </row>
    <row r="137">
      <c r="A137" s="17" t="n">
        <v>43280</v>
      </c>
      <c r="B137" s="16" t="n">
        <v>-0.129</v>
      </c>
      <c r="C137" s="16" t="n">
        <v>0.04</v>
      </c>
      <c r="D137" s="16" t="n">
        <v>0.718</v>
      </c>
      <c r="E137" s="16" t="n">
        <v>2.52</v>
      </c>
      <c r="F137" s="16" t="n">
        <v>2.85</v>
      </c>
      <c r="G137" s="16" t="n">
        <v>2.656</v>
      </c>
      <c r="H137" s="16" t="n">
        <v>0.3271</v>
      </c>
      <c r="I137" s="16" t="n">
        <v>-0.6820000000000001</v>
      </c>
      <c r="J137" s="16" t="n">
        <v>0.3791</v>
      </c>
      <c r="K137" s="16" t="n">
        <v>1.851</v>
      </c>
      <c r="L137" s="16" t="n">
        <v>1.51</v>
      </c>
      <c r="M137" s="9">
        <f>($C137-$B137)*100</f>
        <v/>
      </c>
      <c r="N137" s="9">
        <f>($D137-$C137)*100</f>
        <v/>
      </c>
      <c r="O137" s="9">
        <f>($F137-$E137)*100</f>
        <v/>
      </c>
      <c r="P137" s="9">
        <f>($J137-$I137)*100</f>
        <v/>
      </c>
    </row>
    <row r="138">
      <c r="A138" s="17" t="n">
        <v>43287</v>
      </c>
      <c r="B138" s="16" t="n">
        <v>-0.132</v>
      </c>
      <c r="C138" s="16" t="n">
        <v>0.027</v>
      </c>
      <c r="D138" s="16" t="n">
        <v>0.681</v>
      </c>
      <c r="E138" s="16" t="n">
        <v>2.53</v>
      </c>
      <c r="F138" s="16" t="n">
        <v>2.82</v>
      </c>
      <c r="G138" s="16" t="n">
        <v>2.549</v>
      </c>
      <c r="H138" s="16" t="n">
        <v>0.2745</v>
      </c>
      <c r="I138" s="16" t="n">
        <v>-0.673</v>
      </c>
      <c r="J138" s="16" t="n">
        <v>0.3621</v>
      </c>
      <c r="K138" s="16" t="n">
        <v>1.714</v>
      </c>
      <c r="L138" s="16" t="n">
        <v>1.32</v>
      </c>
      <c r="M138" s="9">
        <f>($C138-$B138)*100</f>
        <v/>
      </c>
      <c r="N138" s="9">
        <f>($D138-$C138)*100</f>
        <v/>
      </c>
      <c r="O138" s="9">
        <f>($F138-$E138)*100</f>
        <v/>
      </c>
      <c r="P138" s="9">
        <f>($J138-$I138)*100</f>
        <v/>
      </c>
    </row>
    <row r="139">
      <c r="A139" s="17" t="n">
        <v>43294</v>
      </c>
      <c r="B139" s="16" t="n">
        <v>-0.133</v>
      </c>
      <c r="C139" s="16" t="n">
        <v>0.038</v>
      </c>
      <c r="D139" s="16" t="n">
        <v>0.6830000000000001</v>
      </c>
      <c r="E139" s="16" t="n">
        <v>2.59</v>
      </c>
      <c r="F139" s="16" t="n">
        <v>2.83</v>
      </c>
      <c r="G139" s="16" t="n">
        <v>2.549</v>
      </c>
      <c r="H139" s="16" t="n">
        <v>0.2745</v>
      </c>
      <c r="I139" s="16" t="n">
        <v>-0.6619</v>
      </c>
      <c r="J139" s="16" t="n">
        <v>0.3513</v>
      </c>
      <c r="K139" s="16" t="n">
        <v>1.807</v>
      </c>
      <c r="L139" s="16" t="n">
        <v>1.42</v>
      </c>
      <c r="M139" s="9">
        <f>($C139-$B139)*100</f>
        <v/>
      </c>
      <c r="N139" s="9">
        <f>($D139-$C139)*100</f>
        <v/>
      </c>
      <c r="O139" s="9">
        <f>($F139-$E139)*100</f>
        <v/>
      </c>
      <c r="P139" s="9">
        <f>($J139-$I139)*100</f>
        <v/>
      </c>
    </row>
    <row r="140">
      <c r="A140" s="17" t="n">
        <v>43301</v>
      </c>
      <c r="B140" s="16" t="n">
        <v>-0.127</v>
      </c>
      <c r="C140" s="16" t="n">
        <v>0.034</v>
      </c>
      <c r="D140" s="16" t="n">
        <v>0.6830000000000001</v>
      </c>
      <c r="E140" s="16" t="n">
        <v>2.6</v>
      </c>
      <c r="F140" s="16" t="n">
        <v>2.89</v>
      </c>
      <c r="G140" s="16" t="n">
        <v>2.549</v>
      </c>
      <c r="H140" s="16" t="n">
        <v>0.2745</v>
      </c>
      <c r="I140" s="16" t="n">
        <v>-0.6453</v>
      </c>
      <c r="J140" s="16" t="n">
        <v>0.3738</v>
      </c>
      <c r="K140" s="16" t="n">
        <v>1.796</v>
      </c>
      <c r="L140" s="16" t="n">
        <v>1.32</v>
      </c>
      <c r="M140" s="9">
        <f>($C140-$B140)*100</f>
        <v/>
      </c>
      <c r="N140" s="9">
        <f>($D140-$C140)*100</f>
        <v/>
      </c>
      <c r="O140" s="9">
        <f>($F140-$E140)*100</f>
        <v/>
      </c>
      <c r="P140" s="9">
        <f>($J140-$I140)*100</f>
        <v/>
      </c>
    </row>
    <row r="141">
      <c r="A141" s="17" t="n">
        <v>43308</v>
      </c>
      <c r="B141" s="16" t="n">
        <v>-0.118</v>
      </c>
      <c r="C141" s="16" t="n">
        <v>0.101</v>
      </c>
      <c r="D141" s="16" t="n">
        <v>0.802</v>
      </c>
      <c r="E141" s="16" t="n">
        <v>2.67</v>
      </c>
      <c r="F141" s="16" t="n">
        <v>2.96</v>
      </c>
      <c r="G141" s="16" t="n">
        <v>2.549</v>
      </c>
      <c r="H141" s="16" t="n">
        <v>0.2745</v>
      </c>
      <c r="I141" s="16" t="n">
        <v>-0.6284</v>
      </c>
      <c r="J141" s="16" t="n">
        <v>0.4185</v>
      </c>
      <c r="K141" s="16" t="n">
        <v>1.802</v>
      </c>
      <c r="L141" s="16" t="n">
        <v>1.33</v>
      </c>
      <c r="M141" s="9">
        <f>($C141-$B141)*100</f>
        <v/>
      </c>
      <c r="N141" s="9">
        <f>($D141-$C141)*100</f>
        <v/>
      </c>
      <c r="O141" s="9">
        <f>($F141-$E141)*100</f>
        <v/>
      </c>
      <c r="P141" s="9">
        <f>($J141-$I141)*100</f>
        <v/>
      </c>
    </row>
    <row r="142">
      <c r="A142" s="17" t="n">
        <v>43315</v>
      </c>
      <c r="B142" s="16" t="n">
        <v>-0.11</v>
      </c>
      <c r="C142" s="16" t="n">
        <v>0.11</v>
      </c>
      <c r="D142" s="16" t="n">
        <v>0.833</v>
      </c>
      <c r="E142" s="16" t="n">
        <v>2.63</v>
      </c>
      <c r="F142" s="16" t="n">
        <v>2.95</v>
      </c>
      <c r="G142" s="16" t="n">
        <v>2.458</v>
      </c>
      <c r="H142" s="16" t="n">
        <v>0.2909</v>
      </c>
      <c r="I142" s="16" t="n">
        <v>-0.6142</v>
      </c>
      <c r="J142" s="16" t="n">
        <v>0.4327</v>
      </c>
      <c r="K142" s="16" t="n">
        <v>1.762</v>
      </c>
      <c r="L142" s="16" t="n">
        <v>1.25</v>
      </c>
      <c r="M142" s="9">
        <f>($C142-$B142)*100</f>
        <v/>
      </c>
      <c r="N142" s="9">
        <f>($D142-$C142)*100</f>
        <v/>
      </c>
      <c r="O142" s="9">
        <f>($F142-$E142)*100</f>
        <v/>
      </c>
      <c r="P142" s="9">
        <f>($J142-$I142)*100</f>
        <v/>
      </c>
    </row>
    <row r="143">
      <c r="A143" s="17" t="n">
        <v>43322</v>
      </c>
      <c r="B143" s="16" t="n">
        <v>-0.117</v>
      </c>
      <c r="C143" s="16" t="n">
        <v>0.105</v>
      </c>
      <c r="D143" s="16" t="n">
        <v>0.829</v>
      </c>
      <c r="E143" s="16" t="n">
        <v>2.61</v>
      </c>
      <c r="F143" s="16" t="n">
        <v>2.87</v>
      </c>
      <c r="G143" s="16" t="n">
        <v>2.458</v>
      </c>
      <c r="H143" s="16" t="n">
        <v>0.2909</v>
      </c>
      <c r="I143" s="16" t="n">
        <v>-0.6574</v>
      </c>
      <c r="J143" s="16" t="n">
        <v>0.3509</v>
      </c>
      <c r="K143" s="16" t="n">
        <v>1.727</v>
      </c>
      <c r="L143" s="16" t="n">
        <v>1.18</v>
      </c>
      <c r="M143" s="9">
        <f>($C143-$B143)*100</f>
        <v/>
      </c>
      <c r="N143" s="9">
        <f>($D143-$C143)*100</f>
        <v/>
      </c>
      <c r="O143" s="9">
        <f>($F143-$E143)*100</f>
        <v/>
      </c>
      <c r="P143" s="9">
        <f>($J143-$I143)*100</f>
        <v/>
      </c>
    </row>
    <row r="144">
      <c r="A144" s="17" t="n">
        <v>43329</v>
      </c>
      <c r="B144" s="16" t="n">
        <v>-0.129</v>
      </c>
      <c r="C144" s="16" t="n">
        <v>0.099</v>
      </c>
      <c r="D144" s="16" t="n">
        <v>0.834</v>
      </c>
      <c r="E144" s="16" t="n">
        <v>2.61</v>
      </c>
      <c r="F144" s="16" t="n">
        <v>2.87</v>
      </c>
      <c r="G144" s="16" t="n">
        <v>2.458</v>
      </c>
      <c r="H144" s="16" t="n">
        <v>0.2909</v>
      </c>
      <c r="I144" s="16" t="n">
        <v>-0.6615</v>
      </c>
      <c r="J144" s="16" t="n">
        <v>0.3244</v>
      </c>
      <c r="K144" s="16" t="n">
        <v>1.831</v>
      </c>
      <c r="L144" s="16" t="n">
        <v>1.27</v>
      </c>
      <c r="M144" s="9">
        <f>($C144-$B144)*100</f>
        <v/>
      </c>
      <c r="N144" s="9">
        <f>($D144-$C144)*100</f>
        <v/>
      </c>
      <c r="O144" s="9">
        <f>($F144-$E144)*100</f>
        <v/>
      </c>
      <c r="P144" s="9">
        <f>($J144-$I144)*100</f>
        <v/>
      </c>
    </row>
    <row r="145">
      <c r="A145" s="17" t="n">
        <v>43336</v>
      </c>
      <c r="B145" s="16" t="n">
        <v>-0.116</v>
      </c>
      <c r="C145" s="16" t="n">
        <v>0.106</v>
      </c>
      <c r="D145" s="16" t="n">
        <v>0.826</v>
      </c>
      <c r="E145" s="16" t="n">
        <v>2.63</v>
      </c>
      <c r="F145" s="16" t="n">
        <v>2.82</v>
      </c>
      <c r="G145" s="16" t="n">
        <v>2.458</v>
      </c>
      <c r="H145" s="16" t="n">
        <v>0.2909</v>
      </c>
      <c r="I145" s="16" t="n">
        <v>-0.617</v>
      </c>
      <c r="J145" s="16" t="n">
        <v>0.3867</v>
      </c>
      <c r="K145" s="16" t="n">
        <v>1.864</v>
      </c>
      <c r="L145" s="16" t="n">
        <v>1.32</v>
      </c>
      <c r="M145" s="9">
        <f>($C145-$B145)*100</f>
        <v/>
      </c>
      <c r="N145" s="9">
        <f>($D145-$C145)*100</f>
        <v/>
      </c>
      <c r="O145" s="9">
        <f>($F145-$E145)*100</f>
        <v/>
      </c>
      <c r="P145" s="9">
        <f>($J145-$I145)*100</f>
        <v/>
      </c>
    </row>
    <row r="146">
      <c r="A146" s="17" t="n">
        <v>43343</v>
      </c>
      <c r="B146" s="16" t="n">
        <v>-0.119</v>
      </c>
      <c r="C146" s="16" t="n">
        <v>0.11</v>
      </c>
      <c r="D146" s="16" t="n">
        <v>0.834</v>
      </c>
      <c r="E146" s="16" t="n">
        <v>2.62</v>
      </c>
      <c r="F146" s="16" t="n">
        <v>2.86</v>
      </c>
      <c r="G146" s="16" t="n">
        <v>2.458</v>
      </c>
      <c r="H146" s="16" t="n">
        <v>0.2909</v>
      </c>
      <c r="I146" s="16" t="n">
        <v>-0.627</v>
      </c>
      <c r="J146" s="16" t="n">
        <v>0.3719</v>
      </c>
      <c r="K146" s="16" t="n">
        <v>1.959</v>
      </c>
      <c r="L146" s="16" t="n">
        <v>1.52</v>
      </c>
      <c r="M146" s="9">
        <f>($C146-$B146)*100</f>
        <v/>
      </c>
      <c r="N146" s="9">
        <f>($D146-$C146)*100</f>
        <v/>
      </c>
      <c r="O146" s="9">
        <f>($F146-$E146)*100</f>
        <v/>
      </c>
      <c r="P146" s="9">
        <f>($J146-$I146)*100</f>
        <v/>
      </c>
    </row>
    <row r="147">
      <c r="A147" s="17" t="n">
        <v>43350</v>
      </c>
      <c r="B147" s="16" t="n">
        <v>-0.112</v>
      </c>
      <c r="C147" s="16" t="n">
        <v>0.116</v>
      </c>
      <c r="D147" s="16" t="n">
        <v>0.83</v>
      </c>
      <c r="E147" s="16" t="n">
        <v>2.71</v>
      </c>
      <c r="F147" s="16" t="n">
        <v>2.94</v>
      </c>
      <c r="G147" s="16" t="n">
        <v>2.315</v>
      </c>
      <c r="H147" s="16" t="n">
        <v>0.3705</v>
      </c>
      <c r="I147" s="16" t="n">
        <v>-0.5827</v>
      </c>
      <c r="J147" s="16" t="n">
        <v>0.42</v>
      </c>
      <c r="K147" s="16" t="n">
        <v>1.987</v>
      </c>
      <c r="L147" s="16" t="n">
        <v>1.5</v>
      </c>
      <c r="M147" s="9">
        <f>($C147-$B147)*100</f>
        <v/>
      </c>
      <c r="N147" s="9">
        <f>($D147-$C147)*100</f>
        <v/>
      </c>
      <c r="O147" s="9">
        <f>($F147-$E147)*100</f>
        <v/>
      </c>
      <c r="P147" s="9">
        <f>($J147-$I147)*100</f>
        <v/>
      </c>
    </row>
    <row r="148">
      <c r="A148" s="17" t="n">
        <v>43357</v>
      </c>
      <c r="B148" s="16" t="n">
        <v>-0.113</v>
      </c>
      <c r="C148" s="16" t="n">
        <v>0.117</v>
      </c>
      <c r="D148" s="16" t="n">
        <v>0.826</v>
      </c>
      <c r="E148" s="16" t="n">
        <v>2.78</v>
      </c>
      <c r="F148" s="16" t="n">
        <v>2.99</v>
      </c>
      <c r="G148" s="16" t="n">
        <v>2.315</v>
      </c>
      <c r="H148" s="16" t="n">
        <v>0.3705</v>
      </c>
      <c r="I148" s="16" t="n">
        <v>-0.5606</v>
      </c>
      <c r="J148" s="16" t="n">
        <v>0.4829</v>
      </c>
      <c r="K148" s="16" t="n">
        <v>2.075</v>
      </c>
      <c r="L148" s="16" t="n">
        <v>1.62</v>
      </c>
      <c r="M148" s="9">
        <f>($C148-$B148)*100</f>
        <v/>
      </c>
      <c r="N148" s="9">
        <f>($D148-$C148)*100</f>
        <v/>
      </c>
      <c r="O148" s="9">
        <f>($F148-$E148)*100</f>
        <v/>
      </c>
      <c r="P148" s="9">
        <f>($J148-$I148)*100</f>
        <v/>
      </c>
    </row>
    <row r="149">
      <c r="A149" s="17" t="n">
        <v>43364</v>
      </c>
      <c r="B149" s="16" t="n">
        <v>-0.104</v>
      </c>
      <c r="C149" s="16" t="n">
        <v>0.14</v>
      </c>
      <c r="D149" s="16" t="n">
        <v>0.871</v>
      </c>
      <c r="E149" s="16" t="n">
        <v>2.81</v>
      </c>
      <c r="F149" s="16" t="n">
        <v>3.07</v>
      </c>
      <c r="G149" s="16" t="n">
        <v>2.315</v>
      </c>
      <c r="H149" s="16" t="n">
        <v>0.3705</v>
      </c>
      <c r="I149" s="16" t="n">
        <v>-0.5571</v>
      </c>
      <c r="J149" s="16" t="n">
        <v>0.4932</v>
      </c>
      <c r="K149" s="16" t="n">
        <v>2.116</v>
      </c>
      <c r="L149" s="16" t="n">
        <v>1.67</v>
      </c>
      <c r="M149" s="9">
        <f>($C149-$B149)*100</f>
        <v/>
      </c>
      <c r="N149" s="9">
        <f>($D149-$C149)*100</f>
        <v/>
      </c>
      <c r="O149" s="9">
        <f>($F149-$E149)*100</f>
        <v/>
      </c>
      <c r="P149" s="9">
        <f>($J149-$I149)*100</f>
        <v/>
      </c>
    </row>
    <row r="150">
      <c r="A150" s="17" t="n">
        <v>43371</v>
      </c>
      <c r="B150" s="16" t="n">
        <v>-0.114</v>
      </c>
      <c r="C150" s="16" t="n">
        <v>0.134</v>
      </c>
      <c r="D150" s="16" t="n">
        <v>0.89</v>
      </c>
      <c r="E150" s="16" t="n">
        <v>2.81</v>
      </c>
      <c r="F150" s="16" t="n">
        <v>3.05</v>
      </c>
      <c r="G150" s="16" t="n">
        <v>2.315</v>
      </c>
      <c r="H150" s="16" t="n">
        <v>0.3705</v>
      </c>
      <c r="I150" s="16" t="n">
        <v>-0.5451</v>
      </c>
      <c r="J150" s="16" t="n">
        <v>0.5091</v>
      </c>
      <c r="K150" s="16" t="n">
        <v>2.152</v>
      </c>
      <c r="L150" s="16" t="n">
        <v>1.97</v>
      </c>
      <c r="M150" s="9">
        <f>($C150-$B150)*100</f>
        <v/>
      </c>
      <c r="N150" s="9">
        <f>($D150-$C150)*100</f>
        <v/>
      </c>
      <c r="O150" s="9">
        <f>($F150-$E150)*100</f>
        <v/>
      </c>
      <c r="P150" s="9">
        <f>($J150-$I150)*100</f>
        <v/>
      </c>
    </row>
    <row r="151">
      <c r="A151" s="17" t="n">
        <v>43378</v>
      </c>
      <c r="B151" s="16" t="n">
        <v>-0.121</v>
      </c>
      <c r="C151" s="16" t="n">
        <v>0.148</v>
      </c>
      <c r="D151" s="16" t="n">
        <v>0.922</v>
      </c>
      <c r="E151" s="16" t="n">
        <v>2.88</v>
      </c>
      <c r="F151" s="16" t="n">
        <v>3.23</v>
      </c>
      <c r="G151" s="16" t="n">
        <v>2.338</v>
      </c>
      <c r="H151" s="16" t="n">
        <v>0.3991</v>
      </c>
      <c r="I151" s="16" t="n">
        <v>-0.53</v>
      </c>
      <c r="J151" s="16" t="n">
        <v>0.5958</v>
      </c>
      <c r="K151" s="16" t="n">
        <v>2.172</v>
      </c>
      <c r="L151" s="16" t="n">
        <v>1.79</v>
      </c>
      <c r="M151" s="9">
        <f>($C151-$B151)*100</f>
        <v/>
      </c>
      <c r="N151" s="9">
        <f>($D151-$C151)*100</f>
        <v/>
      </c>
      <c r="O151" s="9">
        <f>($F151-$E151)*100</f>
        <v/>
      </c>
      <c r="P151" s="9">
        <f>($J151-$I151)*100</f>
        <v/>
      </c>
    </row>
    <row r="152">
      <c r="A152" s="17" t="n">
        <v>43385</v>
      </c>
      <c r="B152" s="16" t="n">
        <v>-0.117</v>
      </c>
      <c r="C152" s="16" t="n">
        <v>0.149</v>
      </c>
      <c r="D152" s="16" t="n">
        <v>0.906</v>
      </c>
      <c r="E152" s="16" t="n">
        <v>2.85</v>
      </c>
      <c r="F152" s="16" t="n">
        <v>3.15</v>
      </c>
      <c r="G152" s="16" t="n">
        <v>2.338</v>
      </c>
      <c r="H152" s="16" t="n">
        <v>0.3991</v>
      </c>
      <c r="I152" s="16" t="n">
        <v>-0.5688</v>
      </c>
      <c r="J152" s="16" t="n">
        <v>0.5568</v>
      </c>
      <c r="K152" s="16" t="n">
        <v>2.148</v>
      </c>
      <c r="L152" s="16" t="n">
        <v>1.7</v>
      </c>
      <c r="M152" s="9">
        <f>($C152-$B152)*100</f>
        <v/>
      </c>
      <c r="N152" s="9">
        <f>($D152-$C152)*100</f>
        <v/>
      </c>
      <c r="O152" s="9">
        <f>($F152-$E152)*100</f>
        <v/>
      </c>
      <c r="P152" s="9">
        <f>($J152-$I152)*100</f>
        <v/>
      </c>
    </row>
    <row r="153">
      <c r="A153" s="17" t="n">
        <v>43392</v>
      </c>
      <c r="B153" s="16" t="n">
        <v>-0.119</v>
      </c>
      <c r="C153" s="16" t="n">
        <v>0.15</v>
      </c>
      <c r="D153" s="16" t="n">
        <v>0.91</v>
      </c>
      <c r="E153" s="16" t="n">
        <v>2.92</v>
      </c>
      <c r="F153" s="16" t="n">
        <v>3.2</v>
      </c>
      <c r="G153" s="16" t="n">
        <v>2.338</v>
      </c>
      <c r="H153" s="16" t="n">
        <v>0.3991</v>
      </c>
      <c r="I153" s="16" t="n">
        <v>-0.6248</v>
      </c>
      <c r="J153" s="16" t="n">
        <v>0.4848</v>
      </c>
      <c r="K153" s="16" t="n">
        <v>2.118</v>
      </c>
      <c r="L153" s="16" t="n">
        <v>1.56</v>
      </c>
      <c r="M153" s="9">
        <f>($C153-$B153)*100</f>
        <v/>
      </c>
      <c r="N153" s="9">
        <f>($D153-$C153)*100</f>
        <v/>
      </c>
      <c r="O153" s="9">
        <f>($F153-$E153)*100</f>
        <v/>
      </c>
      <c r="P153" s="9">
        <f>($J153-$I153)*100</f>
        <v/>
      </c>
    </row>
    <row r="154">
      <c r="A154" s="17" t="n">
        <v>43399</v>
      </c>
      <c r="B154" s="16" t="n">
        <v>-0.124</v>
      </c>
      <c r="C154" s="16" t="n">
        <v>0.115</v>
      </c>
      <c r="D154" s="16" t="n">
        <v>0.866</v>
      </c>
      <c r="E154" s="16" t="n">
        <v>2.81</v>
      </c>
      <c r="F154" s="16" t="n">
        <v>3.08</v>
      </c>
      <c r="G154" s="16" t="n">
        <v>2.338</v>
      </c>
      <c r="H154" s="16" t="n">
        <v>0.3991</v>
      </c>
      <c r="I154" s="16" t="n">
        <v>-0.6482</v>
      </c>
      <c r="J154" s="16" t="n">
        <v>0.4113</v>
      </c>
      <c r="K154" s="16" t="n">
        <v>2.087</v>
      </c>
      <c r="L154" s="16" t="n">
        <v>1.59</v>
      </c>
      <c r="M154" s="9">
        <f>($C154-$B154)*100</f>
        <v/>
      </c>
      <c r="N154" s="9">
        <f>($D154-$C154)*100</f>
        <v/>
      </c>
      <c r="O154" s="9">
        <f>($F154-$E154)*100</f>
        <v/>
      </c>
      <c r="P154" s="9">
        <f>($J154-$I154)*100</f>
        <v/>
      </c>
    </row>
    <row r="155">
      <c r="A155" s="17" t="n">
        <v>43406</v>
      </c>
      <c r="B155" s="16" t="n">
        <v>-0.13</v>
      </c>
      <c r="C155" s="16" t="n">
        <v>0.132</v>
      </c>
      <c r="D155" s="16" t="n">
        <v>0.879</v>
      </c>
      <c r="E155" s="16" t="n">
        <v>2.91</v>
      </c>
      <c r="F155" s="16" t="n">
        <v>3.22</v>
      </c>
      <c r="G155" s="16" t="n">
        <v>2.209</v>
      </c>
      <c r="H155" s="16" t="n">
        <v>0.3141</v>
      </c>
      <c r="I155" s="16" t="n">
        <v>-0.6242</v>
      </c>
      <c r="J155" s="16" t="n">
        <v>0.4847</v>
      </c>
      <c r="K155" s="16" t="n">
        <v>2.061</v>
      </c>
      <c r="L155" s="16" t="n">
        <v>1.5</v>
      </c>
      <c r="M155" s="9">
        <f>($C155-$B155)*100</f>
        <v/>
      </c>
      <c r="N155" s="9">
        <f>($D155-$C155)*100</f>
        <v/>
      </c>
      <c r="O155" s="9">
        <f>($F155-$E155)*100</f>
        <v/>
      </c>
      <c r="P155" s="9">
        <f>($J155-$I155)*100</f>
        <v/>
      </c>
    </row>
    <row r="156">
      <c r="A156" s="17" t="n">
        <v>43413</v>
      </c>
      <c r="B156" s="16" t="n">
        <v>-0.137</v>
      </c>
      <c r="C156" s="16" t="n">
        <v>0.129</v>
      </c>
      <c r="D156" s="16" t="n">
        <v>0.889</v>
      </c>
      <c r="E156" s="16" t="n">
        <v>2.94</v>
      </c>
      <c r="F156" s="16" t="n">
        <v>3.19</v>
      </c>
      <c r="G156" s="16" t="n">
        <v>2.209</v>
      </c>
      <c r="H156" s="16" t="n">
        <v>0.3141</v>
      </c>
      <c r="I156" s="16" t="n">
        <v>-0.6106</v>
      </c>
      <c r="J156" s="16" t="n">
        <v>0.4735</v>
      </c>
      <c r="K156" s="16" t="n">
        <v>2.07</v>
      </c>
      <c r="L156" s="16" t="n">
        <v>1.43</v>
      </c>
      <c r="M156" s="9">
        <f>($C156-$B156)*100</f>
        <v/>
      </c>
      <c r="N156" s="9">
        <f>($D156-$C156)*100</f>
        <v/>
      </c>
      <c r="O156" s="9">
        <f>($F156-$E156)*100</f>
        <v/>
      </c>
      <c r="P156" s="9">
        <f>($J156-$I156)*100</f>
        <v/>
      </c>
    </row>
    <row r="157">
      <c r="A157" s="17" t="n">
        <v>43420</v>
      </c>
      <c r="B157" s="16" t="n">
        <v>-0.144</v>
      </c>
      <c r="C157" s="16" t="n">
        <v>0.11</v>
      </c>
      <c r="D157" s="16" t="n">
        <v>0.862</v>
      </c>
      <c r="E157" s="16" t="n">
        <v>2.81</v>
      </c>
      <c r="F157" s="16" t="n">
        <v>3.08</v>
      </c>
      <c r="G157" s="16" t="n">
        <v>2.209</v>
      </c>
      <c r="H157" s="16" t="n">
        <v>0.3141</v>
      </c>
      <c r="I157" s="16" t="n">
        <v>-0.6331</v>
      </c>
      <c r="J157" s="16" t="n">
        <v>0.4312</v>
      </c>
      <c r="K157" s="16" t="n">
        <v>1.985</v>
      </c>
      <c r="L157" s="16" t="n">
        <v>1.48</v>
      </c>
      <c r="M157" s="9">
        <f>($C157-$B157)*100</f>
        <v/>
      </c>
      <c r="N157" s="9">
        <f>($D157-$C157)*100</f>
        <v/>
      </c>
      <c r="O157" s="9">
        <f>($F157-$E157)*100</f>
        <v/>
      </c>
      <c r="P157" s="9">
        <f>($J157-$I157)*100</f>
        <v/>
      </c>
    </row>
    <row r="158">
      <c r="A158" s="17" t="n">
        <v>43427</v>
      </c>
      <c r="B158" s="16" t="n">
        <v>-0.142</v>
      </c>
      <c r="C158" s="16" t="n">
        <v>0.102</v>
      </c>
      <c r="D158" s="16" t="n">
        <v>0.83</v>
      </c>
      <c r="E158" s="16" t="n">
        <v>2.81</v>
      </c>
      <c r="F158" s="16" t="n">
        <v>3.05</v>
      </c>
      <c r="G158" s="16" t="n">
        <v>2.209</v>
      </c>
      <c r="H158" s="16" t="n">
        <v>0.3141</v>
      </c>
      <c r="I158" s="16" t="n">
        <v>-0.6248</v>
      </c>
      <c r="J158" s="16" t="n">
        <v>0.4034</v>
      </c>
      <c r="K158" s="16" t="n">
        <v>2.026</v>
      </c>
      <c r="L158" s="16" t="n">
        <v>1.58</v>
      </c>
      <c r="M158" s="9">
        <f>($C158-$B158)*100</f>
        <v/>
      </c>
      <c r="N158" s="9">
        <f>($D158-$C158)*100</f>
        <v/>
      </c>
      <c r="O158" s="9">
        <f>($F158-$E158)*100</f>
        <v/>
      </c>
      <c r="P158" s="9">
        <f>($J158-$I158)*100</f>
        <v/>
      </c>
    </row>
    <row r="159">
      <c r="A159" s="17" t="n">
        <v>43434</v>
      </c>
      <c r="B159" s="16" t="n">
        <v>-0.135</v>
      </c>
      <c r="C159" s="16" t="n">
        <v>0.097</v>
      </c>
      <c r="D159" s="16" t="n">
        <v>0.821</v>
      </c>
      <c r="E159" s="16" t="n">
        <v>2.8</v>
      </c>
      <c r="F159" s="16" t="n">
        <v>3.01</v>
      </c>
      <c r="G159" s="16" t="n">
        <v>2.209</v>
      </c>
      <c r="H159" s="16" t="n">
        <v>0.3141</v>
      </c>
      <c r="I159" s="16" t="n">
        <v>-0.6362</v>
      </c>
      <c r="J159" s="16" t="n">
        <v>0.369</v>
      </c>
      <c r="K159" s="16" t="n">
        <v>2.108</v>
      </c>
      <c r="L159" s="16" t="n">
        <v>1.65</v>
      </c>
      <c r="M159" s="9">
        <f>($C159-$B159)*100</f>
        <v/>
      </c>
      <c r="N159" s="9">
        <f>($D159-$C159)*100</f>
        <v/>
      </c>
      <c r="O159" s="9">
        <f>($F159-$E159)*100</f>
        <v/>
      </c>
      <c r="P159" s="9">
        <f>($J159-$I159)*100</f>
        <v/>
      </c>
    </row>
    <row r="160">
      <c r="A160" s="17" t="n">
        <v>43441</v>
      </c>
      <c r="B160" s="16" t="n">
        <v>-0.141</v>
      </c>
      <c r="C160" s="16" t="n">
        <v>0.068</v>
      </c>
      <c r="D160" s="16" t="n">
        <v>0.8169999999999999</v>
      </c>
      <c r="E160" s="16" t="n">
        <v>2.72</v>
      </c>
      <c r="F160" s="16" t="n">
        <v>2.85</v>
      </c>
      <c r="G160" s="16" t="n">
        <v>1.992</v>
      </c>
      <c r="H160" s="16" t="n">
        <v>0.1871</v>
      </c>
      <c r="I160" s="16" t="n">
        <v>-0.6349</v>
      </c>
      <c r="J160" s="16" t="n">
        <v>0.3292</v>
      </c>
      <c r="K160" s="16" t="n">
        <v>1.997</v>
      </c>
      <c r="L160" s="16" t="n">
        <v>1.58</v>
      </c>
      <c r="M160" s="9">
        <f>($C160-$B160)*100</f>
        <v/>
      </c>
      <c r="N160" s="9">
        <f>($D160-$C160)*100</f>
        <v/>
      </c>
      <c r="O160" s="9">
        <f>($F160-$E160)*100</f>
        <v/>
      </c>
      <c r="P160" s="9">
        <f>($J160-$I160)*100</f>
        <v/>
      </c>
    </row>
    <row r="161">
      <c r="A161" s="17" t="n">
        <v>43448</v>
      </c>
      <c r="B161" s="16" t="n">
        <v>-0.153</v>
      </c>
      <c r="C161" s="16" t="n">
        <v>0.043</v>
      </c>
      <c r="D161" s="16" t="n">
        <v>0.794</v>
      </c>
      <c r="E161" s="16" t="n">
        <v>2.73</v>
      </c>
      <c r="F161" s="16" t="n">
        <v>2.89</v>
      </c>
      <c r="G161" s="16" t="n">
        <v>1.992</v>
      </c>
      <c r="H161" s="16" t="n">
        <v>0.1871</v>
      </c>
      <c r="I161" s="16" t="n">
        <v>-0.6442</v>
      </c>
      <c r="J161" s="16" t="n">
        <v>0.3196</v>
      </c>
      <c r="K161" s="16" t="n">
        <v>2.044</v>
      </c>
      <c r="L161" s="16" t="n">
        <v>1.7</v>
      </c>
      <c r="M161" s="9">
        <f>($C161-$B161)*100</f>
        <v/>
      </c>
      <c r="N161" s="9">
        <f>($D161-$C161)*100</f>
        <v/>
      </c>
      <c r="O161" s="9">
        <f>($F161-$E161)*100</f>
        <v/>
      </c>
      <c r="P161" s="9">
        <f>($J161-$I161)*100</f>
        <v/>
      </c>
    </row>
    <row r="162">
      <c r="A162" s="17" t="n">
        <v>43455</v>
      </c>
      <c r="B162" s="16" t="n">
        <v>-0.143</v>
      </c>
      <c r="C162" s="16" t="n">
        <v>0.053</v>
      </c>
      <c r="D162" s="16" t="n">
        <v>0.757</v>
      </c>
      <c r="E162" s="16" t="n">
        <v>2.63</v>
      </c>
      <c r="F162" s="16" t="n">
        <v>2.79</v>
      </c>
      <c r="G162" s="16" t="n">
        <v>1.992</v>
      </c>
      <c r="H162" s="16" t="n">
        <v>0.1871</v>
      </c>
      <c r="I162" s="16" t="n">
        <v>-0.6503</v>
      </c>
      <c r="J162" s="16" t="n">
        <v>0.302</v>
      </c>
      <c r="K162" s="16" t="n">
        <v>1.856</v>
      </c>
      <c r="L162" s="16" t="n">
        <v>1.7</v>
      </c>
      <c r="M162" s="9">
        <f>($C162-$B162)*100</f>
        <v/>
      </c>
      <c r="N162" s="9">
        <f>($D162-$C162)*100</f>
        <v/>
      </c>
      <c r="O162" s="9">
        <f>($F162-$E162)*100</f>
        <v/>
      </c>
      <c r="P162" s="9">
        <f>($J162-$I162)*100</f>
        <v/>
      </c>
    </row>
    <row r="163">
      <c r="A163" s="17" t="n">
        <v>43462</v>
      </c>
      <c r="B163" s="16" t="n">
        <v>-0.139</v>
      </c>
      <c r="C163" s="16" t="n">
        <v>0.013</v>
      </c>
      <c r="D163" s="16" t="n">
        <v>0.724</v>
      </c>
      <c r="E163" s="16" t="n">
        <v>2.52</v>
      </c>
      <c r="F163" s="16" t="n">
        <v>2.72</v>
      </c>
      <c r="G163" s="16" t="n">
        <v>1.992</v>
      </c>
      <c r="H163" s="16" t="n">
        <v>0.1871</v>
      </c>
      <c r="I163" s="16" t="n">
        <v>-0.6582</v>
      </c>
      <c r="J163" s="16" t="n">
        <v>0.3162</v>
      </c>
      <c r="K163" s="16" t="n">
        <v>1.772</v>
      </c>
      <c r="L163" s="16" t="n">
        <v>1.85</v>
      </c>
      <c r="M163" s="9">
        <f>($C163-$B163)*100</f>
        <v/>
      </c>
      <c r="N163" s="9">
        <f>($D163-$C163)*100</f>
        <v/>
      </c>
      <c r="O163" s="9">
        <f>($F163-$E163)*100</f>
        <v/>
      </c>
      <c r="P163" s="9">
        <f>($J163-$I163)*100</f>
        <v/>
      </c>
    </row>
    <row r="164">
      <c r="A164" s="17" t="n">
        <v>43469</v>
      </c>
      <c r="B164" s="16" t="n">
        <v>-0.176</v>
      </c>
      <c r="C164" s="16" t="n">
        <v>-0.023</v>
      </c>
      <c r="D164" s="16" t="n">
        <v>0.677</v>
      </c>
      <c r="E164" s="16" t="n">
        <v>2.5</v>
      </c>
      <c r="F164" s="16" t="n">
        <v>2.67</v>
      </c>
      <c r="G164" s="16" t="n">
        <v>1.991</v>
      </c>
      <c r="H164" s="16" t="n">
        <v>0.1327</v>
      </c>
      <c r="I164" s="16" t="n">
        <v>-0.635</v>
      </c>
      <c r="J164" s="16" t="n">
        <v>0.2747</v>
      </c>
      <c r="K164" s="16" t="n">
        <v>1.579</v>
      </c>
      <c r="L164" s="16" t="n">
        <v>1.66</v>
      </c>
      <c r="M164" s="9">
        <f>($C164-$B164)*100</f>
        <v/>
      </c>
      <c r="N164" s="9">
        <f>($D164-$C164)*100</f>
        <v/>
      </c>
      <c r="O164" s="9">
        <f>($F164-$E164)*100</f>
        <v/>
      </c>
      <c r="P164" s="9">
        <f>($J164-$I164)*100</f>
        <v/>
      </c>
    </row>
    <row r="165">
      <c r="A165" s="17" t="n">
        <v>43476</v>
      </c>
      <c r="B165" s="16" t="n">
        <v>-0.153</v>
      </c>
      <c r="C165" s="16" t="n">
        <v>0.014</v>
      </c>
      <c r="D165" s="16" t="n">
        <v>0.696</v>
      </c>
      <c r="E165" s="16" t="n">
        <v>2.55</v>
      </c>
      <c r="F165" s="16" t="n">
        <v>2.71</v>
      </c>
      <c r="G165" s="16" t="n">
        <v>1.991</v>
      </c>
      <c r="H165" s="16" t="n">
        <v>0.1327</v>
      </c>
      <c r="I165" s="16" t="n">
        <v>-0.6194</v>
      </c>
      <c r="J165" s="16" t="n">
        <v>0.2487</v>
      </c>
      <c r="K165" s="16" t="n">
        <v>1.667</v>
      </c>
      <c r="L165" s="16" t="n">
        <v>1.33</v>
      </c>
      <c r="M165" s="9">
        <f>($C165-$B165)*100</f>
        <v/>
      </c>
      <c r="N165" s="9">
        <f>($D165-$C165)*100</f>
        <v/>
      </c>
      <c r="O165" s="9">
        <f>($F165-$E165)*100</f>
        <v/>
      </c>
      <c r="P165" s="9">
        <f>($J165-$I165)*100</f>
        <v/>
      </c>
    </row>
    <row r="166">
      <c r="A166" s="17" t="n">
        <v>43483</v>
      </c>
      <c r="B166" s="16" t="n">
        <v>-0.17</v>
      </c>
      <c r="C166" s="16" t="n">
        <v>0.01</v>
      </c>
      <c r="D166" s="16" t="n">
        <v>0.6919999999999999</v>
      </c>
      <c r="E166" s="16" t="n">
        <v>2.62</v>
      </c>
      <c r="F166" s="16" t="n">
        <v>2.79</v>
      </c>
      <c r="G166" s="16" t="n">
        <v>1.991</v>
      </c>
      <c r="H166" s="16" t="n">
        <v>0.1327</v>
      </c>
      <c r="I166" s="16" t="n">
        <v>-0.6136</v>
      </c>
      <c r="J166" s="16" t="n">
        <v>0.2811</v>
      </c>
      <c r="K166" s="16" t="n">
        <v>1.724</v>
      </c>
      <c r="L166" s="16" t="n">
        <v>1.2</v>
      </c>
      <c r="M166" s="9">
        <f>($C166-$B166)*100</f>
        <v/>
      </c>
      <c r="N166" s="9">
        <f>($D166-$C166)*100</f>
        <v/>
      </c>
      <c r="O166" s="9">
        <f>($F166-$E166)*100</f>
        <v/>
      </c>
      <c r="P166" s="9">
        <f>($J166-$I166)*100</f>
        <v/>
      </c>
    </row>
    <row r="167">
      <c r="A167" s="17" t="n">
        <v>43490</v>
      </c>
      <c r="B167" s="16" t="n">
        <v>-0.168</v>
      </c>
      <c r="C167" s="16" t="n">
        <v>-0.001</v>
      </c>
      <c r="D167" s="16" t="n">
        <v>0.66</v>
      </c>
      <c r="E167" s="16" t="n">
        <v>2.6</v>
      </c>
      <c r="F167" s="16" t="n">
        <v>2.76</v>
      </c>
      <c r="G167" s="16" t="n">
        <v>1.991</v>
      </c>
      <c r="H167" s="16" t="n">
        <v>0.1327</v>
      </c>
      <c r="I167" s="16" t="n">
        <v>-0.6011</v>
      </c>
      <c r="J167" s="16" t="n">
        <v>0.2245</v>
      </c>
      <c r="K167" s="16" t="n">
        <v>1.658</v>
      </c>
      <c r="L167" s="16" t="n">
        <v>1.2</v>
      </c>
      <c r="M167" s="9">
        <f>($C167-$B167)*100</f>
        <v/>
      </c>
      <c r="N167" s="9">
        <f>($D167-$C167)*100</f>
        <v/>
      </c>
      <c r="O167" s="9">
        <f>($F167-$E167)*100</f>
        <v/>
      </c>
      <c r="P167" s="9">
        <f>($J167-$I167)*100</f>
        <v/>
      </c>
    </row>
    <row r="168">
      <c r="A168" s="17" t="n">
        <v>43497</v>
      </c>
      <c r="B168" s="16" t="n">
        <v>-0.179</v>
      </c>
      <c r="C168" s="16" t="n">
        <v>-0.019</v>
      </c>
      <c r="D168" s="16" t="n">
        <v>0.604</v>
      </c>
      <c r="E168" s="16" t="n">
        <v>2.52</v>
      </c>
      <c r="F168" s="16" t="n">
        <v>2.7</v>
      </c>
      <c r="G168" s="16" t="n">
        <v>1.988</v>
      </c>
      <c r="H168" s="16" t="n">
        <v>0.0555</v>
      </c>
      <c r="I168" s="16" t="n">
        <v>-0.5921999999999999</v>
      </c>
      <c r="J168" s="16" t="n">
        <v>0.1876</v>
      </c>
      <c r="K168" s="16" t="n">
        <v>1.49</v>
      </c>
      <c r="L168" s="16" t="n">
        <v>1.06</v>
      </c>
      <c r="M168" s="9">
        <f>($C168-$B168)*100</f>
        <v/>
      </c>
      <c r="N168" s="9">
        <f>($D168-$C168)*100</f>
        <v/>
      </c>
      <c r="O168" s="9">
        <f>($F168-$E168)*100</f>
        <v/>
      </c>
      <c r="P168" s="9">
        <f>($J168-$I168)*100</f>
        <v/>
      </c>
    </row>
    <row r="169">
      <c r="A169" s="17" t="n">
        <v>43504</v>
      </c>
      <c r="B169" s="16" t="n">
        <v>-0.166</v>
      </c>
      <c r="C169" s="16" t="n">
        <v>-0.024</v>
      </c>
      <c r="D169" s="16" t="n">
        <v>0.589</v>
      </c>
      <c r="E169" s="16" t="n">
        <v>2.45</v>
      </c>
      <c r="F169" s="16" t="n">
        <v>2.63</v>
      </c>
      <c r="G169" s="16" t="n">
        <v>1.988</v>
      </c>
      <c r="H169" s="16" t="n">
        <v>0.0555</v>
      </c>
      <c r="I169" s="16" t="n">
        <v>-0.5855</v>
      </c>
      <c r="J169" s="16" t="n">
        <v>0.1209</v>
      </c>
      <c r="K169" s="16" t="n">
        <v>1.449</v>
      </c>
      <c r="L169" s="16" t="n">
        <v>1.11</v>
      </c>
      <c r="M169" s="9">
        <f>($C169-$B169)*100</f>
        <v/>
      </c>
      <c r="N169" s="9">
        <f>($D169-$C169)*100</f>
        <v/>
      </c>
      <c r="O169" s="9">
        <f>($F169-$E169)*100</f>
        <v/>
      </c>
      <c r="P169" s="9">
        <f>($J169-$I169)*100</f>
        <v/>
      </c>
    </row>
    <row r="170">
      <c r="A170" s="17" t="n">
        <v>43511</v>
      </c>
      <c r="B170" s="16" t="n">
        <v>-0.169</v>
      </c>
      <c r="C170" s="16" t="n">
        <v>-0.016</v>
      </c>
      <c r="D170" s="16" t="n">
        <v>0.6</v>
      </c>
      <c r="E170" s="16" t="n">
        <v>2.52</v>
      </c>
      <c r="F170" s="16" t="n">
        <v>2.66</v>
      </c>
      <c r="G170" s="16" t="n">
        <v>1.988</v>
      </c>
      <c r="H170" s="16" t="n">
        <v>0.0555</v>
      </c>
      <c r="I170" s="16" t="n">
        <v>-0.5658</v>
      </c>
      <c r="J170" s="16" t="n">
        <v>0.1493</v>
      </c>
      <c r="K170" s="16" t="n">
        <v>1.465</v>
      </c>
      <c r="L170" s="16" t="n">
        <v>1.1</v>
      </c>
      <c r="M170" s="9">
        <f>($C170-$B170)*100</f>
        <v/>
      </c>
      <c r="N170" s="9">
        <f>($D170-$C170)*100</f>
        <v/>
      </c>
      <c r="O170" s="9">
        <f>($F170-$E170)*100</f>
        <v/>
      </c>
      <c r="P170" s="9">
        <f>($J170-$I170)*100</f>
        <v/>
      </c>
    </row>
    <row r="171">
      <c r="A171" s="17" t="n">
        <v>43518</v>
      </c>
      <c r="B171" s="16" t="n">
        <v>-0.178</v>
      </c>
      <c r="C171" s="16" t="n">
        <v>-0.037</v>
      </c>
      <c r="D171" s="16" t="n">
        <v>0.586</v>
      </c>
      <c r="E171" s="16" t="n">
        <v>2.48</v>
      </c>
      <c r="F171" s="16" t="n">
        <v>2.65</v>
      </c>
      <c r="G171" s="16" t="n">
        <v>1.988</v>
      </c>
      <c r="H171" s="16" t="n">
        <v>0.0555</v>
      </c>
      <c r="I171" s="16" t="n">
        <v>-0.5727</v>
      </c>
      <c r="J171" s="16" t="n">
        <v>0.1479</v>
      </c>
      <c r="K171" s="16" t="n">
        <v>1.445</v>
      </c>
      <c r="L171" s="16" t="n">
        <v>1.13</v>
      </c>
      <c r="M171" s="9">
        <f>($C171-$B171)*100</f>
        <v/>
      </c>
      <c r="N171" s="9">
        <f>($D171-$C171)*100</f>
        <v/>
      </c>
      <c r="O171" s="9">
        <f>($F171-$E171)*100</f>
        <v/>
      </c>
      <c r="P171" s="9">
        <f>($J171-$I171)*100</f>
        <v/>
      </c>
    </row>
    <row r="172">
      <c r="A172" s="17" t="n">
        <v>43525</v>
      </c>
      <c r="B172" s="16" t="n">
        <v>-0.15</v>
      </c>
      <c r="C172" s="16" t="n">
        <v>-0.004</v>
      </c>
      <c r="D172" s="16" t="n">
        <v>0.628</v>
      </c>
      <c r="E172" s="16" t="n">
        <v>2.55</v>
      </c>
      <c r="F172" s="16" t="n">
        <v>2.76</v>
      </c>
      <c r="G172" s="16" t="n">
        <v>1.953</v>
      </c>
      <c r="H172" s="16" t="n">
        <v>0.011</v>
      </c>
      <c r="I172" s="16" t="n">
        <v>-0.5282</v>
      </c>
      <c r="J172" s="16" t="n">
        <v>0.2549</v>
      </c>
      <c r="K172" s="16" t="n">
        <v>1.51</v>
      </c>
      <c r="L172" s="16" t="n">
        <v>1.2</v>
      </c>
      <c r="M172" s="9">
        <f>($C172-$B172)*100</f>
        <v/>
      </c>
      <c r="N172" s="9">
        <f>($D172-$C172)*100</f>
        <v/>
      </c>
      <c r="O172" s="9">
        <f>($F172-$E172)*100</f>
        <v/>
      </c>
      <c r="P172" s="9">
        <f>($J172-$I172)*100</f>
        <v/>
      </c>
    </row>
    <row r="173">
      <c r="A173" s="17" t="n">
        <v>43532</v>
      </c>
      <c r="B173" s="16" t="n">
        <v>-0.147</v>
      </c>
      <c r="C173" s="16" t="n">
        <v>-0.028</v>
      </c>
      <c r="D173" s="16" t="n">
        <v>0.591</v>
      </c>
      <c r="E173" s="16" t="n">
        <v>2.45</v>
      </c>
      <c r="F173" s="16" t="n">
        <v>2.62</v>
      </c>
      <c r="G173" s="16" t="n">
        <v>1.953</v>
      </c>
      <c r="H173" s="16" t="n">
        <v>0.011</v>
      </c>
      <c r="I173" s="16" t="n">
        <v>-0.5576</v>
      </c>
      <c r="J173" s="16" t="n">
        <v>0.122</v>
      </c>
      <c r="K173" s="16" t="n">
        <v>1.499</v>
      </c>
      <c r="L173" s="16" t="n">
        <v>1.32</v>
      </c>
      <c r="M173" s="9">
        <f>($C173-$B173)*100</f>
        <v/>
      </c>
      <c r="N173" s="9">
        <f>($D173-$C173)*100</f>
        <v/>
      </c>
      <c r="O173" s="9">
        <f>($F173-$E173)*100</f>
        <v/>
      </c>
      <c r="P173" s="9">
        <f>($J173-$I173)*100</f>
        <v/>
      </c>
    </row>
    <row r="174">
      <c r="A174" s="17" t="n">
        <v>43539</v>
      </c>
      <c r="B174" s="16" t="n">
        <v>-0.165</v>
      </c>
      <c r="C174" s="16" t="n">
        <v>-0.028</v>
      </c>
      <c r="D174" s="16" t="n">
        <v>0.582</v>
      </c>
      <c r="E174" s="16" t="n">
        <v>2.43</v>
      </c>
      <c r="F174" s="16" t="n">
        <v>2.59</v>
      </c>
      <c r="G174" s="16" t="n">
        <v>1.953</v>
      </c>
      <c r="H174" s="16" t="n">
        <v>0.011</v>
      </c>
      <c r="I174" s="16" t="n">
        <v>-0.5528</v>
      </c>
      <c r="J174" s="16" t="n">
        <v>0.131</v>
      </c>
      <c r="K174" s="16" t="n">
        <v>1.557</v>
      </c>
      <c r="L174" s="16" t="n">
        <v>1.45</v>
      </c>
      <c r="M174" s="9">
        <f>($C174-$B174)*100</f>
        <v/>
      </c>
      <c r="N174" s="9">
        <f>($D174-$C174)*100</f>
        <v/>
      </c>
      <c r="O174" s="9">
        <f>($F174-$E174)*100</f>
        <v/>
      </c>
      <c r="P174" s="9">
        <f>($J174-$I174)*100</f>
        <v/>
      </c>
    </row>
    <row r="175">
      <c r="A175" s="17" t="n">
        <v>43546</v>
      </c>
      <c r="B175" s="16" t="n">
        <v>-0.178</v>
      </c>
      <c r="C175" s="16" t="n">
        <v>-0.061</v>
      </c>
      <c r="D175" s="16" t="n">
        <v>0.535</v>
      </c>
      <c r="E175" s="16" t="n">
        <v>2.31</v>
      </c>
      <c r="F175" s="16" t="n">
        <v>2.44</v>
      </c>
      <c r="G175" s="16" t="n">
        <v>1.953</v>
      </c>
      <c r="H175" s="16" t="n">
        <v>0.011</v>
      </c>
      <c r="I175" s="16" t="n">
        <v>-0.5798</v>
      </c>
      <c r="J175" s="16" t="n">
        <v>0.0156</v>
      </c>
      <c r="K175" s="16" t="n">
        <v>1.524</v>
      </c>
      <c r="L175" s="16" t="n">
        <v>1.59</v>
      </c>
      <c r="M175" s="9">
        <f>($C175-$B175)*100</f>
        <v/>
      </c>
      <c r="N175" s="9">
        <f>($D175-$C175)*100</f>
        <v/>
      </c>
      <c r="O175" s="9">
        <f>($F175-$E175)*100</f>
        <v/>
      </c>
      <c r="P175" s="9">
        <f>($J175-$I175)*100</f>
        <v/>
      </c>
    </row>
    <row r="176">
      <c r="A176" s="17" t="n">
        <v>43553</v>
      </c>
      <c r="B176" s="16" t="n">
        <v>-0.183</v>
      </c>
      <c r="C176" s="16" t="n">
        <v>-0.082</v>
      </c>
      <c r="D176" s="16" t="n">
        <v>0.513</v>
      </c>
      <c r="E176" s="16" t="n">
        <v>2.27</v>
      </c>
      <c r="F176" s="16" t="n">
        <v>2.41</v>
      </c>
      <c r="G176" s="16" t="n">
        <v>1.953</v>
      </c>
      <c r="H176" s="16" t="n">
        <v>0.011</v>
      </c>
      <c r="I176" s="16" t="n">
        <v>-0.6201</v>
      </c>
      <c r="J176" s="16" t="n">
        <v>-0.0134</v>
      </c>
      <c r="K176" s="16" t="n">
        <v>1.416</v>
      </c>
      <c r="L176" s="16" t="n">
        <v>1.36</v>
      </c>
      <c r="M176" s="9">
        <f>($C176-$B176)*100</f>
        <v/>
      </c>
      <c r="N176" s="9">
        <f>($D176-$C176)*100</f>
        <v/>
      </c>
      <c r="O176" s="9">
        <f>($F176-$E176)*100</f>
        <v/>
      </c>
      <c r="P176" s="9">
        <f>($J176-$I176)*100</f>
        <v/>
      </c>
    </row>
    <row r="177">
      <c r="A177" s="17" t="n">
        <v>43560</v>
      </c>
      <c r="B177" s="16" t="n">
        <v>-0.156</v>
      </c>
      <c r="C177" s="16" t="n">
        <v>-0.032</v>
      </c>
      <c r="D177" s="16" t="n">
        <v>0.542</v>
      </c>
      <c r="E177" s="16" t="n">
        <v>2.35</v>
      </c>
      <c r="F177" s="16" t="n">
        <v>2.5</v>
      </c>
      <c r="G177" s="16" t="n">
        <v>1.889</v>
      </c>
      <c r="H177" s="16" t="n">
        <v>-0.0395</v>
      </c>
      <c r="I177" s="16" t="n">
        <v>-0.5931</v>
      </c>
      <c r="J177" s="16" t="n">
        <v>0.05</v>
      </c>
      <c r="K177" s="16" t="n">
        <v>1.491</v>
      </c>
      <c r="L177" s="16" t="n">
        <v>1.56</v>
      </c>
      <c r="M177" s="9">
        <f>($C177-$B177)*100</f>
        <v/>
      </c>
      <c r="N177" s="9">
        <f>($D177-$C177)*100</f>
        <v/>
      </c>
      <c r="O177" s="9">
        <f>($F177-$E177)*100</f>
        <v/>
      </c>
      <c r="P177" s="9">
        <f>($J177-$I177)*100</f>
        <v/>
      </c>
    </row>
    <row r="178">
      <c r="A178" s="17" t="n">
        <v>43567</v>
      </c>
      <c r="B178" s="16" t="n">
        <v>-0.169</v>
      </c>
      <c r="C178" s="16" t="n">
        <v>-0.051</v>
      </c>
      <c r="D178" s="16" t="n">
        <v>0.515</v>
      </c>
      <c r="E178" s="16" t="n">
        <v>2.4</v>
      </c>
      <c r="F178" s="16" t="n">
        <v>2.56</v>
      </c>
      <c r="G178" s="16" t="n">
        <v>1.889</v>
      </c>
      <c r="H178" s="16" t="n">
        <v>-0.0395</v>
      </c>
      <c r="I178" s="16" t="n">
        <v>-0.5806</v>
      </c>
      <c r="J178" s="16" t="n">
        <v>0.0902</v>
      </c>
      <c r="K178" s="16" t="n">
        <v>1.59</v>
      </c>
      <c r="L178" s="16" t="n">
        <v>1.76</v>
      </c>
      <c r="M178" s="9">
        <f>($C178-$B178)*100</f>
        <v/>
      </c>
      <c r="N178" s="9">
        <f>($D178-$C178)*100</f>
        <v/>
      </c>
      <c r="O178" s="9">
        <f>($F178-$E178)*100</f>
        <v/>
      </c>
      <c r="P178" s="9">
        <f>($J178-$I178)*100</f>
        <v/>
      </c>
    </row>
    <row r="179">
      <c r="A179" s="17" t="n">
        <v>43574</v>
      </c>
      <c r="B179" s="16" t="n">
        <v>-0.151</v>
      </c>
      <c r="C179" s="16" t="n">
        <v>-0.026</v>
      </c>
      <c r="D179" s="16" t="n">
        <v>0.578</v>
      </c>
      <c r="E179" s="16" t="n">
        <v>2.38</v>
      </c>
      <c r="F179" s="16" t="n">
        <v>2.57</v>
      </c>
      <c r="G179" s="16" t="n">
        <v>1.889</v>
      </c>
      <c r="H179" s="16" t="n">
        <v>-0.0395</v>
      </c>
      <c r="I179" s="16" t="n">
        <v>-0.5879</v>
      </c>
      <c r="J179" s="16" t="n">
        <v>0.0726</v>
      </c>
      <c r="K179" s="16" t="n">
        <v>1.652</v>
      </c>
      <c r="L179" s="16" t="n">
        <v>1.88</v>
      </c>
      <c r="M179" s="9">
        <f>($C179-$B179)*100</f>
        <v/>
      </c>
      <c r="N179" s="9">
        <f>($D179-$C179)*100</f>
        <v/>
      </c>
      <c r="O179" s="9">
        <f>($F179-$E179)*100</f>
        <v/>
      </c>
      <c r="P179" s="9">
        <f>($J179-$I179)*100</f>
        <v/>
      </c>
    </row>
    <row r="180">
      <c r="A180" s="17" t="n">
        <v>43581</v>
      </c>
      <c r="B180" s="16" t="n">
        <v>-0.153</v>
      </c>
      <c r="C180" s="16" t="n">
        <v>-0.045</v>
      </c>
      <c r="D180" s="16" t="n">
        <v>0.5570000000000001</v>
      </c>
      <c r="E180" s="16" t="n">
        <v>2.28</v>
      </c>
      <c r="F180" s="16" t="n">
        <v>2.51</v>
      </c>
      <c r="G180" s="16" t="n">
        <v>1.889</v>
      </c>
      <c r="H180" s="16" t="n">
        <v>-0.0395</v>
      </c>
      <c r="I180" s="16" t="n">
        <v>-0.61</v>
      </c>
      <c r="J180" s="16" t="n">
        <v>0.0305</v>
      </c>
      <c r="K180" s="16" t="n">
        <v>1.721</v>
      </c>
      <c r="L180" s="16" t="n">
        <v>1.98</v>
      </c>
      <c r="M180" s="9">
        <f>($C180-$B180)*100</f>
        <v/>
      </c>
      <c r="N180" s="9">
        <f>($D180-$C180)*100</f>
        <v/>
      </c>
      <c r="O180" s="9">
        <f>($F180-$E180)*100</f>
        <v/>
      </c>
      <c r="P180" s="9">
        <f>($J180-$I180)*100</f>
        <v/>
      </c>
    </row>
    <row r="181">
      <c r="A181" s="17" t="n">
        <v>43588</v>
      </c>
      <c r="B181" s="16" t="n">
        <v>-0.153</v>
      </c>
      <c r="C181" s="16" t="n">
        <v>-0.045</v>
      </c>
      <c r="D181" s="16" t="n">
        <v>0.5570000000000001</v>
      </c>
      <c r="E181" s="16" t="n">
        <v>2.33</v>
      </c>
      <c r="F181" s="16" t="n">
        <v>2.54</v>
      </c>
      <c r="G181" s="16" t="n">
        <v>1.828</v>
      </c>
      <c r="H181" s="16" t="n">
        <v>-0.1345</v>
      </c>
      <c r="I181" s="16" t="n">
        <v>-0.6029</v>
      </c>
      <c r="J181" s="16" t="n">
        <v>0.06519999999999999</v>
      </c>
      <c r="K181" s="16" t="n">
        <v>1.768</v>
      </c>
      <c r="L181" s="16" t="n">
        <v>1.99</v>
      </c>
      <c r="M181" s="9">
        <f>($C181-$B181)*100</f>
        <v/>
      </c>
      <c r="N181" s="9">
        <f>($D181-$C181)*100</f>
        <v/>
      </c>
      <c r="O181" s="9">
        <f>($F181-$E181)*100</f>
        <v/>
      </c>
      <c r="P181" s="9">
        <f>($J181-$I181)*100</f>
        <v/>
      </c>
    </row>
    <row r="182">
      <c r="A182" s="17" t="n">
        <v>43595</v>
      </c>
      <c r="B182" s="16" t="n">
        <v>-0.158</v>
      </c>
      <c r="C182" s="16" t="n">
        <v>-0.044</v>
      </c>
      <c r="D182" s="16" t="n">
        <v>0.535</v>
      </c>
      <c r="E182" s="16" t="n">
        <v>2.26</v>
      </c>
      <c r="F182" s="16" t="n">
        <v>2.47</v>
      </c>
      <c r="G182" s="16" t="n">
        <v>1.828</v>
      </c>
      <c r="H182" s="16" t="n">
        <v>-0.1345</v>
      </c>
      <c r="I182" s="16" t="n">
        <v>-0.6284</v>
      </c>
      <c r="J182" s="16" t="n">
        <v>0.021</v>
      </c>
      <c r="K182" s="16" t="n">
        <v>1.724</v>
      </c>
      <c r="L182" s="16" t="n">
        <v>1.7</v>
      </c>
      <c r="M182" s="9">
        <f>($C182-$B182)*100</f>
        <v/>
      </c>
      <c r="N182" s="9">
        <f>($D182-$C182)*100</f>
        <v/>
      </c>
      <c r="O182" s="9">
        <f>($F182-$E182)*100</f>
        <v/>
      </c>
      <c r="P182" s="9">
        <f>($J182-$I182)*100</f>
        <v/>
      </c>
    </row>
    <row r="183">
      <c r="A183" s="17" t="n">
        <v>43602</v>
      </c>
      <c r="B183" s="16" t="n">
        <v>-0.164</v>
      </c>
      <c r="C183" s="16" t="n">
        <v>-0.053</v>
      </c>
      <c r="D183" s="16" t="n">
        <v>0.525</v>
      </c>
      <c r="E183" s="16" t="n">
        <v>2.2</v>
      </c>
      <c r="F183" s="16" t="n">
        <v>2.39</v>
      </c>
      <c r="G183" s="16" t="n">
        <v>1.828</v>
      </c>
      <c r="H183" s="16" t="n">
        <v>-0.1345</v>
      </c>
      <c r="I183" s="16" t="n">
        <v>-0.6435</v>
      </c>
      <c r="J183" s="16" t="n">
        <v>-0.0446</v>
      </c>
      <c r="K183" s="16" t="n">
        <v>1.726</v>
      </c>
      <c r="L183" s="16" t="n">
        <v>1.77</v>
      </c>
      <c r="M183" s="9">
        <f>($C183-$B183)*100</f>
        <v/>
      </c>
      <c r="N183" s="9">
        <f>($D183-$C183)*100</f>
        <v/>
      </c>
      <c r="O183" s="9">
        <f>($F183-$E183)*100</f>
        <v/>
      </c>
      <c r="P183" s="9">
        <f>($J183-$I183)*100</f>
        <v/>
      </c>
    </row>
    <row r="184">
      <c r="A184" s="17" t="n">
        <v>43609</v>
      </c>
      <c r="B184" s="16" t="n">
        <v>-0.155</v>
      </c>
      <c r="C184" s="16" t="n">
        <v>-0.068</v>
      </c>
      <c r="D184" s="16" t="n">
        <v>0.502</v>
      </c>
      <c r="E184" s="16" t="n">
        <v>2.16</v>
      </c>
      <c r="F184" s="16" t="n">
        <v>2.32</v>
      </c>
      <c r="G184" s="16" t="n">
        <v>1.828</v>
      </c>
      <c r="H184" s="16" t="n">
        <v>-0.1345</v>
      </c>
      <c r="I184" s="16" t="n">
        <v>-0.6418</v>
      </c>
      <c r="J184" s="16" t="n">
        <v>-0.0461</v>
      </c>
      <c r="K184" s="16" t="n">
        <v>1.792</v>
      </c>
      <c r="L184" s="16" t="n">
        <v>1.8</v>
      </c>
      <c r="M184" s="9">
        <f>($C184-$B184)*100</f>
        <v/>
      </c>
      <c r="N184" s="9">
        <f>($D184-$C184)*100</f>
        <v/>
      </c>
      <c r="O184" s="9">
        <f>($F184-$E184)*100</f>
        <v/>
      </c>
      <c r="P184" s="9">
        <f>($J184-$I184)*100</f>
        <v/>
      </c>
    </row>
    <row r="185">
      <c r="A185" s="17" t="n">
        <v>43616</v>
      </c>
      <c r="B185" s="16" t="n">
        <v>-0.179</v>
      </c>
      <c r="C185" s="16" t="n">
        <v>-0.092</v>
      </c>
      <c r="D185" s="16" t="n">
        <v>0.456</v>
      </c>
      <c r="E185" s="16" t="n">
        <v>1.95</v>
      </c>
      <c r="F185" s="16" t="n">
        <v>2.14</v>
      </c>
      <c r="G185" s="16" t="n">
        <v>1.828</v>
      </c>
      <c r="H185" s="16" t="n">
        <v>-0.1345</v>
      </c>
      <c r="I185" s="16" t="n">
        <v>-0.6869</v>
      </c>
      <c r="J185" s="16" t="n">
        <v>-0.1317</v>
      </c>
      <c r="K185" s="16" t="n">
        <v>1.758</v>
      </c>
      <c r="L185" s="16" t="n">
        <v>1.88</v>
      </c>
      <c r="M185" s="9">
        <f>($C185-$B185)*100</f>
        <v/>
      </c>
      <c r="N185" s="9">
        <f>($D185-$C185)*100</f>
        <v/>
      </c>
      <c r="O185" s="9">
        <f>($F185-$E185)*100</f>
        <v/>
      </c>
      <c r="P185" s="9">
        <f>($J185-$I185)*100</f>
        <v/>
      </c>
    </row>
    <row r="186">
      <c r="A186" s="17" t="n">
        <v>43623</v>
      </c>
      <c r="B186" s="16" t="n">
        <v>-0.197</v>
      </c>
      <c r="C186" s="16" t="n">
        <v>-0.112</v>
      </c>
      <c r="D186" s="16" t="n">
        <v>0.403</v>
      </c>
      <c r="E186" s="16" t="n">
        <v>1.85</v>
      </c>
      <c r="F186" s="16" t="n">
        <v>2.09</v>
      </c>
      <c r="G186" s="16" t="n">
        <v>1.618</v>
      </c>
      <c r="H186" s="16" t="n">
        <v>-0.3153</v>
      </c>
      <c r="I186" s="16" t="n">
        <v>-0.6754</v>
      </c>
      <c r="J186" s="16" t="n">
        <v>-0.2059</v>
      </c>
      <c r="K186" s="16" t="n">
        <v>1.601</v>
      </c>
      <c r="L186" s="16" t="n">
        <v>1.82</v>
      </c>
      <c r="M186" s="9">
        <f>($C186-$B186)*100</f>
        <v/>
      </c>
      <c r="N186" s="9">
        <f>($D186-$C186)*100</f>
        <v/>
      </c>
      <c r="O186" s="9">
        <f>($F186-$E186)*100</f>
        <v/>
      </c>
      <c r="P186" s="9">
        <f>($J186-$I186)*100</f>
        <v/>
      </c>
    </row>
    <row r="187">
      <c r="A187" s="17" t="n">
        <v>43630</v>
      </c>
      <c r="B187" s="16" t="n">
        <v>-0.206</v>
      </c>
      <c r="C187" s="16" t="n">
        <v>-0.122</v>
      </c>
      <c r="D187" s="16" t="n">
        <v>0.371</v>
      </c>
      <c r="E187" s="16" t="n">
        <v>1.84</v>
      </c>
      <c r="F187" s="16" t="n">
        <v>2.09</v>
      </c>
      <c r="G187" s="16" t="n">
        <v>1.618</v>
      </c>
      <c r="H187" s="16" t="n">
        <v>-0.3153</v>
      </c>
      <c r="I187" s="16" t="n">
        <v>-0.6909999999999999</v>
      </c>
      <c r="J187" s="16" t="n">
        <v>-0.1926</v>
      </c>
      <c r="K187" s="16" t="n">
        <v>1.706</v>
      </c>
      <c r="L187" s="16" t="n">
        <v>1.96</v>
      </c>
      <c r="M187" s="9">
        <f>($C187-$B187)*100</f>
        <v/>
      </c>
      <c r="N187" s="9">
        <f>($D187-$C187)*100</f>
        <v/>
      </c>
      <c r="O187" s="9">
        <f>($F187-$E187)*100</f>
        <v/>
      </c>
      <c r="P187" s="9">
        <f>($J187-$I187)*100</f>
        <v/>
      </c>
    </row>
    <row r="188">
      <c r="A188" s="17" t="n">
        <v>43637</v>
      </c>
      <c r="B188" s="16" t="n">
        <v>-0.239</v>
      </c>
      <c r="C188" s="16" t="n">
        <v>-0.162</v>
      </c>
      <c r="D188" s="16" t="n">
        <v>0.329</v>
      </c>
      <c r="E188" s="16" t="n">
        <v>1.77</v>
      </c>
      <c r="F188" s="16" t="n">
        <v>2.07</v>
      </c>
      <c r="G188" s="16" t="n">
        <v>1.618</v>
      </c>
      <c r="H188" s="16" t="n">
        <v>-0.3153</v>
      </c>
      <c r="I188" s="16" t="n">
        <v>-0.7306</v>
      </c>
      <c r="J188" s="16" t="n">
        <v>-0.221</v>
      </c>
      <c r="K188" s="16" t="n">
        <v>1.599</v>
      </c>
      <c r="L188" s="16" t="n">
        <v>2.06</v>
      </c>
      <c r="M188" s="9">
        <f>($C188-$B188)*100</f>
        <v/>
      </c>
      <c r="N188" s="9">
        <f>($D188-$C188)*100</f>
        <v/>
      </c>
      <c r="O188" s="9">
        <f>($F188-$E188)*100</f>
        <v/>
      </c>
      <c r="P188" s="9">
        <f>($J188-$I188)*100</f>
        <v/>
      </c>
    </row>
    <row r="189">
      <c r="A189" s="17" t="n">
        <v>43644</v>
      </c>
      <c r="B189" s="16" t="n">
        <v>-0.222</v>
      </c>
      <c r="C189" s="16" t="n">
        <v>-0.156</v>
      </c>
      <c r="D189" s="16" t="n">
        <v>0.363</v>
      </c>
      <c r="E189" s="16" t="n">
        <v>1.75</v>
      </c>
      <c r="F189" s="16" t="n">
        <v>2</v>
      </c>
      <c r="G189" s="16" t="n">
        <v>1.618</v>
      </c>
      <c r="H189" s="16" t="n">
        <v>-0.3153</v>
      </c>
      <c r="I189" s="16" t="n">
        <v>-0.7454</v>
      </c>
      <c r="J189" s="16" t="n">
        <v>-0.2589</v>
      </c>
      <c r="K189" s="16" t="n">
        <v>1.566</v>
      </c>
      <c r="L189" s="16" t="n">
        <v>1.96</v>
      </c>
      <c r="M189" s="9">
        <f>($C189-$B189)*100</f>
        <v/>
      </c>
      <c r="N189" s="9">
        <f>($D189-$C189)*100</f>
        <v/>
      </c>
      <c r="O189" s="9">
        <f>($F189-$E189)*100</f>
        <v/>
      </c>
      <c r="P189" s="9">
        <f>($J189-$I189)*100</f>
        <v/>
      </c>
    </row>
    <row r="190">
      <c r="A190" s="17" t="n">
        <v>43651</v>
      </c>
      <c r="B190" s="16" t="n">
        <v>-0.211</v>
      </c>
      <c r="C190" s="16" t="n">
        <v>-0.17</v>
      </c>
      <c r="D190" s="16" t="n">
        <v>0.334</v>
      </c>
      <c r="E190" s="16" t="n">
        <v>1.87</v>
      </c>
      <c r="F190" s="16" t="n">
        <v>2.04</v>
      </c>
      <c r="G190" s="16" t="n">
        <v>1.506</v>
      </c>
      <c r="H190" s="16" t="n">
        <v>-0.3883</v>
      </c>
      <c r="I190" s="16" t="n">
        <v>-0.7497</v>
      </c>
      <c r="J190" s="16" t="n">
        <v>-0.2812</v>
      </c>
      <c r="K190" s="16" t="n">
        <v>1.651</v>
      </c>
      <c r="L190" s="16" t="n">
        <v>2.17</v>
      </c>
      <c r="M190" s="9">
        <f>($C190-$B190)*100</f>
        <v/>
      </c>
      <c r="N190" s="9">
        <f>($D190-$C190)*100</f>
        <v/>
      </c>
      <c r="O190" s="9">
        <f>($F190-$E190)*100</f>
        <v/>
      </c>
      <c r="P190" s="9">
        <f>($J190-$I190)*100</f>
        <v/>
      </c>
    </row>
    <row r="191">
      <c r="A191" s="17" t="n">
        <v>43658</v>
      </c>
      <c r="B191" s="16" t="n">
        <v>-0.184</v>
      </c>
      <c r="C191" s="16" t="n">
        <v>-0.118</v>
      </c>
      <c r="D191" s="16" t="n">
        <v>0.386</v>
      </c>
      <c r="E191" s="16" t="n">
        <v>1.84</v>
      </c>
      <c r="F191" s="16" t="n">
        <v>2.12</v>
      </c>
      <c r="G191" s="16" t="n">
        <v>1.506</v>
      </c>
      <c r="H191" s="16" t="n">
        <v>-0.3883</v>
      </c>
      <c r="I191" s="16" t="n">
        <v>-0.7395</v>
      </c>
      <c r="J191" s="16" t="n">
        <v>-0.1802</v>
      </c>
      <c r="K191" s="16" t="n">
        <v>1.634</v>
      </c>
      <c r="L191" s="16" t="n">
        <v>1.83</v>
      </c>
      <c r="M191" s="9">
        <f>($C191-$B191)*100</f>
        <v/>
      </c>
      <c r="N191" s="9">
        <f>($D191-$C191)*100</f>
        <v/>
      </c>
      <c r="O191" s="9">
        <f>($F191-$E191)*100</f>
        <v/>
      </c>
      <c r="P191" s="9">
        <f>($J191-$I191)*100</f>
        <v/>
      </c>
    </row>
    <row r="192">
      <c r="A192" s="17" t="n">
        <v>43665</v>
      </c>
      <c r="B192" s="16" t="n">
        <v>-0.203</v>
      </c>
      <c r="C192" s="16" t="n">
        <v>-0.138</v>
      </c>
      <c r="D192" s="16" t="n">
        <v>0.372</v>
      </c>
      <c r="E192" s="16" t="n">
        <v>1.8</v>
      </c>
      <c r="F192" s="16" t="n">
        <v>2.05</v>
      </c>
      <c r="G192" s="16" t="n">
        <v>1.506</v>
      </c>
      <c r="H192" s="16" t="n">
        <v>-0.3883</v>
      </c>
      <c r="I192" s="16" t="n">
        <v>-0.7831</v>
      </c>
      <c r="J192" s="16" t="n">
        <v>-0.2942</v>
      </c>
      <c r="K192" s="16" t="n">
        <v>1.506</v>
      </c>
      <c r="L192" s="16" t="n">
        <v>1.86</v>
      </c>
      <c r="M192" s="9">
        <f>($C192-$B192)*100</f>
        <v/>
      </c>
      <c r="N192" s="9">
        <f>($D192-$C192)*100</f>
        <v/>
      </c>
      <c r="O192" s="9">
        <f>($F192-$E192)*100</f>
        <v/>
      </c>
      <c r="P192" s="9">
        <f>($J192-$I192)*100</f>
        <v/>
      </c>
    </row>
    <row r="193">
      <c r="A193" s="17" t="n">
        <v>43672</v>
      </c>
      <c r="B193" s="16" t="n">
        <v>-0.212</v>
      </c>
      <c r="C193" s="16" t="n">
        <v>-0.153</v>
      </c>
      <c r="D193" s="16" t="n">
        <v>0.358</v>
      </c>
      <c r="E193" s="16" t="n">
        <v>1.86</v>
      </c>
      <c r="F193" s="16" t="n">
        <v>2.08</v>
      </c>
      <c r="G193" s="16" t="n">
        <v>1.506</v>
      </c>
      <c r="H193" s="16" t="n">
        <v>-0.3883</v>
      </c>
      <c r="I193" s="16" t="n">
        <v>-0.7733</v>
      </c>
      <c r="J193" s="16" t="n">
        <v>-0.3435</v>
      </c>
      <c r="K193" s="16" t="n">
        <v>1.582</v>
      </c>
      <c r="L193" s="16" t="n">
        <v>1.97</v>
      </c>
      <c r="M193" s="9">
        <f>($C193-$B193)*100</f>
        <v/>
      </c>
      <c r="N193" s="9">
        <f>($D193-$C193)*100</f>
        <v/>
      </c>
      <c r="O193" s="9">
        <f>($F193-$E193)*100</f>
        <v/>
      </c>
      <c r="P193" s="9">
        <f>($J193-$I193)*100</f>
        <v/>
      </c>
    </row>
    <row r="194">
      <c r="A194" s="17" t="n">
        <v>43679</v>
      </c>
      <c r="B194" s="16" t="n">
        <v>-0.205</v>
      </c>
      <c r="C194" s="16" t="n">
        <v>-0.167</v>
      </c>
      <c r="D194" s="16" t="n">
        <v>0.328</v>
      </c>
      <c r="E194" s="16" t="n">
        <v>1.72</v>
      </c>
      <c r="F194" s="16" t="n">
        <v>1.86</v>
      </c>
      <c r="G194" s="16" t="n">
        <v>1.254</v>
      </c>
      <c r="H194" s="16" t="n">
        <v>-0.6491</v>
      </c>
      <c r="I194" s="16" t="n">
        <v>-0.8047</v>
      </c>
      <c r="J194" s="16" t="n">
        <v>-0.4523</v>
      </c>
      <c r="K194" s="16" t="n">
        <v>1.615</v>
      </c>
      <c r="L194" s="16" t="n">
        <v>1.9</v>
      </c>
      <c r="M194" s="9">
        <f>($C194-$B194)*100</f>
        <v/>
      </c>
      <c r="N194" s="9">
        <f>($D194-$C194)*100</f>
        <v/>
      </c>
      <c r="O194" s="9">
        <f>($F194-$E194)*100</f>
        <v/>
      </c>
      <c r="P194" s="9">
        <f>($J194-$I194)*100</f>
        <v/>
      </c>
    </row>
    <row r="195">
      <c r="A195" s="17" t="n">
        <v>43686</v>
      </c>
      <c r="B195" s="16" t="n">
        <v>-0.273</v>
      </c>
      <c r="C195" s="16" t="n">
        <v>-0.22</v>
      </c>
      <c r="D195" s="16" t="n">
        <v>0.222</v>
      </c>
      <c r="E195" s="16" t="n">
        <v>1.63</v>
      </c>
      <c r="F195" s="16" t="n">
        <v>1.74</v>
      </c>
      <c r="G195" s="16" t="n">
        <v>1.254</v>
      </c>
      <c r="H195" s="16" t="n">
        <v>-0.6491</v>
      </c>
      <c r="I195" s="16" t="n">
        <v>-0.8837</v>
      </c>
      <c r="J195" s="16" t="n">
        <v>-0.5389</v>
      </c>
      <c r="K195" s="16" t="n">
        <v>1.545</v>
      </c>
      <c r="L195" s="16" t="n">
        <v>1.8</v>
      </c>
      <c r="M195" s="9">
        <f>($C195-$B195)*100</f>
        <v/>
      </c>
      <c r="N195" s="9">
        <f>($D195-$C195)*100</f>
        <v/>
      </c>
      <c r="O195" s="9">
        <f>($F195-$E195)*100</f>
        <v/>
      </c>
      <c r="P195" s="9">
        <f>($J195-$I195)*100</f>
        <v/>
      </c>
    </row>
    <row r="196">
      <c r="A196" s="17" t="n">
        <v>43693</v>
      </c>
      <c r="B196" s="16" t="n">
        <v>-0.279</v>
      </c>
      <c r="C196" s="16" t="n">
        <v>-0.236</v>
      </c>
      <c r="D196" s="16" t="n">
        <v>0.186</v>
      </c>
      <c r="E196" s="16" t="n">
        <v>1.48</v>
      </c>
      <c r="F196" s="16" t="n">
        <v>1.55</v>
      </c>
      <c r="G196" s="16" t="n">
        <v>1.254</v>
      </c>
      <c r="H196" s="16" t="n">
        <v>-0.6491</v>
      </c>
      <c r="I196" s="16" t="n">
        <v>-0.9234</v>
      </c>
      <c r="J196" s="16" t="n">
        <v>-0.6694</v>
      </c>
      <c r="K196" s="16" t="n">
        <v>1.717</v>
      </c>
      <c r="L196" s="16" t="n">
        <v>2.06</v>
      </c>
      <c r="M196" s="9">
        <f>($C196-$B196)*100</f>
        <v/>
      </c>
      <c r="N196" s="9">
        <f>($D196-$C196)*100</f>
        <v/>
      </c>
      <c r="O196" s="9">
        <f>($F196-$E196)*100</f>
        <v/>
      </c>
      <c r="P196" s="9">
        <f>($J196-$I196)*100</f>
        <v/>
      </c>
    </row>
    <row r="197">
      <c r="A197" s="17" t="n">
        <v>43700</v>
      </c>
      <c r="B197" s="16" t="n">
        <v>-0.301</v>
      </c>
      <c r="C197" s="16" t="n">
        <v>-0.235</v>
      </c>
      <c r="D197" s="16" t="n">
        <v>0.211</v>
      </c>
      <c r="E197" s="16" t="n">
        <v>1.51</v>
      </c>
      <c r="F197" s="16" t="n">
        <v>1.52</v>
      </c>
      <c r="G197" s="16" t="n">
        <v>1.254</v>
      </c>
      <c r="H197" s="16" t="n">
        <v>-0.6491</v>
      </c>
      <c r="I197" s="16" t="n">
        <v>-0.9063</v>
      </c>
      <c r="J197" s="16" t="n">
        <v>-0.6068</v>
      </c>
      <c r="K197" s="16" t="n">
        <v>1.662</v>
      </c>
      <c r="L197" s="16" t="n">
        <v>2.15</v>
      </c>
      <c r="M197" s="9">
        <f>($C197-$B197)*100</f>
        <v/>
      </c>
      <c r="N197" s="9">
        <f>($D197-$C197)*100</f>
        <v/>
      </c>
      <c r="O197" s="9">
        <f>($F197-$E197)*100</f>
        <v/>
      </c>
      <c r="P197" s="9">
        <f>($J197-$I197)*100</f>
        <v/>
      </c>
    </row>
    <row r="198">
      <c r="A198" s="17" t="n">
        <v>43707</v>
      </c>
      <c r="B198" s="16" t="n">
        <v>-0.307</v>
      </c>
      <c r="C198" s="16" t="n">
        <v>-0.275</v>
      </c>
      <c r="D198" s="16" t="n">
        <v>0.146</v>
      </c>
      <c r="E198" s="16" t="n">
        <v>1.5</v>
      </c>
      <c r="F198" s="16" t="n">
        <v>1.5</v>
      </c>
      <c r="G198" s="16" t="n">
        <v>1.254</v>
      </c>
      <c r="H198" s="16" t="n">
        <v>-0.6491</v>
      </c>
      <c r="I198" s="16" t="n">
        <v>-0.9297</v>
      </c>
      <c r="J198" s="16" t="n">
        <v>-0.6526999999999999</v>
      </c>
      <c r="K198" s="16" t="n">
        <v>1.661</v>
      </c>
      <c r="L198" s="16" t="n">
        <v>1.98</v>
      </c>
      <c r="M198" s="9">
        <f>($C198-$B198)*100</f>
        <v/>
      </c>
      <c r="N198" s="9">
        <f>($D198-$C198)*100</f>
        <v/>
      </c>
      <c r="O198" s="9">
        <f>($F198-$E198)*100</f>
        <v/>
      </c>
      <c r="P198" s="9">
        <f>($J198-$I198)*100</f>
        <v/>
      </c>
    </row>
    <row r="199">
      <c r="A199" s="17" t="n">
        <v>43714</v>
      </c>
      <c r="B199" s="16" t="n">
        <v>-0.302</v>
      </c>
      <c r="C199" s="16" t="n">
        <v>-0.243</v>
      </c>
      <c r="D199" s="16" t="n">
        <v>0.206</v>
      </c>
      <c r="E199" s="16" t="n">
        <v>1.53</v>
      </c>
      <c r="F199" s="16" t="n">
        <v>1.55</v>
      </c>
      <c r="G199" s="16" t="n">
        <v>1.42</v>
      </c>
      <c r="H199" s="16" t="n">
        <v>-0.5948</v>
      </c>
      <c r="I199" s="16" t="n">
        <v>-0.8925</v>
      </c>
      <c r="J199" s="16" t="n">
        <v>-0.5875</v>
      </c>
      <c r="K199" s="16" t="n">
        <v>1.578</v>
      </c>
      <c r="L199" s="16" t="n">
        <v>1.75</v>
      </c>
      <c r="M199" s="9">
        <f>($C199-$B199)*100</f>
        <v/>
      </c>
      <c r="N199" s="9">
        <f>($D199-$C199)*100</f>
        <v/>
      </c>
      <c r="O199" s="9">
        <f>($F199-$E199)*100</f>
        <v/>
      </c>
      <c r="P199" s="9">
        <f>($J199-$I199)*100</f>
        <v/>
      </c>
    </row>
    <row r="200">
      <c r="A200" s="17" t="n">
        <v>43721</v>
      </c>
      <c r="B200" s="16" t="n">
        <v>-0.251</v>
      </c>
      <c r="C200" s="16" t="n">
        <v>-0.15</v>
      </c>
      <c r="D200" s="16" t="n">
        <v>0.341</v>
      </c>
      <c r="E200" s="16" t="n">
        <v>1.79</v>
      </c>
      <c r="F200" s="16" t="n">
        <v>1.9</v>
      </c>
      <c r="G200" s="16" t="n">
        <v>1.42</v>
      </c>
      <c r="H200" s="16" t="n">
        <v>-0.5948</v>
      </c>
      <c r="I200" s="16" t="n">
        <v>-0.7563</v>
      </c>
      <c r="J200" s="16" t="n">
        <v>-0.4429</v>
      </c>
      <c r="K200" s="16" t="n">
        <v>1.669</v>
      </c>
      <c r="L200" s="16" t="n">
        <v>1.79</v>
      </c>
      <c r="M200" s="9">
        <f>($C200-$B200)*100</f>
        <v/>
      </c>
      <c r="N200" s="9">
        <f>($D200-$C200)*100</f>
        <v/>
      </c>
      <c r="O200" s="9">
        <f>($F200-$E200)*100</f>
        <v/>
      </c>
      <c r="P200" s="9">
        <f>($J200-$I200)*100</f>
        <v/>
      </c>
    </row>
    <row r="201">
      <c r="A201" s="17" t="n">
        <v>43728</v>
      </c>
      <c r="B201" s="16" t="n">
        <v>-0.31</v>
      </c>
      <c r="C201" s="16" t="n">
        <v>-0.209</v>
      </c>
      <c r="D201" s="16" t="n">
        <v>0.355</v>
      </c>
      <c r="E201" s="16" t="n">
        <v>1.69</v>
      </c>
      <c r="F201" s="16" t="n">
        <v>1.74</v>
      </c>
      <c r="G201" s="16" t="n">
        <v>1.42</v>
      </c>
      <c r="H201" s="16" t="n">
        <v>-0.5948</v>
      </c>
      <c r="I201" s="16" t="n">
        <v>-0.7485000000000001</v>
      </c>
      <c r="J201" s="16" t="n">
        <v>-0.4735</v>
      </c>
      <c r="K201" s="16" t="n">
        <v>1.612</v>
      </c>
      <c r="L201" s="16" t="n">
        <v>1.85</v>
      </c>
      <c r="M201" s="9">
        <f>($C201-$B201)*100</f>
        <v/>
      </c>
      <c r="N201" s="9">
        <f>($D201-$C201)*100</f>
        <v/>
      </c>
      <c r="O201" s="9">
        <f>($F201-$E201)*100</f>
        <v/>
      </c>
      <c r="P201" s="9">
        <f>($J201-$I201)*100</f>
        <v/>
      </c>
    </row>
    <row r="202">
      <c r="A202" s="17" t="n">
        <v>43735</v>
      </c>
      <c r="B202" s="16" t="n">
        <v>-0.321</v>
      </c>
      <c r="C202" s="16" t="n">
        <v>-0.224</v>
      </c>
      <c r="D202" s="16" t="n">
        <v>0.326</v>
      </c>
      <c r="E202" s="16" t="n">
        <v>1.63</v>
      </c>
      <c r="F202" s="16" t="n">
        <v>1.69</v>
      </c>
      <c r="G202" s="16" t="n">
        <v>1.42</v>
      </c>
      <c r="H202" s="16" t="n">
        <v>-0.5948</v>
      </c>
      <c r="I202" s="16" t="n">
        <v>-0.7995</v>
      </c>
      <c r="J202" s="16" t="n">
        <v>-0.5406</v>
      </c>
      <c r="K202" s="16" t="n">
        <v>1.581</v>
      </c>
      <c r="L202" s="16" t="n">
        <v>1.9</v>
      </c>
      <c r="M202" s="9">
        <f>($C202-$B202)*100</f>
        <v/>
      </c>
      <c r="N202" s="9">
        <f>($D202-$C202)*100</f>
        <v/>
      </c>
      <c r="O202" s="9">
        <f>($F202-$E202)*100</f>
        <v/>
      </c>
      <c r="P202" s="9">
        <f>($J202-$I202)*100</f>
        <v/>
      </c>
    </row>
    <row r="203">
      <c r="A203" s="17" t="n">
        <v>43742</v>
      </c>
      <c r="B203" s="16" t="n">
        <v>-0.335</v>
      </c>
      <c r="C203" s="16" t="n">
        <v>-0.215</v>
      </c>
      <c r="D203" s="16" t="n">
        <v>0.353</v>
      </c>
      <c r="E203" s="16" t="n">
        <v>1.4</v>
      </c>
      <c r="F203" s="16" t="n">
        <v>1.52</v>
      </c>
      <c r="G203" s="16" t="n">
        <v>1.577</v>
      </c>
      <c r="H203" s="16" t="n">
        <v>-0.4695</v>
      </c>
      <c r="I203" s="16" t="n">
        <v>-0.8055</v>
      </c>
      <c r="J203" s="16" t="n">
        <v>-0.5395</v>
      </c>
      <c r="K203" s="16" t="n">
        <v>1.511</v>
      </c>
      <c r="L203" s="16" t="n">
        <v>1.96</v>
      </c>
      <c r="M203" s="9">
        <f>($C203-$B203)*100</f>
        <v/>
      </c>
      <c r="N203" s="9">
        <f>($D203-$C203)*100</f>
        <v/>
      </c>
      <c r="O203" s="9">
        <f>($F203-$E203)*100</f>
        <v/>
      </c>
      <c r="P203" s="9">
        <f>($J203-$I203)*100</f>
        <v/>
      </c>
    </row>
    <row r="204">
      <c r="A204" s="17" t="n">
        <v>43749</v>
      </c>
      <c r="B204" s="16" t="n">
        <v>-0.295</v>
      </c>
      <c r="C204" s="16" t="n">
        <v>-0.183</v>
      </c>
      <c r="D204" s="16" t="n">
        <v>0.386</v>
      </c>
      <c r="E204" s="16" t="n">
        <v>1.63</v>
      </c>
      <c r="F204" s="16" t="n">
        <v>1.76</v>
      </c>
      <c r="G204" s="16" t="n">
        <v>1.577</v>
      </c>
      <c r="H204" s="16" t="n">
        <v>-0.4695</v>
      </c>
      <c r="I204" s="16" t="n">
        <v>-0.7366</v>
      </c>
      <c r="J204" s="16" t="n">
        <v>-0.4048</v>
      </c>
      <c r="K204" s="16" t="n">
        <v>1.687</v>
      </c>
      <c r="L204" s="16" t="n">
        <v>1.93</v>
      </c>
      <c r="M204" s="9">
        <f>($C204-$B204)*100</f>
        <v/>
      </c>
      <c r="N204" s="9">
        <f>($D204-$C204)*100</f>
        <v/>
      </c>
      <c r="O204" s="9">
        <f>($F204-$E204)*100</f>
        <v/>
      </c>
      <c r="P204" s="9">
        <f>($J204-$I204)*100</f>
        <v/>
      </c>
    </row>
    <row r="205">
      <c r="A205" s="17" t="n">
        <v>43756</v>
      </c>
      <c r="B205" s="16" t="n">
        <v>-0.244</v>
      </c>
      <c r="C205" s="16" t="n">
        <v>-0.151</v>
      </c>
      <c r="D205" s="16" t="n">
        <v>0.401</v>
      </c>
      <c r="E205" s="16" t="n">
        <v>1.58</v>
      </c>
      <c r="F205" s="16" t="n">
        <v>1.76</v>
      </c>
      <c r="G205" s="16" t="n">
        <v>1.577</v>
      </c>
      <c r="H205" s="16" t="n">
        <v>-0.4695</v>
      </c>
      <c r="I205" s="16" t="n">
        <v>-0.6887</v>
      </c>
      <c r="J205" s="16" t="n">
        <v>-0.3321</v>
      </c>
      <c r="K205" s="16" t="n">
        <v>1.595</v>
      </c>
      <c r="L205" s="16" t="n">
        <v>1.88</v>
      </c>
      <c r="M205" s="9">
        <f>($C205-$B205)*100</f>
        <v/>
      </c>
      <c r="N205" s="9">
        <f>($D205-$C205)*100</f>
        <v/>
      </c>
      <c r="O205" s="9">
        <f>($F205-$E205)*100</f>
        <v/>
      </c>
      <c r="P205" s="9">
        <f>($J205-$I205)*100</f>
        <v/>
      </c>
    </row>
    <row r="206">
      <c r="A206" s="17" t="n">
        <v>43763</v>
      </c>
      <c r="B206" s="16" t="n">
        <v>-0.243</v>
      </c>
      <c r="C206" s="16" t="n">
        <v>-0.145</v>
      </c>
      <c r="D206" s="16" t="n">
        <v>0.392</v>
      </c>
      <c r="E206" s="16" t="n">
        <v>1.63</v>
      </c>
      <c r="F206" s="16" t="n">
        <v>1.8</v>
      </c>
      <c r="G206" s="16" t="n">
        <v>1.577</v>
      </c>
      <c r="H206" s="16" t="n">
        <v>-0.4695</v>
      </c>
      <c r="I206" s="16" t="n">
        <v>-0.6896</v>
      </c>
      <c r="J206" s="16" t="n">
        <v>-0.3283</v>
      </c>
      <c r="K206" s="16" t="n">
        <v>1.613</v>
      </c>
      <c r="L206" s="16" t="n">
        <v>1.92</v>
      </c>
      <c r="M206" s="9">
        <f>($C206-$B206)*100</f>
        <v/>
      </c>
      <c r="N206" s="9">
        <f>($D206-$C206)*100</f>
        <v/>
      </c>
      <c r="O206" s="9">
        <f>($F206-$E206)*100</f>
        <v/>
      </c>
      <c r="P206" s="9">
        <f>($J206-$I206)*100</f>
        <v/>
      </c>
    </row>
    <row r="207">
      <c r="A207" s="17" t="n">
        <v>43770</v>
      </c>
      <c r="B207" s="16" t="n">
        <v>-0.274</v>
      </c>
      <c r="C207" s="16" t="n">
        <v>-0.179</v>
      </c>
      <c r="D207" s="16" t="n">
        <v>0.343</v>
      </c>
      <c r="E207" s="16" t="n">
        <v>1.56</v>
      </c>
      <c r="F207" s="16" t="n">
        <v>1.73</v>
      </c>
      <c r="G207" s="16" t="n">
        <v>1.75</v>
      </c>
      <c r="H207" s="16" t="n">
        <v>-0.3524</v>
      </c>
      <c r="I207" s="16" t="n">
        <v>-0.6944</v>
      </c>
      <c r="J207" s="16" t="n">
        <v>-0.3441</v>
      </c>
      <c r="K207" s="16" t="n">
        <v>1.626</v>
      </c>
      <c r="L207" s="16" t="n">
        <v>1.88</v>
      </c>
      <c r="M207" s="9">
        <f>($C207-$B207)*100</f>
        <v/>
      </c>
      <c r="N207" s="9">
        <f>($D207-$C207)*100</f>
        <v/>
      </c>
      <c r="O207" s="9">
        <f>($F207-$E207)*100</f>
        <v/>
      </c>
      <c r="P207" s="9">
        <f>($J207-$I207)*100</f>
        <v/>
      </c>
    </row>
    <row r="208">
      <c r="A208" s="17" t="n">
        <v>43777</v>
      </c>
      <c r="B208" s="16" t="n">
        <v>-0.177</v>
      </c>
      <c r="C208" s="16" t="n">
        <v>-0.058</v>
      </c>
      <c r="D208" s="16" t="n">
        <v>0.444</v>
      </c>
      <c r="E208" s="16" t="n">
        <v>1.68</v>
      </c>
      <c r="F208" s="16" t="n">
        <v>1.94</v>
      </c>
      <c r="G208" s="16" t="n">
        <v>1.75</v>
      </c>
      <c r="H208" s="16" t="n">
        <v>-0.3524</v>
      </c>
      <c r="I208" s="16" t="n">
        <v>-0.6395999999999999</v>
      </c>
      <c r="J208" s="16" t="n">
        <v>-0.2104</v>
      </c>
      <c r="K208" s="16" t="n">
        <v>1.719</v>
      </c>
      <c r="L208" s="16" t="n">
        <v>1.83</v>
      </c>
      <c r="M208" s="9">
        <f>($C208-$B208)*100</f>
        <v/>
      </c>
      <c r="N208" s="9">
        <f>($D208-$C208)*100</f>
        <v/>
      </c>
      <c r="O208" s="9">
        <f>($F208-$E208)*100</f>
        <v/>
      </c>
      <c r="P208" s="9">
        <f>($J208-$I208)*100</f>
        <v/>
      </c>
    </row>
    <row r="209">
      <c r="A209" s="17" t="n">
        <v>43784</v>
      </c>
      <c r="B209" s="16" t="n">
        <v>-0.2</v>
      </c>
      <c r="C209" s="16" t="n">
        <v>-0.066</v>
      </c>
      <c r="D209" s="16" t="n">
        <v>0.451</v>
      </c>
      <c r="E209" s="16" t="n">
        <v>1.61</v>
      </c>
      <c r="F209" s="16" t="n">
        <v>1.84</v>
      </c>
      <c r="G209" s="16" t="n">
        <v>1.75</v>
      </c>
      <c r="H209" s="16" t="n">
        <v>-0.3524</v>
      </c>
      <c r="I209" s="16" t="n">
        <v>-0.6657999999999999</v>
      </c>
      <c r="J209" s="16" t="n">
        <v>-0.2872</v>
      </c>
      <c r="K209" s="16" t="n">
        <v>1.785</v>
      </c>
      <c r="L209" s="16" t="n">
        <v>1.95</v>
      </c>
      <c r="M209" s="9">
        <f>($C209-$B209)*100</f>
        <v/>
      </c>
      <c r="N209" s="9">
        <f>($D209-$C209)*100</f>
        <v/>
      </c>
      <c r="O209" s="9">
        <f>($F209-$E209)*100</f>
        <v/>
      </c>
      <c r="P209" s="9">
        <f>($J209-$I209)*100</f>
        <v/>
      </c>
    </row>
    <row r="210">
      <c r="A210" s="17" t="n">
        <v>43791</v>
      </c>
      <c r="B210" s="16" t="n">
        <v>-0.191</v>
      </c>
      <c r="C210" s="16" t="n">
        <v>-0.077</v>
      </c>
      <c r="D210" s="16" t="n">
        <v>0.425</v>
      </c>
      <c r="E210" s="16" t="n">
        <v>1.61</v>
      </c>
      <c r="F210" s="16" t="n">
        <v>1.77</v>
      </c>
      <c r="G210" s="16" t="n">
        <v>1.75</v>
      </c>
      <c r="H210" s="16" t="n">
        <v>-0.3524</v>
      </c>
      <c r="I210" s="16" t="n">
        <v>-0.6534</v>
      </c>
      <c r="J210" s="16" t="n">
        <v>-0.2974</v>
      </c>
      <c r="K210" s="16" t="n">
        <v>1.706</v>
      </c>
      <c r="L210" s="16" t="n">
        <v>1.85</v>
      </c>
      <c r="M210" s="9">
        <f>($C210-$B210)*100</f>
        <v/>
      </c>
      <c r="N210" s="9">
        <f>($D210-$C210)*100</f>
        <v/>
      </c>
      <c r="O210" s="9">
        <f>($F210-$E210)*100</f>
        <v/>
      </c>
      <c r="P210" s="9">
        <f>($J210-$I210)*100</f>
        <v/>
      </c>
    </row>
    <row r="211">
      <c r="A211" s="17" t="n">
        <v>43798</v>
      </c>
      <c r="B211" s="16" t="n">
        <v>-0.179</v>
      </c>
      <c r="C211" s="16" t="n">
        <v>-0.075</v>
      </c>
      <c r="D211" s="16" t="n">
        <v>0.406</v>
      </c>
      <c r="E211" s="16" t="n">
        <v>1.61</v>
      </c>
      <c r="F211" s="16" t="n">
        <v>1.78</v>
      </c>
      <c r="G211" s="16" t="n">
        <v>1.75</v>
      </c>
      <c r="H211" s="16" t="n">
        <v>-0.3524</v>
      </c>
      <c r="I211" s="16" t="n">
        <v>-0.6469</v>
      </c>
      <c r="J211" s="16" t="n">
        <v>-0.2973</v>
      </c>
      <c r="K211" s="16" t="n">
        <v>1.682</v>
      </c>
      <c r="L211" s="16" t="n">
        <v>1.83</v>
      </c>
      <c r="M211" s="9">
        <f>($C211-$B211)*100</f>
        <v/>
      </c>
      <c r="N211" s="9">
        <f>($D211-$C211)*100</f>
        <v/>
      </c>
      <c r="O211" s="9">
        <f>($F211-$E211)*100</f>
        <v/>
      </c>
      <c r="P211" s="9">
        <f>($J211-$I211)*100</f>
        <v/>
      </c>
    </row>
    <row r="212">
      <c r="A212" s="17" t="n">
        <v>43805</v>
      </c>
      <c r="B212" s="16" t="n">
        <v>-0.132</v>
      </c>
      <c r="C212" s="16" t="n">
        <v>-0.008999999999999999</v>
      </c>
      <c r="D212" s="16" t="n">
        <v>0.434</v>
      </c>
      <c r="E212" s="16" t="n">
        <v>1.61</v>
      </c>
      <c r="F212" s="16" t="n">
        <v>1.84</v>
      </c>
      <c r="G212" s="16" t="n">
        <v>1.653</v>
      </c>
      <c r="H212" s="16" t="n">
        <v>-0.2994</v>
      </c>
      <c r="I212" s="16" t="n">
        <v>-0.6484</v>
      </c>
      <c r="J212" s="16" t="n">
        <v>-0.2353</v>
      </c>
      <c r="K212" s="16" t="n">
        <v>1.64</v>
      </c>
      <c r="L212" s="16" t="n">
        <v>1.75</v>
      </c>
      <c r="M212" s="9">
        <f>($C212-$B212)*100</f>
        <v/>
      </c>
      <c r="N212" s="9">
        <f>($D212-$C212)*100</f>
        <v/>
      </c>
      <c r="O212" s="9">
        <f>($F212-$E212)*100</f>
        <v/>
      </c>
      <c r="P212" s="9">
        <f>($J212-$I212)*100</f>
        <v/>
      </c>
    </row>
    <row r="213">
      <c r="A213" s="17" t="n">
        <v>43812</v>
      </c>
      <c r="B213" s="16" t="n">
        <v>-0.13</v>
      </c>
      <c r="C213" s="16" t="n">
        <v>-0.014</v>
      </c>
      <c r="D213" s="16" t="n">
        <v>0.425</v>
      </c>
      <c r="E213" s="16" t="n">
        <v>1.61</v>
      </c>
      <c r="F213" s="16" t="n">
        <v>1.82</v>
      </c>
      <c r="G213" s="16" t="n">
        <v>1.653</v>
      </c>
      <c r="H213" s="16" t="n">
        <v>-0.2994</v>
      </c>
      <c r="I213" s="16" t="n">
        <v>-0.645</v>
      </c>
      <c r="J213" s="16" t="n">
        <v>-0.2093</v>
      </c>
      <c r="K213" s="16" t="n">
        <v>1.73</v>
      </c>
      <c r="L213" s="16" t="n">
        <v>1.85</v>
      </c>
      <c r="M213" s="9">
        <f>($C213-$B213)*100</f>
        <v/>
      </c>
      <c r="N213" s="9">
        <f>($D213-$C213)*100</f>
        <v/>
      </c>
      <c r="O213" s="9">
        <f>($F213-$E213)*100</f>
        <v/>
      </c>
      <c r="P213" s="9">
        <f>($J213-$I213)*100</f>
        <v/>
      </c>
    </row>
    <row r="214">
      <c r="A214" s="17" t="n">
        <v>43819</v>
      </c>
      <c r="B214" s="16" t="n">
        <v>-0.103</v>
      </c>
      <c r="C214" s="16" t="n">
        <v>0.014</v>
      </c>
      <c r="D214" s="16" t="n">
        <v>0.439</v>
      </c>
      <c r="E214" s="16" t="n">
        <v>1.63</v>
      </c>
      <c r="F214" s="16" t="n">
        <v>1.92</v>
      </c>
      <c r="G214" s="16" t="n">
        <v>1.653</v>
      </c>
      <c r="H214" s="16" t="n">
        <v>-0.2994</v>
      </c>
      <c r="I214" s="16" t="n">
        <v>-0.6483</v>
      </c>
      <c r="J214" s="16" t="n">
        <v>-0.1754</v>
      </c>
      <c r="K214" s="16" t="n">
        <v>1.747</v>
      </c>
      <c r="L214" s="16" t="n">
        <v>1.95</v>
      </c>
      <c r="M214" s="9">
        <f>($C214-$B214)*100</f>
        <v/>
      </c>
      <c r="N214" s="9">
        <f>($D214-$C214)*100</f>
        <v/>
      </c>
      <c r="O214" s="9">
        <f>($F214-$E214)*100</f>
        <v/>
      </c>
      <c r="P214" s="9">
        <f>($J214-$I214)*100</f>
        <v/>
      </c>
    </row>
    <row r="215">
      <c r="A215" s="17" t="n">
        <v>43826</v>
      </c>
      <c r="B215" s="16" t="n">
        <v>-0.124</v>
      </c>
      <c r="C215" s="16" t="n">
        <v>-0.007</v>
      </c>
      <c r="D215" s="16" t="n">
        <v>0.426</v>
      </c>
      <c r="E215" s="16" t="n">
        <v>1.59</v>
      </c>
      <c r="F215" s="16" t="n">
        <v>1.88</v>
      </c>
      <c r="G215" s="16" t="n">
        <v>1.653</v>
      </c>
      <c r="H215" s="16" t="n">
        <v>-0.2994</v>
      </c>
      <c r="I215" s="16" t="n">
        <v>-0.6525</v>
      </c>
      <c r="J215" s="16" t="n">
        <v>-0.1911</v>
      </c>
      <c r="K215" s="16" t="n">
        <v>1.726</v>
      </c>
      <c r="L215" s="16" t="n">
        <v>2</v>
      </c>
      <c r="M215" s="9">
        <f>($C215-$B215)*100</f>
        <v/>
      </c>
      <c r="N215" s="9">
        <f>($D215-$C215)*100</f>
        <v/>
      </c>
      <c r="O215" s="9">
        <f>($F215-$E215)*100</f>
        <v/>
      </c>
      <c r="P215" s="9">
        <f>($J215-$I215)*100</f>
        <v/>
      </c>
    </row>
    <row r="216">
      <c r="A216" s="17" t="n">
        <v>43833</v>
      </c>
      <c r="B216" s="16" t="n">
        <v>-0.134</v>
      </c>
      <c r="C216" s="16" t="n">
        <v>-0.015</v>
      </c>
      <c r="D216" s="16" t="n">
        <v>0.41</v>
      </c>
      <c r="E216" s="16" t="n">
        <v>1.53</v>
      </c>
      <c r="F216" s="16" t="n">
        <v>1.8</v>
      </c>
      <c r="G216" s="16" t="n">
        <v>1.656</v>
      </c>
      <c r="H216" s="16" t="n">
        <v>-0.3136</v>
      </c>
      <c r="I216" s="16" t="n">
        <v>-0.6384</v>
      </c>
      <c r="J216" s="16" t="n">
        <v>-0.2229</v>
      </c>
      <c r="K216" s="16" t="n">
        <v>1.7</v>
      </c>
      <c r="L216" s="16" t="n">
        <v>1.94</v>
      </c>
      <c r="M216" s="9">
        <f>($C216-$B216)*100</f>
        <v/>
      </c>
      <c r="N216" s="9">
        <f>($D216-$C216)*100</f>
        <v/>
      </c>
      <c r="O216" s="9">
        <f>($F216-$E216)*100</f>
        <v/>
      </c>
      <c r="P216" s="9">
        <f>($J216-$I216)*100</f>
        <v/>
      </c>
    </row>
    <row r="217">
      <c r="A217" s="17" t="n">
        <v>43840</v>
      </c>
      <c r="B217" s="16" t="n">
        <v>-0.137</v>
      </c>
      <c r="C217" s="16" t="n">
        <v>-0.003</v>
      </c>
      <c r="D217" s="16" t="n">
        <v>0.438</v>
      </c>
      <c r="E217" s="16" t="n">
        <v>1.56</v>
      </c>
      <c r="F217" s="16" t="n">
        <v>1.83</v>
      </c>
      <c r="G217" s="16" t="n">
        <v>1.656</v>
      </c>
      <c r="H217" s="16" t="n">
        <v>-0.3136</v>
      </c>
      <c r="I217" s="16" t="n">
        <v>-0.6072</v>
      </c>
      <c r="J217" s="16" t="n">
        <v>-0.1716</v>
      </c>
      <c r="K217" s="16" t="n">
        <v>1.629</v>
      </c>
      <c r="L217" s="16" t="n">
        <v>1.96</v>
      </c>
      <c r="M217" s="9">
        <f>($C217-$B217)*100</f>
        <v/>
      </c>
      <c r="N217" s="9">
        <f>($D217-$C217)*100</f>
        <v/>
      </c>
      <c r="O217" s="9">
        <f>($F217-$E217)*100</f>
        <v/>
      </c>
      <c r="P217" s="9">
        <f>($J217-$I217)*100</f>
        <v/>
      </c>
    </row>
    <row r="218">
      <c r="A218" s="17" t="n">
        <v>43847</v>
      </c>
      <c r="B218" s="16" t="n">
        <v>-0.135</v>
      </c>
      <c r="C218" s="16" t="n">
        <v>-0.002</v>
      </c>
      <c r="D218" s="16" t="n">
        <v>0.453</v>
      </c>
      <c r="E218" s="16" t="n">
        <v>1.58</v>
      </c>
      <c r="F218" s="16" t="n">
        <v>1.84</v>
      </c>
      <c r="G218" s="16" t="n">
        <v>1.656</v>
      </c>
      <c r="H218" s="16" t="n">
        <v>-0.3136</v>
      </c>
      <c r="I218" s="16" t="n">
        <v>-0.607</v>
      </c>
      <c r="J218" s="16" t="n">
        <v>-0.1877</v>
      </c>
      <c r="K218" s="16" t="n">
        <v>1.579</v>
      </c>
      <c r="L218" s="16" t="n">
        <v>1.81</v>
      </c>
      <c r="M218" s="9">
        <f>($C218-$B218)*100</f>
        <v/>
      </c>
      <c r="N218" s="9">
        <f>($D218-$C218)*100</f>
        <v/>
      </c>
      <c r="O218" s="9">
        <f>($F218-$E218)*100</f>
        <v/>
      </c>
      <c r="P218" s="9">
        <f>($J218-$I218)*100</f>
        <v/>
      </c>
    </row>
    <row r="219">
      <c r="A219" s="17" t="n">
        <v>43854</v>
      </c>
      <c r="B219" s="16" t="n">
        <v>-0.133</v>
      </c>
      <c r="C219" s="16" t="n">
        <v>-0.022</v>
      </c>
      <c r="D219" s="16" t="n">
        <v>0.406</v>
      </c>
      <c r="E219" s="16" t="n">
        <v>1.49</v>
      </c>
      <c r="F219" s="16" t="n">
        <v>1.7</v>
      </c>
      <c r="G219" s="16" t="n">
        <v>1.656</v>
      </c>
      <c r="H219" s="16" t="n">
        <v>-0.3136</v>
      </c>
      <c r="I219" s="16" t="n">
        <v>-0.6229</v>
      </c>
      <c r="J219" s="16" t="n">
        <v>-0.2891</v>
      </c>
      <c r="K219" s="16" t="n">
        <v>1.584</v>
      </c>
      <c r="L219" s="16" t="n">
        <v>1.84</v>
      </c>
      <c r="M219" s="9">
        <f>($C219-$B219)*100</f>
        <v/>
      </c>
      <c r="N219" s="9">
        <f>($D219-$C219)*100</f>
        <v/>
      </c>
      <c r="O219" s="9">
        <f>($F219-$E219)*100</f>
        <v/>
      </c>
      <c r="P219" s="9">
        <f>($J219-$I219)*100</f>
        <v/>
      </c>
    </row>
    <row r="220">
      <c r="A220" s="17" t="n">
        <v>43861</v>
      </c>
      <c r="B220" s="16" t="n">
        <v>-0.159</v>
      </c>
      <c r="C220" s="16" t="n">
        <v>-0.061</v>
      </c>
      <c r="D220" s="16" t="n">
        <v>0.368</v>
      </c>
      <c r="E220" s="16" t="n">
        <v>1.33</v>
      </c>
      <c r="F220" s="16" t="n">
        <v>1.51</v>
      </c>
      <c r="G220" s="16" t="n">
        <v>1.656</v>
      </c>
      <c r="H220" s="16" t="n">
        <v>-0.3136</v>
      </c>
      <c r="I220" s="16" t="n">
        <v>-0.6798999999999999</v>
      </c>
      <c r="J220" s="16" t="n">
        <v>-0.3982</v>
      </c>
      <c r="K220" s="16" t="n">
        <v>1.56</v>
      </c>
      <c r="L220" s="16" t="n">
        <v>1.85</v>
      </c>
      <c r="M220" s="9">
        <f>($C220-$B220)*100</f>
        <v/>
      </c>
      <c r="N220" s="9">
        <f>($D220-$C220)*100</f>
        <v/>
      </c>
      <c r="O220" s="9">
        <f>($F220-$E220)*100</f>
        <v/>
      </c>
      <c r="P220" s="9">
        <f>($J220-$I220)*100</f>
        <v/>
      </c>
    </row>
    <row r="221">
      <c r="A221" s="17" t="n">
        <v>43868</v>
      </c>
      <c r="B221" s="16" t="n">
        <v>-0.147</v>
      </c>
      <c r="C221" s="16" t="n">
        <v>-0.035</v>
      </c>
      <c r="D221" s="16" t="n">
        <v>0.392</v>
      </c>
      <c r="E221" s="16" t="n">
        <v>1.41</v>
      </c>
      <c r="F221" s="16" t="n">
        <v>1.59</v>
      </c>
      <c r="G221" s="16" t="n">
        <v>1.54</v>
      </c>
      <c r="H221" s="16" t="n">
        <v>-0.466</v>
      </c>
      <c r="I221" s="16" t="n">
        <v>-0.6512</v>
      </c>
      <c r="J221" s="16" t="n">
        <v>-0.3567</v>
      </c>
      <c r="K221" s="16" t="n">
        <v>1.531</v>
      </c>
      <c r="L221" s="16" t="n">
        <v>1.65</v>
      </c>
      <c r="M221" s="9">
        <f>($C221-$B221)*100</f>
        <v/>
      </c>
      <c r="N221" s="9">
        <f>($D221-$C221)*100</f>
        <v/>
      </c>
      <c r="O221" s="9">
        <f>($F221-$E221)*100</f>
        <v/>
      </c>
      <c r="P221" s="9">
        <f>($J221-$I221)*100</f>
        <v/>
      </c>
    </row>
    <row r="222">
      <c r="A222" s="17" t="n">
        <v>43875</v>
      </c>
      <c r="B222" s="16" t="n">
        <v>-0.144</v>
      </c>
      <c r="C222" s="16" t="n">
        <v>-0.03</v>
      </c>
      <c r="D222" s="16" t="n">
        <v>0.387</v>
      </c>
      <c r="E222" s="16" t="n">
        <v>1.42</v>
      </c>
      <c r="F222" s="16" t="n">
        <v>1.59</v>
      </c>
      <c r="G222" s="16" t="n">
        <v>1.54</v>
      </c>
      <c r="H222" s="16" t="n">
        <v>-0.466</v>
      </c>
      <c r="I222" s="16" t="n">
        <v>-0.6601</v>
      </c>
      <c r="J222" s="16" t="n">
        <v>-0.3705</v>
      </c>
      <c r="K222" s="16" t="n">
        <v>1.443</v>
      </c>
      <c r="L222" s="16" t="n">
        <v>1.56</v>
      </c>
      <c r="M222" s="9">
        <f>($C222-$B222)*100</f>
        <v/>
      </c>
      <c r="N222" s="9">
        <f>($D222-$C222)*100</f>
        <v/>
      </c>
      <c r="O222" s="9">
        <f>($F222-$E222)*100</f>
        <v/>
      </c>
      <c r="P222" s="9">
        <f>($J222-$I222)*100</f>
        <v/>
      </c>
    </row>
    <row r="223">
      <c r="A223" s="17" t="n">
        <v>43882</v>
      </c>
      <c r="B223" s="16" t="n">
        <v>-0.165</v>
      </c>
      <c r="C223" s="16" t="n">
        <v>-0.06</v>
      </c>
      <c r="D223" s="16" t="n">
        <v>0.343</v>
      </c>
      <c r="E223" s="16" t="n">
        <v>1.34</v>
      </c>
      <c r="F223" s="16" t="n">
        <v>1.46</v>
      </c>
      <c r="G223" s="16" t="n">
        <v>1.54</v>
      </c>
      <c r="H223" s="16" t="n">
        <v>-0.466</v>
      </c>
      <c r="I223" s="16" t="n">
        <v>-0.6463</v>
      </c>
      <c r="J223" s="16" t="n">
        <v>-0.4109</v>
      </c>
      <c r="K223" s="16" t="n">
        <v>1.395</v>
      </c>
      <c r="L223" s="16" t="n">
        <v>1.5</v>
      </c>
      <c r="M223" s="9">
        <f>($C223-$B223)*100</f>
        <v/>
      </c>
      <c r="N223" s="9">
        <f>($D223-$C223)*100</f>
        <v/>
      </c>
      <c r="O223" s="9">
        <f>($F223-$E223)*100</f>
        <v/>
      </c>
      <c r="P223" s="9">
        <f>($J223-$I223)*100</f>
        <v/>
      </c>
    </row>
    <row r="224">
      <c r="A224" s="17" t="n">
        <v>43889</v>
      </c>
      <c r="B224" s="16" t="n">
        <v>-0.258</v>
      </c>
      <c r="C224" s="16" t="n">
        <v>-0.153</v>
      </c>
      <c r="D224" s="16" t="n">
        <v>0.286</v>
      </c>
      <c r="E224" s="16" t="n">
        <v>0.86</v>
      </c>
      <c r="F224" s="16" t="n">
        <v>1.13</v>
      </c>
      <c r="G224" s="16" t="n">
        <v>1.54</v>
      </c>
      <c r="H224" s="16" t="n">
        <v>-0.466</v>
      </c>
      <c r="I224" s="16" t="n">
        <v>-0.7861</v>
      </c>
      <c r="J224" s="16" t="n">
        <v>-0.572</v>
      </c>
      <c r="K224" s="16" t="n">
        <v>1.06</v>
      </c>
      <c r="L224" s="16" t="n">
        <v>1.25</v>
      </c>
      <c r="M224" s="9">
        <f>($C224-$B224)*100</f>
        <v/>
      </c>
      <c r="N224" s="9">
        <f>($D224-$C224)*100</f>
        <v/>
      </c>
      <c r="O224" s="9">
        <f>($F224-$E224)*100</f>
        <v/>
      </c>
      <c r="P224" s="9">
        <f>($J224-$I224)*100</f>
        <v/>
      </c>
    </row>
    <row r="225">
      <c r="A225" s="17" t="n">
        <v>43896</v>
      </c>
      <c r="B225" s="16" t="n">
        <v>-0.287</v>
      </c>
      <c r="C225" s="16" t="n">
        <v>-0.128</v>
      </c>
      <c r="D225" s="16" t="n">
        <v>0.314</v>
      </c>
      <c r="E225" s="16" t="n">
        <v>0.49</v>
      </c>
      <c r="F225" s="16" t="n">
        <v>0.74</v>
      </c>
      <c r="G225" s="16" t="n">
        <v>1.485</v>
      </c>
      <c r="H225" s="16" t="n">
        <v>-0.5414</v>
      </c>
      <c r="I225" s="16" t="n">
        <v>-0.8666</v>
      </c>
      <c r="J225" s="16" t="n">
        <v>-0.6908</v>
      </c>
      <c r="K225" s="16" t="n">
        <v>0.706</v>
      </c>
      <c r="L225" s="16" t="n">
        <v>0.65</v>
      </c>
      <c r="M225" s="9">
        <f>($C225-$B225)*100</f>
        <v/>
      </c>
      <c r="N225" s="9">
        <f>($D225-$C225)*100</f>
        <v/>
      </c>
      <c r="O225" s="9">
        <f>($F225-$E225)*100</f>
        <v/>
      </c>
      <c r="P225" s="9">
        <f>($J225-$I225)*100</f>
        <v/>
      </c>
    </row>
    <row r="226">
      <c r="A226" s="17" t="n">
        <v>43903</v>
      </c>
      <c r="B226" s="16" t="n">
        <v>-0.205</v>
      </c>
      <c r="C226" s="16" t="n">
        <v>0.007</v>
      </c>
      <c r="D226" s="16" t="n">
        <v>0.325</v>
      </c>
      <c r="E226" s="16" t="n">
        <v>0.49</v>
      </c>
      <c r="F226" s="16" t="n">
        <v>0.9399999999999999</v>
      </c>
      <c r="G226" s="16" t="n">
        <v>1.485</v>
      </c>
      <c r="H226" s="16" t="n">
        <v>-0.5414</v>
      </c>
      <c r="I226" s="16" t="n">
        <v>-0.8904</v>
      </c>
      <c r="J226" s="16" t="n">
        <v>-0.4965</v>
      </c>
      <c r="K226" s="16" t="n">
        <v>0.6</v>
      </c>
      <c r="L226" s="16" t="n">
        <v>0.51</v>
      </c>
      <c r="M226" s="9">
        <f>($C226-$B226)*100</f>
        <v/>
      </c>
      <c r="N226" s="9">
        <f>($D226-$C226)*100</f>
        <v/>
      </c>
      <c r="O226" s="9">
        <f>($F226-$E226)*100</f>
        <v/>
      </c>
      <c r="P226" s="9">
        <f>($J226-$I226)*100</f>
        <v/>
      </c>
    </row>
    <row r="227">
      <c r="A227" s="17" t="n">
        <v>43910</v>
      </c>
      <c r="B227" s="16" t="n">
        <v>-0.165</v>
      </c>
      <c r="C227" s="16" t="n">
        <v>0.104</v>
      </c>
      <c r="D227" s="16" t="n">
        <v>0.437</v>
      </c>
      <c r="E227" s="16" t="n">
        <v>0.37</v>
      </c>
      <c r="F227" s="16" t="n">
        <v>0.92</v>
      </c>
      <c r="G227" s="16" t="n">
        <v>1.485</v>
      </c>
      <c r="H227" s="16" t="n">
        <v>-0.5414</v>
      </c>
      <c r="I227" s="16" t="n">
        <v>-0.6731</v>
      </c>
      <c r="J227" s="16" t="n">
        <v>-0.2482</v>
      </c>
      <c r="K227" s="16" t="n">
        <v>0.988</v>
      </c>
      <c r="L227" s="16" t="n">
        <v>0.65</v>
      </c>
      <c r="M227" s="9">
        <f>($C227-$B227)*100</f>
        <v/>
      </c>
      <c r="N227" s="9">
        <f>($D227-$C227)*100</f>
        <v/>
      </c>
      <c r="O227" s="9">
        <f>($F227-$E227)*100</f>
        <v/>
      </c>
      <c r="P227" s="9">
        <f>($J227-$I227)*100</f>
        <v/>
      </c>
    </row>
    <row r="228">
      <c r="A228" s="17" t="n">
        <v>43917</v>
      </c>
      <c r="B228" s="16" t="n">
        <v>-0.177</v>
      </c>
      <c r="C228" s="16" t="n">
        <v>0.024</v>
      </c>
      <c r="D228" s="16" t="n">
        <v>0.419</v>
      </c>
      <c r="E228" s="16" t="n">
        <v>0.25</v>
      </c>
      <c r="F228" s="16" t="n">
        <v>0.72</v>
      </c>
      <c r="G228" s="16" t="n">
        <v>1.485</v>
      </c>
      <c r="H228" s="16" t="n">
        <v>-0.5414</v>
      </c>
      <c r="I228" s="16" t="n">
        <v>-0.7038</v>
      </c>
      <c r="J228" s="16" t="n">
        <v>-0.3953</v>
      </c>
      <c r="K228" s="16" t="n">
        <v>0.603</v>
      </c>
      <c r="L228" s="16" t="n">
        <v>0.67</v>
      </c>
      <c r="M228" s="9">
        <f>($C228-$B228)*100</f>
        <v/>
      </c>
      <c r="N228" s="9">
        <f>($D228-$C228)*100</f>
        <v/>
      </c>
      <c r="O228" s="9">
        <f>($F228-$E228)*100</f>
        <v/>
      </c>
      <c r="P228" s="9">
        <f>($J228-$I228)*100</f>
        <v/>
      </c>
    </row>
    <row r="229">
      <c r="A229" s="17" t="n">
        <v>43924</v>
      </c>
      <c r="B229" s="16" t="n">
        <v>-0.14</v>
      </c>
      <c r="C229" s="16" t="n">
        <v>-0.011</v>
      </c>
      <c r="D229" s="16" t="n">
        <v>0.391</v>
      </c>
      <c r="E229" s="16" t="n">
        <v>0.23</v>
      </c>
      <c r="F229" s="16" t="n">
        <v>0.62</v>
      </c>
      <c r="G229" s="16" t="n">
        <v>1.504</v>
      </c>
      <c r="H229" s="16" t="n">
        <v>-0.4495</v>
      </c>
      <c r="I229" s="16" t="n">
        <v>-0.6712</v>
      </c>
      <c r="J229" s="16" t="n">
        <v>-0.3678</v>
      </c>
      <c r="K229" s="16" t="n">
        <v>0.636</v>
      </c>
      <c r="L229" s="16" t="n">
        <v>0.65</v>
      </c>
      <c r="M229" s="9">
        <f>($C229-$B229)*100</f>
        <v/>
      </c>
      <c r="N229" s="9">
        <f>($D229-$C229)*100</f>
        <v/>
      </c>
      <c r="O229" s="9">
        <f>($F229-$E229)*100</f>
        <v/>
      </c>
      <c r="P229" s="9">
        <f>($J229-$I229)*100</f>
        <v/>
      </c>
    </row>
    <row r="230">
      <c r="A230" s="17" t="n">
        <v>43931</v>
      </c>
      <c r="B230" s="16" t="n">
        <v>-0.177</v>
      </c>
      <c r="C230" s="16" t="n">
        <v>-0.001</v>
      </c>
      <c r="D230" s="16" t="n">
        <v>0.438</v>
      </c>
      <c r="E230" s="16" t="n">
        <v>0.23</v>
      </c>
      <c r="F230" s="16" t="n">
        <v>0.73</v>
      </c>
      <c r="G230" s="16" t="n">
        <v>1.504</v>
      </c>
      <c r="H230" s="16" t="n">
        <v>-0.4495</v>
      </c>
      <c r="I230" s="16" t="n">
        <v>-0.6173999999999999</v>
      </c>
      <c r="J230" s="16" t="n">
        <v>-0.2523</v>
      </c>
      <c r="K230" s="16" t="n">
        <v>0.57</v>
      </c>
      <c r="L230" s="16" t="n">
        <v>0.65</v>
      </c>
      <c r="M230" s="9">
        <f>($C230-$B230)*100</f>
        <v/>
      </c>
      <c r="N230" s="9">
        <f>($D230-$C230)*100</f>
        <v/>
      </c>
      <c r="O230" s="9">
        <f>($F230-$E230)*100</f>
        <v/>
      </c>
      <c r="P230" s="9">
        <f>($J230-$I230)*100</f>
        <v/>
      </c>
    </row>
    <row r="231">
      <c r="A231" s="17" t="n">
        <v>43938</v>
      </c>
      <c r="B231" s="16" t="n">
        <v>-0.146</v>
      </c>
      <c r="C231" s="16" t="n">
        <v>0.013</v>
      </c>
      <c r="D231" s="16" t="n">
        <v>0.489</v>
      </c>
      <c r="E231" s="16" t="n">
        <v>0.2</v>
      </c>
      <c r="F231" s="16" t="n">
        <v>0.65</v>
      </c>
      <c r="G231" s="16" t="n">
        <v>1.504</v>
      </c>
      <c r="H231" s="16" t="n">
        <v>-0.4495</v>
      </c>
      <c r="I231" s="16" t="n">
        <v>-0.6723</v>
      </c>
      <c r="J231" s="16" t="n">
        <v>-0.3708</v>
      </c>
      <c r="K231" s="16" t="n">
        <v>0.499</v>
      </c>
      <c r="L231" s="16" t="n">
        <v>0.66</v>
      </c>
      <c r="M231" s="9">
        <f>($C231-$B231)*100</f>
        <v/>
      </c>
      <c r="N231" s="9">
        <f>($D231-$C231)*100</f>
        <v/>
      </c>
      <c r="O231" s="9">
        <f>($F231-$E231)*100</f>
        <v/>
      </c>
      <c r="P231" s="9">
        <f>($J231-$I231)*100</f>
        <v/>
      </c>
    </row>
    <row r="232">
      <c r="A232" s="17" t="n">
        <v>43945</v>
      </c>
      <c r="B232" s="16" t="n">
        <v>-0.168</v>
      </c>
      <c r="C232" s="16" t="n">
        <v>-0.02</v>
      </c>
      <c r="D232" s="16" t="n">
        <v>0.417</v>
      </c>
      <c r="E232" s="16" t="n">
        <v>0.22</v>
      </c>
      <c r="F232" s="16" t="n">
        <v>0.6</v>
      </c>
      <c r="G232" s="16" t="n">
        <v>1.504</v>
      </c>
      <c r="H232" s="16" t="n">
        <v>-0.4495</v>
      </c>
      <c r="I232" s="16" t="n">
        <v>-0.6682</v>
      </c>
      <c r="J232" s="16" t="n">
        <v>-0.3626</v>
      </c>
      <c r="K232" s="16" t="n">
        <v>0.374</v>
      </c>
      <c r="L232" s="16" t="n">
        <v>0.41</v>
      </c>
      <c r="M232" s="9">
        <f>($C232-$B232)*100</f>
        <v/>
      </c>
      <c r="N232" s="9">
        <f>($D232-$C232)*100</f>
        <v/>
      </c>
      <c r="O232" s="9">
        <f>($F232-$E232)*100</f>
        <v/>
      </c>
      <c r="P232" s="9">
        <f>($J232-$I232)*100</f>
        <v/>
      </c>
    </row>
    <row r="233">
      <c r="A233" s="17" t="n">
        <v>43952</v>
      </c>
      <c r="B233" s="16" t="n">
        <v>-0.164</v>
      </c>
      <c r="C233" s="16" t="n">
        <v>-0.024</v>
      </c>
      <c r="D233" s="16" t="n">
        <v>0.429</v>
      </c>
      <c r="E233" s="16" t="n">
        <v>0.2</v>
      </c>
      <c r="F233" s="16" t="n">
        <v>0.64</v>
      </c>
      <c r="G233" s="16" t="n">
        <v>1.394</v>
      </c>
      <c r="H233" s="16" t="n">
        <v>-0.5165</v>
      </c>
      <c r="I233" s="16" t="n">
        <v>-0.7058</v>
      </c>
      <c r="J233" s="16" t="n">
        <v>-0.4577</v>
      </c>
      <c r="K233" s="16" t="n">
        <v>0.333</v>
      </c>
      <c r="L233" s="16" t="n">
        <v>0.36</v>
      </c>
      <c r="M233" s="9">
        <f>($C233-$B233)*100</f>
        <v/>
      </c>
      <c r="N233" s="9">
        <f>($D233-$C233)*100</f>
        <v/>
      </c>
      <c r="O233" s="9">
        <f>($F233-$E233)*100</f>
        <v/>
      </c>
      <c r="P233" s="9">
        <f>($J233-$I233)*100</f>
        <v/>
      </c>
    </row>
    <row r="234">
      <c r="A234" s="17" t="n">
        <v>43959</v>
      </c>
      <c r="B234" s="16" t="n">
        <v>-0.172</v>
      </c>
      <c r="C234" s="16" t="n">
        <v>0.002</v>
      </c>
      <c r="D234" s="16" t="n">
        <v>0.454</v>
      </c>
      <c r="E234" s="16" t="n">
        <v>0.16</v>
      </c>
      <c r="F234" s="16" t="n">
        <v>0.6899999999999999</v>
      </c>
      <c r="G234" s="16" t="n">
        <v>1.394</v>
      </c>
      <c r="H234" s="16" t="n">
        <v>-0.5165</v>
      </c>
      <c r="I234" s="16" t="n">
        <v>-0.7466</v>
      </c>
      <c r="J234" s="16" t="n">
        <v>-0.4205</v>
      </c>
      <c r="K234" s="16" t="n">
        <v>0.317</v>
      </c>
      <c r="L234" s="16" t="n">
        <v>0.26</v>
      </c>
      <c r="M234" s="9">
        <f>($C234-$B234)*100</f>
        <v/>
      </c>
      <c r="N234" s="9">
        <f>($D234-$C234)*100</f>
        <v/>
      </c>
      <c r="O234" s="9">
        <f>($F234-$E234)*100</f>
        <v/>
      </c>
      <c r="P234" s="9">
        <f>($J234-$I234)*100</f>
        <v/>
      </c>
    </row>
    <row r="235">
      <c r="A235" s="17" t="n">
        <v>43966</v>
      </c>
      <c r="B235" s="16" t="n">
        <v>-0.169</v>
      </c>
      <c r="C235" s="16" t="n">
        <v>0.001</v>
      </c>
      <c r="D235" s="16" t="n">
        <v>0.471</v>
      </c>
      <c r="E235" s="16" t="n">
        <v>0.16</v>
      </c>
      <c r="F235" s="16" t="n">
        <v>0.64</v>
      </c>
      <c r="G235" s="16" t="n">
        <v>1.394</v>
      </c>
      <c r="H235" s="16" t="n">
        <v>-0.5165</v>
      </c>
      <c r="I235" s="16" t="n">
        <v>-0.7105</v>
      </c>
      <c r="J235" s="16" t="n">
        <v>-0.4585</v>
      </c>
      <c r="K235" s="16" t="n">
        <v>0.276</v>
      </c>
      <c r="L235" s="16" t="n">
        <v>0.28</v>
      </c>
      <c r="M235" s="9">
        <f>($C235-$B235)*100</f>
        <v/>
      </c>
      <c r="N235" s="9">
        <f>($D235-$C235)*100</f>
        <v/>
      </c>
      <c r="O235" s="9">
        <f>($F235-$E235)*100</f>
        <v/>
      </c>
      <c r="P235" s="9">
        <f>($J235-$I235)*100</f>
        <v/>
      </c>
    </row>
    <row r="236">
      <c r="A236" s="17" t="n">
        <v>43973</v>
      </c>
      <c r="B236" s="16" t="n">
        <v>-0.181</v>
      </c>
      <c r="C236" s="16" t="n">
        <v>-0.001</v>
      </c>
      <c r="D236" s="16" t="n">
        <v>0.442</v>
      </c>
      <c r="E236" s="16" t="n">
        <v>0.17</v>
      </c>
      <c r="F236" s="16" t="n">
        <v>0.66</v>
      </c>
      <c r="G236" s="16" t="n">
        <v>1.394</v>
      </c>
      <c r="H236" s="16" t="n">
        <v>-0.5165</v>
      </c>
      <c r="I236" s="16" t="n">
        <v>-0.6552</v>
      </c>
      <c r="J236" s="16" t="n">
        <v>-0.3991</v>
      </c>
      <c r="K236" s="16" t="n">
        <v>0.532</v>
      </c>
      <c r="L236" s="16" t="n">
        <v>0.48</v>
      </c>
      <c r="M236" s="9">
        <f>($C236-$B236)*100</f>
        <v/>
      </c>
      <c r="N236" s="9">
        <f>($D236-$C236)*100</f>
        <v/>
      </c>
      <c r="O236" s="9">
        <f>($F236-$E236)*100</f>
        <v/>
      </c>
      <c r="P236" s="9">
        <f>($J236-$I236)*100</f>
        <v/>
      </c>
    </row>
    <row r="237">
      <c r="A237" s="17" t="n">
        <v>43980</v>
      </c>
      <c r="B237" s="16" t="n">
        <v>-0.164</v>
      </c>
      <c r="C237" s="16" t="n">
        <v>0.008999999999999999</v>
      </c>
      <c r="D237" s="16" t="n">
        <v>0.495</v>
      </c>
      <c r="E237" s="16" t="n">
        <v>0.16</v>
      </c>
      <c r="F237" s="16" t="n">
        <v>0.65</v>
      </c>
      <c r="G237" s="16" t="n">
        <v>1.394</v>
      </c>
      <c r="H237" s="16" t="n">
        <v>-0.5165</v>
      </c>
      <c r="I237" s="16" t="n">
        <v>-0.6337</v>
      </c>
      <c r="J237" s="16" t="n">
        <v>-0.3592</v>
      </c>
      <c r="K237" s="16" t="n">
        <v>0.583</v>
      </c>
      <c r="L237" s="16" t="n">
        <v>0.5</v>
      </c>
      <c r="M237" s="9">
        <f>($C237-$B237)*100</f>
        <v/>
      </c>
      <c r="N237" s="9">
        <f>($D237-$C237)*100</f>
        <v/>
      </c>
      <c r="O237" s="9">
        <f>($F237-$E237)*100</f>
        <v/>
      </c>
      <c r="P237" s="9">
        <f>($J237-$I237)*100</f>
        <v/>
      </c>
    </row>
    <row r="238">
      <c r="A238" s="17" t="n">
        <v>43987</v>
      </c>
      <c r="B238" s="16" t="n">
        <v>-0.151</v>
      </c>
      <c r="C238" s="16" t="n">
        <v>0.049</v>
      </c>
      <c r="D238" s="16" t="n">
        <v>0.551</v>
      </c>
      <c r="E238" s="16" t="n">
        <v>0.22</v>
      </c>
      <c r="F238" s="16" t="n">
        <v>0.91</v>
      </c>
      <c r="G238" s="16" t="n">
        <v>1.392</v>
      </c>
      <c r="H238" s="16" t="n">
        <v>-0.4343</v>
      </c>
      <c r="I238" s="16" t="n">
        <v>-0.5984</v>
      </c>
      <c r="J238" s="16" t="n">
        <v>-0.2011</v>
      </c>
      <c r="K238" s="16" t="n">
        <v>0.365</v>
      </c>
      <c r="L238" s="16" t="n">
        <v>0.42</v>
      </c>
      <c r="M238" s="9">
        <f>($C238-$B238)*100</f>
        <v/>
      </c>
      <c r="N238" s="9">
        <f>($D238-$C238)*100</f>
        <v/>
      </c>
      <c r="O238" s="9">
        <f>($F238-$E238)*100</f>
        <v/>
      </c>
      <c r="P238" s="9">
        <f>($J238-$I238)*100</f>
        <v/>
      </c>
    </row>
    <row r="239">
      <c r="A239" s="17" t="n">
        <v>43994</v>
      </c>
      <c r="B239" s="16" t="n">
        <v>-0.158</v>
      </c>
      <c r="C239" s="16" t="n">
        <v>0.021</v>
      </c>
      <c r="D239" s="16" t="n">
        <v>0.523</v>
      </c>
      <c r="E239" s="16" t="n">
        <v>0.19</v>
      </c>
      <c r="F239" s="16" t="n">
        <v>0.71</v>
      </c>
      <c r="G239" s="16" t="n">
        <v>1.392</v>
      </c>
      <c r="H239" s="16" t="n">
        <v>-0.4343</v>
      </c>
      <c r="I239" s="16" t="n">
        <v>-0.6616</v>
      </c>
      <c r="J239" s="16" t="n">
        <v>-0.3551</v>
      </c>
      <c r="K239" s="16" t="n">
        <v>0.33</v>
      </c>
      <c r="L239" s="16" t="n">
        <v>0.26</v>
      </c>
      <c r="M239" s="9">
        <f>($C239-$B239)*100</f>
        <v/>
      </c>
      <c r="N239" s="9">
        <f>($D239-$C239)*100</f>
        <v/>
      </c>
      <c r="O239" s="9">
        <f>($F239-$E239)*100</f>
        <v/>
      </c>
      <c r="P239" s="9">
        <f>($J239-$I239)*100</f>
        <v/>
      </c>
    </row>
    <row r="240">
      <c r="A240" s="17" t="n">
        <v>44001</v>
      </c>
      <c r="B240" s="16" t="n">
        <v>-0.161</v>
      </c>
      <c r="C240" s="16" t="n">
        <v>0.022</v>
      </c>
      <c r="D240" s="16" t="n">
        <v>0.555</v>
      </c>
      <c r="E240" s="16" t="n">
        <v>0.19</v>
      </c>
      <c r="F240" s="16" t="n">
        <v>0.7</v>
      </c>
      <c r="G240" s="16" t="n">
        <v>1.392</v>
      </c>
      <c r="H240" s="16" t="n">
        <v>-0.4343</v>
      </c>
      <c r="I240" s="16" t="n">
        <v>-0.6689000000000001</v>
      </c>
      <c r="J240" s="16" t="n">
        <v>-0.3874</v>
      </c>
      <c r="K240" s="16" t="n">
        <v>0.288</v>
      </c>
      <c r="L240" s="16" t="n">
        <v>0.14</v>
      </c>
      <c r="M240" s="9">
        <f>($C240-$B240)*100</f>
        <v/>
      </c>
      <c r="N240" s="9">
        <f>($D240-$C240)*100</f>
        <v/>
      </c>
      <c r="O240" s="9">
        <f>($F240-$E240)*100</f>
        <v/>
      </c>
      <c r="P240" s="9">
        <f>($J240-$I240)*100</f>
        <v/>
      </c>
    </row>
    <row r="241">
      <c r="A241" s="17" t="n">
        <v>44008</v>
      </c>
      <c r="B241" s="16" t="n">
        <v>-0.142</v>
      </c>
      <c r="C241" s="16" t="n">
        <v>0.02</v>
      </c>
      <c r="D241" s="16" t="n">
        <v>0.574</v>
      </c>
      <c r="E241" s="16" t="n">
        <v>0.17</v>
      </c>
      <c r="F241" s="16" t="n">
        <v>0.64</v>
      </c>
      <c r="G241" s="16" t="n">
        <v>1.392</v>
      </c>
      <c r="H241" s="16" t="n">
        <v>-0.4343</v>
      </c>
      <c r="I241" s="16" t="n">
        <v>-0.6961000000000001</v>
      </c>
      <c r="J241" s="16" t="n">
        <v>-0.4304</v>
      </c>
      <c r="K241" s="16" t="n">
        <v>0.272</v>
      </c>
      <c r="L241" s="16" t="n">
        <v>0.07000000000000001</v>
      </c>
      <c r="M241" s="9">
        <f>($C241-$B241)*100</f>
        <v/>
      </c>
      <c r="N241" s="9">
        <f>($D241-$C241)*100</f>
        <v/>
      </c>
      <c r="O241" s="9">
        <f>($F241-$E241)*100</f>
        <v/>
      </c>
      <c r="P241" s="9">
        <f>($J241-$I241)*100</f>
        <v/>
      </c>
    </row>
    <row r="242">
      <c r="A242" s="17" t="n">
        <v>44015</v>
      </c>
      <c r="B242" s="16" t="n">
        <v>-0.145</v>
      </c>
      <c r="C242" s="16" t="n">
        <v>0.022</v>
      </c>
      <c r="D242" s="16" t="n">
        <v>0.606</v>
      </c>
      <c r="E242" s="16" t="n">
        <v>0.16</v>
      </c>
      <c r="F242" s="16" t="n">
        <v>0.68</v>
      </c>
      <c r="G242" s="16" t="n">
        <v>1.36</v>
      </c>
      <c r="H242" s="16" t="n">
        <v>-0.523</v>
      </c>
      <c r="I242" s="16" t="n">
        <v>-0.6828</v>
      </c>
      <c r="J242" s="16" t="n">
        <v>-0.4011</v>
      </c>
      <c r="K242" s="16" t="n">
        <v>0.245</v>
      </c>
      <c r="L242" s="16" t="n">
        <v>0.11</v>
      </c>
      <c r="M242" s="9">
        <f>($C242-$B242)*100</f>
        <v/>
      </c>
      <c r="N242" s="9">
        <f>($D242-$C242)*100</f>
        <v/>
      </c>
      <c r="O242" s="9">
        <f>($F242-$E242)*100</f>
        <v/>
      </c>
      <c r="P242" s="9">
        <f>($J242-$I242)*100</f>
        <v/>
      </c>
    </row>
    <row r="243">
      <c r="A243" s="17" t="n">
        <v>44022</v>
      </c>
      <c r="B243" s="16" t="n">
        <v>-0.143</v>
      </c>
      <c r="C243" s="16" t="n">
        <v>0.018</v>
      </c>
      <c r="D243" s="16" t="n">
        <v>0.5629999999999999</v>
      </c>
      <c r="E243" s="16" t="n">
        <v>0.16</v>
      </c>
      <c r="F243" s="16" t="n">
        <v>0.65</v>
      </c>
      <c r="G243" s="16" t="n">
        <v>1.36</v>
      </c>
      <c r="H243" s="16" t="n">
        <v>-0.523</v>
      </c>
      <c r="I243" s="16" t="n">
        <v>-0.6963</v>
      </c>
      <c r="J243" s="16" t="n">
        <v>-0.4523</v>
      </c>
      <c r="K243" s="16" t="n">
        <v>0.169</v>
      </c>
      <c r="L243" s="16" t="n">
        <v>0.13</v>
      </c>
      <c r="M243" s="9">
        <f>($C243-$B243)*100</f>
        <v/>
      </c>
      <c r="N243" s="9">
        <f>($D243-$C243)*100</f>
        <v/>
      </c>
      <c r="O243" s="9">
        <f>($F243-$E243)*100</f>
        <v/>
      </c>
      <c r="P243" s="9">
        <f>($J243-$I243)*100</f>
        <v/>
      </c>
    </row>
    <row r="244">
      <c r="A244" s="17" t="n">
        <v>44029</v>
      </c>
      <c r="B244" s="16" t="n">
        <v>-0.15</v>
      </c>
      <c r="C244" s="16" t="n">
        <v>0.014</v>
      </c>
      <c r="D244" s="16" t="n">
        <v>0.582</v>
      </c>
      <c r="E244" s="16" t="n">
        <v>0.14</v>
      </c>
      <c r="F244" s="16" t="n">
        <v>0.64</v>
      </c>
      <c r="G244" s="16" t="n">
        <v>1.36</v>
      </c>
      <c r="H244" s="16" t="n">
        <v>-0.523</v>
      </c>
      <c r="I244" s="16" t="n">
        <v>-0.6758999999999999</v>
      </c>
      <c r="J244" s="16" t="n">
        <v>-0.4281</v>
      </c>
      <c r="K244" s="16" t="n">
        <v>0.07000000000000001</v>
      </c>
      <c r="L244" s="16" t="n">
        <v>0.05</v>
      </c>
      <c r="M244" s="9">
        <f>($C244-$B244)*100</f>
        <v/>
      </c>
      <c r="N244" s="9">
        <f>($D244-$C244)*100</f>
        <v/>
      </c>
      <c r="O244" s="9">
        <f>($F244-$E244)*100</f>
        <v/>
      </c>
      <c r="P244" s="9">
        <f>($J244-$I244)*100</f>
        <v/>
      </c>
    </row>
    <row r="245">
      <c r="A245" s="17" t="n">
        <v>44036</v>
      </c>
      <c r="B245" s="16" t="n">
        <v>-0.136</v>
      </c>
      <c r="C245" s="16" t="n">
        <v>0.016</v>
      </c>
      <c r="D245" s="16" t="n">
        <v>0.573</v>
      </c>
      <c r="E245" s="16" t="n">
        <v>0.14</v>
      </c>
      <c r="F245" s="16" t="n">
        <v>0.59</v>
      </c>
      <c r="G245" s="16" t="n">
        <v>1.36</v>
      </c>
      <c r="H245" s="16" t="n">
        <v>-0.523</v>
      </c>
      <c r="I245" s="16" t="n">
        <v>-0.6667999999999999</v>
      </c>
      <c r="J245" s="16" t="n">
        <v>-0.4253</v>
      </c>
      <c r="K245" s="16" t="n">
        <v>0.122</v>
      </c>
      <c r="L245" s="16" t="n">
        <v>0.07000000000000001</v>
      </c>
      <c r="M245" s="9">
        <f>($C245-$B245)*100</f>
        <v/>
      </c>
      <c r="N245" s="9">
        <f>($D245-$C245)*100</f>
        <v/>
      </c>
      <c r="O245" s="9">
        <f>($F245-$E245)*100</f>
        <v/>
      </c>
      <c r="P245" s="9">
        <f>($J245-$I245)*100</f>
        <v/>
      </c>
    </row>
    <row r="246">
      <c r="A246" s="17" t="n">
        <v>44043</v>
      </c>
      <c r="B246" s="16" t="n">
        <v>-0.144</v>
      </c>
      <c r="C246" s="16" t="n">
        <v>0.018</v>
      </c>
      <c r="D246" s="16" t="n">
        <v>0.529</v>
      </c>
      <c r="E246" s="16" t="n">
        <v>0.11</v>
      </c>
      <c r="F246" s="16" t="n">
        <v>0.55</v>
      </c>
      <c r="G246" s="16" t="n">
        <v>1.36</v>
      </c>
      <c r="H246" s="16" t="n">
        <v>-0.523</v>
      </c>
      <c r="I246" s="16" t="n">
        <v>-0.7097</v>
      </c>
      <c r="J246" s="16" t="n">
        <v>-0.4935</v>
      </c>
      <c r="K246" s="16" t="n">
        <v>0.081</v>
      </c>
      <c r="L246" s="16" t="n">
        <v>0.06</v>
      </c>
      <c r="M246" s="9">
        <f>($C246-$B246)*100</f>
        <v/>
      </c>
      <c r="N246" s="9">
        <f>($D246-$C246)*100</f>
        <v/>
      </c>
      <c r="O246" s="9">
        <f>($F246-$E246)*100</f>
        <v/>
      </c>
      <c r="P246" s="9">
        <f>($J246-$I246)*100</f>
        <v/>
      </c>
    </row>
    <row r="247">
      <c r="A247" s="17" t="n">
        <v>44050</v>
      </c>
      <c r="B247" s="16" t="n">
        <v>-0.126</v>
      </c>
      <c r="C247" s="16" t="n">
        <v>0.014</v>
      </c>
      <c r="D247" s="16" t="n">
        <v>0.549</v>
      </c>
      <c r="E247" s="16" t="n">
        <v>0.13</v>
      </c>
      <c r="F247" s="16" t="n">
        <v>0.57</v>
      </c>
      <c r="G247" s="16" t="n">
        <v>1.373</v>
      </c>
      <c r="H247" s="16" t="n">
        <v>-0.5233</v>
      </c>
      <c r="I247" s="16" t="n">
        <v>-0.7023</v>
      </c>
      <c r="J247" s="16" t="n">
        <v>-0.5072</v>
      </c>
      <c r="K247" s="16" t="n">
        <v>0.08400000000000001</v>
      </c>
      <c r="L247" s="16" t="n">
        <v>0.06</v>
      </c>
      <c r="M247" s="9">
        <f>($C247-$B247)*100</f>
        <v/>
      </c>
      <c r="N247" s="9">
        <f>($D247-$C247)*100</f>
        <v/>
      </c>
      <c r="O247" s="9">
        <f>($F247-$E247)*100</f>
        <v/>
      </c>
      <c r="P247" s="9">
        <f>($J247-$I247)*100</f>
        <v/>
      </c>
    </row>
    <row r="248">
      <c r="A248" s="17" t="n">
        <v>44057</v>
      </c>
      <c r="B248" s="16" t="n">
        <v>-0.117</v>
      </c>
      <c r="C248" s="16" t="n">
        <v>0.054</v>
      </c>
      <c r="D248" s="16" t="n">
        <v>0.615</v>
      </c>
      <c r="E248" s="16" t="n">
        <v>0.14</v>
      </c>
      <c r="F248" s="16" t="n">
        <v>0.71</v>
      </c>
      <c r="G248" s="16" t="n">
        <v>1.373</v>
      </c>
      <c r="H248" s="16" t="n">
        <v>-0.5233</v>
      </c>
      <c r="I248" s="16" t="n">
        <v>-0.6616</v>
      </c>
      <c r="J248" s="16" t="n">
        <v>-0.3951</v>
      </c>
      <c r="K248" s="16" t="n">
        <v>0.143</v>
      </c>
      <c r="L248" s="16" t="n">
        <v>0.07000000000000001</v>
      </c>
      <c r="M248" s="9">
        <f>($C248-$B248)*100</f>
        <v/>
      </c>
      <c r="N248" s="9">
        <f>($D248-$C248)*100</f>
        <v/>
      </c>
      <c r="O248" s="9">
        <f>($F248-$E248)*100</f>
        <v/>
      </c>
      <c r="P248" s="9">
        <f>($J248-$I248)*100</f>
        <v/>
      </c>
    </row>
    <row r="249">
      <c r="A249" s="17" t="n">
        <v>44064</v>
      </c>
      <c r="B249" s="16" t="n">
        <v>-0.115</v>
      </c>
      <c r="C249" s="16" t="n">
        <v>0.039</v>
      </c>
      <c r="D249" s="16" t="n">
        <v>0.615</v>
      </c>
      <c r="E249" s="16" t="n">
        <v>0.16</v>
      </c>
      <c r="F249" s="16" t="n">
        <v>0.64</v>
      </c>
      <c r="G249" s="16" t="n">
        <v>1.373</v>
      </c>
      <c r="H249" s="16" t="n">
        <v>-0.5233</v>
      </c>
      <c r="I249" s="16" t="n">
        <v>-0.6957</v>
      </c>
      <c r="J249" s="16" t="n">
        <v>-0.4764</v>
      </c>
      <c r="K249" s="16" t="n">
        <v>0.15</v>
      </c>
      <c r="L249" s="16" t="n">
        <v>0.05</v>
      </c>
      <c r="M249" s="9">
        <f>($C249-$B249)*100</f>
        <v/>
      </c>
      <c r="N249" s="9">
        <f>($D249-$C249)*100</f>
        <v/>
      </c>
      <c r="O249" s="9">
        <f>($F249-$E249)*100</f>
        <v/>
      </c>
      <c r="P249" s="9">
        <f>($J249-$I249)*100</f>
        <v/>
      </c>
    </row>
    <row r="250">
      <c r="A250" s="17" t="n">
        <v>44071</v>
      </c>
      <c r="B250" s="16" t="n">
        <v>-0.115</v>
      </c>
      <c r="C250" s="16" t="n">
        <v>0.065</v>
      </c>
      <c r="D250" s="16" t="n">
        <v>0.619</v>
      </c>
      <c r="E250" s="16" t="n">
        <v>0.14</v>
      </c>
      <c r="F250" s="16" t="n">
        <v>0.74</v>
      </c>
      <c r="G250" s="16" t="n">
        <v>1.373</v>
      </c>
      <c r="H250" s="16" t="n">
        <v>-0.5233</v>
      </c>
      <c r="I250" s="16" t="n">
        <v>-0.6766</v>
      </c>
      <c r="J250" s="16" t="n">
        <v>-0.3902</v>
      </c>
      <c r="K250" s="16" t="n">
        <v>0.257</v>
      </c>
      <c r="L250" s="16" t="n">
        <v>0.07000000000000001</v>
      </c>
      <c r="M250" s="9">
        <f>($C250-$B250)*100</f>
        <v/>
      </c>
      <c r="N250" s="9">
        <f>($D250-$C250)*100</f>
        <v/>
      </c>
      <c r="O250" s="9">
        <f>($F250-$E250)*100</f>
        <v/>
      </c>
      <c r="P250" s="9">
        <f>($J250-$I250)*100</f>
        <v/>
      </c>
    </row>
    <row r="251">
      <c r="A251" s="17" t="n">
        <v>44078</v>
      </c>
      <c r="B251" s="16" t="n">
        <v>-0.125</v>
      </c>
      <c r="C251" s="16" t="n">
        <v>0.045</v>
      </c>
      <c r="D251" s="16" t="n">
        <v>0.607</v>
      </c>
      <c r="E251" s="16" t="n">
        <v>0.14</v>
      </c>
      <c r="F251" s="16" t="n">
        <v>0.72</v>
      </c>
      <c r="G251" s="16" t="n">
        <v>1.5</v>
      </c>
      <c r="H251" s="16" t="n">
        <v>-0.5241</v>
      </c>
      <c r="I251" s="16" t="n">
        <v>-0.6971000000000001</v>
      </c>
      <c r="J251" s="16" t="n">
        <v>-0.4426</v>
      </c>
      <c r="K251" s="16" t="n">
        <v>0.228</v>
      </c>
      <c r="L251" s="16" t="n">
        <v>0.05</v>
      </c>
      <c r="M251" s="9">
        <f>($C251-$B251)*100</f>
        <v/>
      </c>
      <c r="N251" s="9">
        <f>($D251-$C251)*100</f>
        <v/>
      </c>
      <c r="O251" s="9">
        <f>($F251-$E251)*100</f>
        <v/>
      </c>
      <c r="P251" s="9">
        <f>($J251-$I251)*100</f>
        <v/>
      </c>
    </row>
    <row r="252">
      <c r="A252" s="17" t="n">
        <v>44085</v>
      </c>
      <c r="B252" s="16" t="n">
        <v>-0.142</v>
      </c>
      <c r="C252" s="16" t="n">
        <v>0.029</v>
      </c>
      <c r="D252" s="16" t="n">
        <v>0.578</v>
      </c>
      <c r="E252" s="16" t="n">
        <v>0.13</v>
      </c>
      <c r="F252" s="16" t="n">
        <v>0.67</v>
      </c>
      <c r="G252" s="16" t="n">
        <v>1.5</v>
      </c>
      <c r="H252" s="16" t="n">
        <v>-0.5241</v>
      </c>
      <c r="I252" s="16" t="n">
        <v>-0.6867</v>
      </c>
      <c r="J252" s="16" t="n">
        <v>-0.4355</v>
      </c>
      <c r="K252" s="16" t="n">
        <v>0.224</v>
      </c>
      <c r="L252" s="16" t="n">
        <v>-0.02</v>
      </c>
      <c r="M252" s="9">
        <f>($C252-$B252)*100</f>
        <v/>
      </c>
      <c r="N252" s="9">
        <f>($D252-$C252)*100</f>
        <v/>
      </c>
      <c r="O252" s="9">
        <f>($F252-$E252)*100</f>
        <v/>
      </c>
      <c r="P252" s="9">
        <f>($J252-$I252)*100</f>
        <v/>
      </c>
    </row>
    <row r="253">
      <c r="A253" s="17" t="n">
        <v>44092</v>
      </c>
      <c r="B253" s="16" t="n">
        <v>-0.144</v>
      </c>
      <c r="C253" s="16" t="n">
        <v>0.023</v>
      </c>
      <c r="D253" s="16" t="n">
        <v>0.588</v>
      </c>
      <c r="E253" s="16" t="n">
        <v>0.14</v>
      </c>
      <c r="F253" s="16" t="n">
        <v>0.7</v>
      </c>
      <c r="G253" s="16" t="n">
        <v>1.5</v>
      </c>
      <c r="H253" s="16" t="n">
        <v>-0.5241</v>
      </c>
      <c r="I253" s="16" t="n">
        <v>-0.6976</v>
      </c>
      <c r="J253" s="16" t="n">
        <v>-0.473</v>
      </c>
      <c r="K253" s="16" t="n">
        <v>0.23</v>
      </c>
      <c r="L253" s="16" t="n">
        <v>0</v>
      </c>
      <c r="M253" s="9">
        <f>($C253-$B253)*100</f>
        <v/>
      </c>
      <c r="N253" s="9">
        <f>($D253-$C253)*100</f>
        <v/>
      </c>
      <c r="O253" s="9">
        <f>($F253-$E253)*100</f>
        <v/>
      </c>
      <c r="P253" s="9">
        <f>($J253-$I253)*100</f>
        <v/>
      </c>
    </row>
    <row r="254">
      <c r="A254" s="17" t="n">
        <v>44099</v>
      </c>
      <c r="B254" s="16" t="n">
        <v>-0.156</v>
      </c>
      <c r="C254" s="16" t="n">
        <v>0.02</v>
      </c>
      <c r="D254" s="16" t="n">
        <v>0.606</v>
      </c>
      <c r="E254" s="16" t="n">
        <v>0.12</v>
      </c>
      <c r="F254" s="16" t="n">
        <v>0.66</v>
      </c>
      <c r="G254" s="16" t="n">
        <v>1.5</v>
      </c>
      <c r="H254" s="16" t="n">
        <v>-0.5241</v>
      </c>
      <c r="I254" s="16" t="n">
        <v>-0.7068</v>
      </c>
      <c r="J254" s="16" t="n">
        <v>-0.4963</v>
      </c>
      <c r="K254" s="16" t="n">
        <v>0.137</v>
      </c>
      <c r="L254" s="16" t="n">
        <v>0.01</v>
      </c>
      <c r="M254" s="9">
        <f>($C254-$B254)*100</f>
        <v/>
      </c>
      <c r="N254" s="9">
        <f>($D254-$C254)*100</f>
        <v/>
      </c>
      <c r="O254" s="9">
        <f>($F254-$E254)*100</f>
        <v/>
      </c>
      <c r="P254" s="9">
        <f>($J254-$I254)*100</f>
        <v/>
      </c>
    </row>
    <row r="255">
      <c r="A255" s="17" t="n">
        <v>44106</v>
      </c>
      <c r="B255" s="16" t="n">
        <v>-0.14</v>
      </c>
      <c r="C255" s="16" t="n">
        <v>0.017</v>
      </c>
      <c r="D255" s="16" t="n">
        <v>0.606</v>
      </c>
      <c r="E255" s="16" t="n">
        <v>0.13</v>
      </c>
      <c r="F255" s="16" t="n">
        <v>0.7</v>
      </c>
      <c r="G255" s="16" t="n">
        <v>1.507</v>
      </c>
      <c r="H255" s="16" t="n">
        <v>-0.6073</v>
      </c>
      <c r="I255" s="16" t="n">
        <v>-0.7068</v>
      </c>
      <c r="J255" s="16" t="n">
        <v>-0.5067</v>
      </c>
      <c r="K255" s="16" t="n">
        <v>0.126</v>
      </c>
      <c r="L255" s="16" t="n">
        <v>-0.03</v>
      </c>
      <c r="M255" s="9">
        <f>($C255-$B255)*100</f>
        <v/>
      </c>
      <c r="N255" s="9">
        <f>($D255-$C255)*100</f>
        <v/>
      </c>
      <c r="O255" s="9">
        <f>($F255-$E255)*100</f>
        <v/>
      </c>
      <c r="P255" s="9">
        <f>($J255-$I255)*100</f>
        <v/>
      </c>
    </row>
    <row r="256">
      <c r="A256" s="17" t="n">
        <v>44113</v>
      </c>
      <c r="B256" s="16" t="n">
        <v>-0.127</v>
      </c>
      <c r="C256" s="16" t="n">
        <v>0.032</v>
      </c>
      <c r="D256" s="16" t="n">
        <v>0.629</v>
      </c>
      <c r="E256" s="16" t="n">
        <v>0.16</v>
      </c>
      <c r="F256" s="16" t="n">
        <v>0.79</v>
      </c>
      <c r="G256" s="16" t="n">
        <v>1.507</v>
      </c>
      <c r="H256" s="16" t="n">
        <v>-0.6073</v>
      </c>
      <c r="I256" s="16" t="n">
        <v>-0.7302</v>
      </c>
      <c r="J256" s="16" t="n">
        <v>-0.5155999999999999</v>
      </c>
      <c r="K256" s="16" t="n">
        <v>0.127</v>
      </c>
      <c r="L256" s="16" t="n">
        <v>0.01</v>
      </c>
      <c r="M256" s="9">
        <f>($C256-$B256)*100</f>
        <v/>
      </c>
      <c r="N256" s="9">
        <f>($D256-$C256)*100</f>
        <v/>
      </c>
      <c r="O256" s="9">
        <f>($F256-$E256)*100</f>
        <v/>
      </c>
      <c r="P256" s="9">
        <f>($J256-$I256)*100</f>
        <v/>
      </c>
    </row>
    <row r="257">
      <c r="A257" s="17" t="n">
        <v>44120</v>
      </c>
      <c r="B257" s="16" t="n">
        <v>-0.145</v>
      </c>
      <c r="C257" s="16" t="n">
        <v>0.024</v>
      </c>
      <c r="D257" s="16" t="n">
        <v>0.619</v>
      </c>
      <c r="E257" s="16" t="n">
        <v>0.14</v>
      </c>
      <c r="F257" s="16" t="n">
        <v>0.76</v>
      </c>
      <c r="G257" s="16" t="n">
        <v>1.507</v>
      </c>
      <c r="H257" s="16" t="n">
        <v>-0.6073</v>
      </c>
      <c r="I257" s="16" t="n">
        <v>-0.7804</v>
      </c>
      <c r="J257" s="16" t="n">
        <v>-0.593</v>
      </c>
      <c r="K257" s="16" t="n">
        <v>0.116</v>
      </c>
      <c r="L257" s="16" t="n">
        <v>0.02</v>
      </c>
      <c r="M257" s="9">
        <f>($C257-$B257)*100</f>
        <v/>
      </c>
      <c r="N257" s="9">
        <f>($D257-$C257)*100</f>
        <v/>
      </c>
      <c r="O257" s="9">
        <f>($F257-$E257)*100</f>
        <v/>
      </c>
      <c r="P257" s="9">
        <f>($J257-$I257)*100</f>
        <v/>
      </c>
    </row>
    <row r="258">
      <c r="A258" s="17" t="n">
        <v>44127</v>
      </c>
      <c r="B258" s="16" t="n">
        <v>-0.131</v>
      </c>
      <c r="C258" s="16" t="n">
        <v>0.04</v>
      </c>
      <c r="D258" s="16" t="n">
        <v>0.639</v>
      </c>
      <c r="E258" s="16" t="n">
        <v>0.18</v>
      </c>
      <c r="F258" s="16" t="n">
        <v>0.85</v>
      </c>
      <c r="G258" s="16" t="n">
        <v>1.507</v>
      </c>
      <c r="H258" s="16" t="n">
        <v>-0.6073</v>
      </c>
      <c r="I258" s="16" t="n">
        <v>-0.7602</v>
      </c>
      <c r="J258" s="16" t="n">
        <v>-0.5347</v>
      </c>
      <c r="K258" s="16" t="n">
        <v>0.111</v>
      </c>
      <c r="L258" s="16" t="n">
        <v>0.03</v>
      </c>
      <c r="M258" s="9">
        <f>($C258-$B258)*100</f>
        <v/>
      </c>
      <c r="N258" s="9">
        <f>($D258-$C258)*100</f>
        <v/>
      </c>
      <c r="O258" s="9">
        <f>($F258-$E258)*100</f>
        <v/>
      </c>
      <c r="P258" s="9">
        <f>($J258-$I258)*100</f>
        <v/>
      </c>
    </row>
    <row r="259">
      <c r="A259" s="17" t="n">
        <v>44134</v>
      </c>
      <c r="B259" s="16" t="n">
        <v>-0.125</v>
      </c>
      <c r="C259" s="16" t="n">
        <v>0.041</v>
      </c>
      <c r="D259" s="16" t="n">
        <v>0.64</v>
      </c>
      <c r="E259" s="16" t="n">
        <v>0.14</v>
      </c>
      <c r="F259" s="16" t="n">
        <v>0.88</v>
      </c>
      <c r="G259" s="16" t="n">
        <v>1.507</v>
      </c>
      <c r="H259" s="16" t="n">
        <v>-0.6073</v>
      </c>
      <c r="I259" s="16" t="n">
        <v>-0.8008</v>
      </c>
      <c r="J259" s="16" t="n">
        <v>-0.6035</v>
      </c>
      <c r="K259" s="16" t="n">
        <v>0.106</v>
      </c>
      <c r="L259" s="16" t="n">
        <v>0.03</v>
      </c>
      <c r="M259" s="9">
        <f>($C259-$B259)*100</f>
        <v/>
      </c>
      <c r="N259" s="9">
        <f>($D259-$C259)*100</f>
        <v/>
      </c>
      <c r="O259" s="9">
        <f>($F259-$E259)*100</f>
        <v/>
      </c>
      <c r="P259" s="9">
        <f>($J259-$I259)*100</f>
        <v/>
      </c>
    </row>
    <row r="260">
      <c r="A260" s="17" t="n">
        <v>44141</v>
      </c>
      <c r="B260" s="16" t="n">
        <v>-0.146</v>
      </c>
      <c r="C260" s="16" t="n">
        <v>0.022</v>
      </c>
      <c r="D260" s="16" t="n">
        <v>0.626</v>
      </c>
      <c r="E260" s="16" t="n">
        <v>0.16</v>
      </c>
      <c r="F260" s="16" t="n">
        <v>0.83</v>
      </c>
      <c r="G260" s="16" t="n">
        <v>1.61</v>
      </c>
      <c r="H260" s="16" t="n">
        <v>-0.6148</v>
      </c>
      <c r="I260" s="16" t="n">
        <v>-0.7881</v>
      </c>
      <c r="J260" s="16" t="n">
        <v>-0.588</v>
      </c>
      <c r="K260" s="16" t="n">
        <v>0.1</v>
      </c>
      <c r="L260" s="16" t="n">
        <v>-0.01</v>
      </c>
      <c r="M260" s="9">
        <f>($C260-$B260)*100</f>
        <v/>
      </c>
      <c r="N260" s="9">
        <f>($D260-$C260)*100</f>
        <v/>
      </c>
      <c r="O260" s="9">
        <f>($F260-$E260)*100</f>
        <v/>
      </c>
      <c r="P260" s="9">
        <f>($J260-$I260)*100</f>
        <v/>
      </c>
    </row>
    <row r="261">
      <c r="A261" s="17" t="n">
        <v>44148</v>
      </c>
      <c r="B261" s="16" t="n">
        <v>-0.149</v>
      </c>
      <c r="C261" s="16" t="n">
        <v>0.027</v>
      </c>
      <c r="D261" s="16" t="n">
        <v>0.654</v>
      </c>
      <c r="E261" s="16" t="n">
        <v>0.17</v>
      </c>
      <c r="F261" s="16" t="n">
        <v>0.89</v>
      </c>
      <c r="G261" s="16" t="n">
        <v>1.61</v>
      </c>
      <c r="H261" s="16" t="n">
        <v>-0.6148</v>
      </c>
      <c r="I261" s="16" t="n">
        <v>-0.7494</v>
      </c>
      <c r="J261" s="16" t="n">
        <v>-0.529</v>
      </c>
      <c r="K261" s="16" t="n">
        <v>0.134</v>
      </c>
      <c r="L261" s="16" t="n">
        <v>-0.01</v>
      </c>
      <c r="M261" s="9">
        <f>($C261-$B261)*100</f>
        <v/>
      </c>
      <c r="N261" s="9">
        <f>($D261-$C261)*100</f>
        <v/>
      </c>
      <c r="O261" s="9">
        <f>($F261-$E261)*100</f>
        <v/>
      </c>
      <c r="P261" s="9">
        <f>($J261-$I261)*100</f>
        <v/>
      </c>
    </row>
    <row r="262">
      <c r="A262" s="17" t="n">
        <v>44155</v>
      </c>
      <c r="B262" s="16" t="n">
        <v>-0.151</v>
      </c>
      <c r="C262" s="16" t="n">
        <v>0.018</v>
      </c>
      <c r="D262" s="16" t="n">
        <v>0.625</v>
      </c>
      <c r="E262" s="16" t="n">
        <v>0.16</v>
      </c>
      <c r="F262" s="16" t="n">
        <v>0.83</v>
      </c>
      <c r="G262" s="16" t="n">
        <v>1.61</v>
      </c>
      <c r="H262" s="16" t="n">
        <v>-0.6148</v>
      </c>
      <c r="I262" s="16" t="n">
        <v>-0.7597</v>
      </c>
      <c r="J262" s="16" t="n">
        <v>-0.5649999999999999</v>
      </c>
      <c r="K262" s="16" t="n">
        <v>0.117</v>
      </c>
      <c r="L262" s="16" t="n">
        <v>0.01</v>
      </c>
      <c r="M262" s="9">
        <f>($C262-$B262)*100</f>
        <v/>
      </c>
      <c r="N262" s="9">
        <f>($D262-$C262)*100</f>
        <v/>
      </c>
      <c r="O262" s="9">
        <f>($F262-$E262)*100</f>
        <v/>
      </c>
      <c r="P262" s="9">
        <f>($J262-$I262)*100</f>
        <v/>
      </c>
    </row>
    <row r="263">
      <c r="A263" s="17" t="n">
        <v>44162</v>
      </c>
      <c r="B263" s="16" t="n">
        <v>-0.13</v>
      </c>
      <c r="C263" s="16" t="n">
        <v>0.035</v>
      </c>
      <c r="D263" s="16" t="n">
        <v>0.651</v>
      </c>
      <c r="E263" s="16" t="n">
        <v>0.16</v>
      </c>
      <c r="F263" s="16" t="n">
        <v>0.84</v>
      </c>
      <c r="G263" s="16" t="n">
        <v>1.61</v>
      </c>
      <c r="H263" s="16" t="n">
        <v>-0.6148</v>
      </c>
      <c r="I263" s="16" t="n">
        <v>-0.7618</v>
      </c>
      <c r="J263" s="16" t="n">
        <v>-0.5575</v>
      </c>
      <c r="K263" s="16" t="n">
        <v>0.11</v>
      </c>
      <c r="L263" s="16" t="n">
        <v>0.01</v>
      </c>
      <c r="M263" s="9">
        <f>($C263-$B263)*100</f>
        <v/>
      </c>
      <c r="N263" s="9">
        <f>($D263-$C263)*100</f>
        <v/>
      </c>
      <c r="O263" s="9">
        <f>($F263-$E263)*100</f>
        <v/>
      </c>
      <c r="P263" s="9">
        <f>($J263-$I263)*100</f>
        <v/>
      </c>
    </row>
    <row r="264">
      <c r="A264" s="17" t="n">
        <v>44169</v>
      </c>
      <c r="B264" s="16" t="n">
        <v>-0.131</v>
      </c>
      <c r="C264" s="16" t="n">
        <v>0.029</v>
      </c>
      <c r="D264" s="16" t="n">
        <v>0.651</v>
      </c>
      <c r="E264" s="16" t="n">
        <v>0.16</v>
      </c>
      <c r="F264" s="16" t="n">
        <v>0.97</v>
      </c>
      <c r="G264" s="16" t="n">
        <v>1.675</v>
      </c>
      <c r="H264" s="16" t="n">
        <v>-0.6185</v>
      </c>
      <c r="I264" s="16" t="n">
        <v>-0.7571</v>
      </c>
      <c r="J264" s="16" t="n">
        <v>-0.5296</v>
      </c>
      <c r="K264" s="16" t="n">
        <v>0.11</v>
      </c>
      <c r="L264" s="16" t="n">
        <v>0.01</v>
      </c>
      <c r="M264" s="9">
        <f>($C264-$B264)*100</f>
        <v/>
      </c>
      <c r="N264" s="9">
        <f>($D264-$C264)*100</f>
        <v/>
      </c>
      <c r="O264" s="9">
        <f>($F264-$E264)*100</f>
        <v/>
      </c>
      <c r="P264" s="9">
        <f>($J264-$I264)*100</f>
        <v/>
      </c>
    </row>
    <row r="265">
      <c r="A265" s="17" t="n">
        <v>44176</v>
      </c>
      <c r="B265" s="16" t="n">
        <v>-0.142</v>
      </c>
      <c r="C265" s="16" t="n">
        <v>0.022</v>
      </c>
      <c r="D265" s="16" t="n">
        <v>0.614</v>
      </c>
      <c r="E265" s="16" t="n">
        <v>0.11</v>
      </c>
      <c r="F265" s="16" t="n">
        <v>0.9</v>
      </c>
      <c r="G265" s="16" t="n">
        <v>1.675</v>
      </c>
      <c r="H265" s="16" t="n">
        <v>-0.6185</v>
      </c>
      <c r="I265" s="16" t="n">
        <v>-0.8058</v>
      </c>
      <c r="J265" s="16" t="n">
        <v>-0.6148</v>
      </c>
      <c r="K265" s="16" t="n">
        <v>0.136</v>
      </c>
      <c r="L265" s="16" t="n">
        <v>0.01</v>
      </c>
      <c r="M265" s="9">
        <f>($C265-$B265)*100</f>
        <v/>
      </c>
      <c r="N265" s="9">
        <f>($D265-$C265)*100</f>
        <v/>
      </c>
      <c r="O265" s="9">
        <f>($F265-$E265)*100</f>
        <v/>
      </c>
      <c r="P265" s="9">
        <f>($J265-$I265)*100</f>
        <v/>
      </c>
    </row>
    <row r="266">
      <c r="A266" s="17" t="n">
        <v>44183</v>
      </c>
      <c r="B266" s="16" t="n">
        <v>-0.139</v>
      </c>
      <c r="C266" s="16" t="n">
        <v>0.017</v>
      </c>
      <c r="D266" s="16" t="n">
        <v>0.624</v>
      </c>
      <c r="E266" s="16" t="n">
        <v>0.13</v>
      </c>
      <c r="F266" s="16" t="n">
        <v>0.95</v>
      </c>
      <c r="G266" s="16" t="n">
        <v>1.675</v>
      </c>
      <c r="H266" s="16" t="n">
        <v>-0.6185</v>
      </c>
      <c r="I266" s="16" t="n">
        <v>-0.7579</v>
      </c>
      <c r="J266" s="16" t="n">
        <v>-0.5622</v>
      </c>
      <c r="K266" s="16" t="n">
        <v>0.105</v>
      </c>
      <c r="L266" s="16" t="n">
        <v>0</v>
      </c>
      <c r="M266" s="9">
        <f>($C266-$B266)*100</f>
        <v/>
      </c>
      <c r="N266" s="9">
        <f>($D266-$C266)*100</f>
        <v/>
      </c>
      <c r="O266" s="9">
        <f>($F266-$E266)*100</f>
        <v/>
      </c>
      <c r="P266" s="9">
        <f>($J266-$I266)*100</f>
        <v/>
      </c>
    </row>
    <row r="267">
      <c r="A267" s="17" t="n">
        <v>44190</v>
      </c>
      <c r="B267" s="16" t="n">
        <v>-0.13</v>
      </c>
      <c r="C267" s="16" t="n">
        <v>0.027</v>
      </c>
      <c r="D267" s="16" t="n">
        <v>0.637</v>
      </c>
      <c r="E267" s="16" t="n">
        <v>0.13</v>
      </c>
      <c r="F267" s="16" t="n">
        <v>0.9399999999999999</v>
      </c>
      <c r="G267" s="16" t="n">
        <v>1.675</v>
      </c>
      <c r="H267" s="16" t="n">
        <v>-0.6185</v>
      </c>
      <c r="I267" s="16" t="n">
        <v>-0.7451</v>
      </c>
      <c r="J267" s="16" t="n">
        <v>-0.5325</v>
      </c>
      <c r="K267" s="16" t="n">
        <v>0.089</v>
      </c>
      <c r="L267" s="16" t="n">
        <v>0.02</v>
      </c>
      <c r="M267" s="9">
        <f>($C267-$B267)*100</f>
        <v/>
      </c>
      <c r="N267" s="9">
        <f>($D267-$C267)*100</f>
        <v/>
      </c>
      <c r="O267" s="9">
        <f>($F267-$E267)*100</f>
        <v/>
      </c>
      <c r="P267" s="9">
        <f>($J267-$I267)*100</f>
        <v/>
      </c>
    </row>
    <row r="268">
      <c r="A268" s="17" t="n">
        <v>44197</v>
      </c>
      <c r="B268" s="16" t="n">
        <v>-0.125</v>
      </c>
      <c r="C268" s="16" t="n">
        <v>0.035</v>
      </c>
      <c r="D268" s="16" t="n">
        <v>0.647</v>
      </c>
      <c r="E268" s="16" t="n">
        <v>0.13</v>
      </c>
      <c r="F268" s="16" t="n">
        <v>0.93</v>
      </c>
      <c r="G268" s="16" t="n">
        <v>1.731</v>
      </c>
      <c r="H268" s="16" t="n">
        <v>-0.5835</v>
      </c>
      <c r="I268" s="16" t="n">
        <v>-0.7669</v>
      </c>
      <c r="J268" s="16" t="n">
        <v>-0.57</v>
      </c>
      <c r="K268" s="16" t="n">
        <v>0.116</v>
      </c>
      <c r="L268" s="16" t="n">
        <v>0.05</v>
      </c>
      <c r="M268" s="9">
        <f>($C268-$B268)*100</f>
        <v/>
      </c>
      <c r="N268" s="9">
        <f>($D268-$C268)*100</f>
        <v/>
      </c>
      <c r="O268" s="9">
        <f>($F268-$E268)*100</f>
        <v/>
      </c>
      <c r="P268" s="9">
        <f>($J268-$I268)*100</f>
        <v/>
      </c>
    </row>
    <row r="269">
      <c r="A269" s="17" t="n">
        <v>44204</v>
      </c>
      <c r="B269" s="16" t="n">
        <v>-0.122</v>
      </c>
      <c r="C269" s="16" t="n">
        <v>0.038</v>
      </c>
      <c r="D269" s="16" t="n">
        <v>0.65</v>
      </c>
      <c r="E269" s="16" t="n">
        <v>0.14</v>
      </c>
      <c r="F269" s="16" t="n">
        <v>1.13</v>
      </c>
      <c r="G269" s="16" t="n">
        <v>1.731</v>
      </c>
      <c r="H269" s="16" t="n">
        <v>-0.5835</v>
      </c>
      <c r="I269" s="16" t="n">
        <v>-0.7456</v>
      </c>
      <c r="J269" s="16" t="n">
        <v>-0.5446</v>
      </c>
      <c r="K269" s="16" t="n">
        <v>0.11</v>
      </c>
      <c r="L269" s="16" t="n">
        <v>0.04</v>
      </c>
      <c r="M269" s="9">
        <f>($C269-$B269)*100</f>
        <v/>
      </c>
      <c r="N269" s="9">
        <f>($D269-$C269)*100</f>
        <v/>
      </c>
      <c r="O269" s="9">
        <f>($F269-$E269)*100</f>
        <v/>
      </c>
      <c r="P269" s="9">
        <f>($J269-$I269)*100</f>
        <v/>
      </c>
    </row>
    <row r="270">
      <c r="A270" s="17" t="n">
        <v>44211</v>
      </c>
      <c r="B270" s="16" t="n">
        <v>-0.129</v>
      </c>
      <c r="C270" s="16" t="n">
        <v>0.033</v>
      </c>
      <c r="D270" s="16" t="n">
        <v>0.65</v>
      </c>
      <c r="E270" s="16" t="n">
        <v>0.13</v>
      </c>
      <c r="F270" s="16" t="n">
        <v>1.11</v>
      </c>
      <c r="G270" s="16" t="n">
        <v>1.731</v>
      </c>
      <c r="H270" s="16" t="n">
        <v>-0.5835</v>
      </c>
      <c r="I270" s="16" t="n">
        <v>-0.7447</v>
      </c>
      <c r="J270" s="16" t="n">
        <v>-0.5439000000000001</v>
      </c>
      <c r="K270" s="16" t="n">
        <v>0.11</v>
      </c>
      <c r="L270" s="16" t="n">
        <v>0.05</v>
      </c>
      <c r="M270" s="9">
        <f>($C270-$B270)*100</f>
        <v/>
      </c>
      <c r="N270" s="9">
        <f>($D270-$C270)*100</f>
        <v/>
      </c>
      <c r="O270" s="9">
        <f>($F270-$E270)*100</f>
        <v/>
      </c>
      <c r="P270" s="9">
        <f>($J270-$I270)*100</f>
        <v/>
      </c>
    </row>
    <row r="271">
      <c r="A271" s="17" t="n">
        <v>44218</v>
      </c>
      <c r="B271" s="16" t="n">
        <v>-0.137</v>
      </c>
      <c r="C271" s="16" t="n">
        <v>0.04</v>
      </c>
      <c r="D271" s="16" t="n">
        <v>0.655</v>
      </c>
      <c r="E271" s="16" t="n">
        <v>0.13</v>
      </c>
      <c r="F271" s="16" t="n">
        <v>1.1</v>
      </c>
      <c r="G271" s="16" t="n">
        <v>1.731</v>
      </c>
      <c r="H271" s="16" t="n">
        <v>-0.5835</v>
      </c>
      <c r="I271" s="16" t="n">
        <v>-0.7322</v>
      </c>
      <c r="J271" s="16" t="n">
        <v>-0.5151</v>
      </c>
      <c r="K271" s="16" t="n">
        <v>0.11</v>
      </c>
      <c r="L271" s="16" t="n">
        <v>0.05</v>
      </c>
      <c r="M271" s="9">
        <f>($C271-$B271)*100</f>
        <v/>
      </c>
      <c r="N271" s="9">
        <f>($D271-$C271)*100</f>
        <v/>
      </c>
      <c r="O271" s="9">
        <f>($F271-$E271)*100</f>
        <v/>
      </c>
      <c r="P271" s="9">
        <f>($J271-$I271)*100</f>
        <v/>
      </c>
    </row>
    <row r="272">
      <c r="A272" s="17" t="n">
        <v>44225</v>
      </c>
      <c r="B272" s="16" t="n">
        <v>-0.129</v>
      </c>
      <c r="C272" s="16" t="n">
        <v>0.056</v>
      </c>
      <c r="D272" s="16" t="n">
        <v>0.66</v>
      </c>
      <c r="E272" s="16" t="n">
        <v>0.11</v>
      </c>
      <c r="F272" s="16" t="n">
        <v>1.11</v>
      </c>
      <c r="G272" s="16" t="n">
        <v>1.731</v>
      </c>
      <c r="H272" s="16" t="n">
        <v>-0.5835</v>
      </c>
      <c r="I272" s="16" t="n">
        <v>-0.7532</v>
      </c>
      <c r="J272" s="16" t="n">
        <v>-0.5123</v>
      </c>
      <c r="K272" s="16" t="n">
        <v>0.132</v>
      </c>
      <c r="L272" s="16" t="n">
        <v>0.07000000000000001</v>
      </c>
      <c r="M272" s="9">
        <f>($C272-$B272)*100</f>
        <v/>
      </c>
      <c r="N272" s="9">
        <f>($D272-$C272)*100</f>
        <v/>
      </c>
      <c r="O272" s="9">
        <f>($F272-$E272)*100</f>
        <v/>
      </c>
      <c r="P272" s="9">
        <f>($J272-$I272)*100</f>
        <v/>
      </c>
    </row>
    <row r="273">
      <c r="A273" s="17" t="n">
        <v>44232</v>
      </c>
      <c r="B273" s="16" t="n">
        <v>-0.131</v>
      </c>
      <c r="C273" s="16" t="n">
        <v>0.061</v>
      </c>
      <c r="D273" s="16" t="n">
        <v>0.656</v>
      </c>
      <c r="E273" s="16" t="n">
        <v>0.09</v>
      </c>
      <c r="F273" s="16" t="n">
        <v>1.19</v>
      </c>
      <c r="G273" s="16" t="n">
        <v>1.845</v>
      </c>
      <c r="H273" s="16" t="n">
        <v>-0.4455</v>
      </c>
      <c r="I273" s="16" t="n">
        <v>-0.7258</v>
      </c>
      <c r="J273" s="16" t="n">
        <v>-0.4547</v>
      </c>
      <c r="K273" s="16" t="n">
        <v>0.121</v>
      </c>
      <c r="L273" s="16" t="n">
        <v>0.06</v>
      </c>
      <c r="M273" s="9">
        <f>($C273-$B273)*100</f>
        <v/>
      </c>
      <c r="N273" s="9">
        <f>($D273-$C273)*100</f>
        <v/>
      </c>
      <c r="O273" s="9">
        <f>($F273-$E273)*100</f>
        <v/>
      </c>
      <c r="P273" s="9">
        <f>($J273-$I273)*100</f>
        <v/>
      </c>
    </row>
    <row r="274">
      <c r="A274" s="17" t="n">
        <v>44239</v>
      </c>
      <c r="B274" s="16" t="n">
        <v>-0.133</v>
      </c>
      <c r="C274" s="16" t="n">
        <v>0.067</v>
      </c>
      <c r="D274" s="16" t="n">
        <v>0.67</v>
      </c>
      <c r="E274" s="16" t="n">
        <v>0.11</v>
      </c>
      <c r="F274" s="16" t="n">
        <v>1.2</v>
      </c>
      <c r="G274" s="16" t="n">
        <v>1.845</v>
      </c>
      <c r="H274" s="16" t="n">
        <v>-0.4455</v>
      </c>
      <c r="I274" s="16" t="n">
        <v>-0.7272</v>
      </c>
      <c r="J274" s="16" t="n">
        <v>-0.4164</v>
      </c>
      <c r="K274" s="16" t="n">
        <v>0.127</v>
      </c>
      <c r="L274" s="16" t="n">
        <v>0.05</v>
      </c>
      <c r="M274" s="9">
        <f>($C274-$B274)*100</f>
        <v/>
      </c>
      <c r="N274" s="9">
        <f>($D274-$C274)*100</f>
        <v/>
      </c>
      <c r="O274" s="9">
        <f>($F274-$E274)*100</f>
        <v/>
      </c>
      <c r="P274" s="9">
        <f>($J274-$I274)*100</f>
        <v/>
      </c>
    </row>
    <row r="275">
      <c r="A275" s="17" t="n">
        <v>44246</v>
      </c>
      <c r="B275" s="16" t="n">
        <v>-0.12</v>
      </c>
      <c r="C275" s="16" t="n">
        <v>0.108</v>
      </c>
      <c r="D275" s="16" t="n">
        <v>0.68</v>
      </c>
      <c r="E275" s="16" t="n">
        <v>0.11</v>
      </c>
      <c r="F275" s="16" t="n">
        <v>1.34</v>
      </c>
      <c r="G275" s="16" t="n">
        <v>1.845</v>
      </c>
      <c r="H275" s="16" t="n">
        <v>-0.4455</v>
      </c>
      <c r="I275" s="16" t="n">
        <v>-0.6998</v>
      </c>
      <c r="J275" s="16" t="n">
        <v>-0.3015</v>
      </c>
      <c r="K275" s="16" t="n">
        <v>0.11</v>
      </c>
      <c r="L275" s="16" t="n">
        <v>0.05</v>
      </c>
      <c r="M275" s="9">
        <f>($C275-$B275)*100</f>
        <v/>
      </c>
      <c r="N275" s="9">
        <f>($D275-$C275)*100</f>
        <v/>
      </c>
      <c r="O275" s="9">
        <f>($F275-$E275)*100</f>
        <v/>
      </c>
      <c r="P275" s="9">
        <f>($J275-$I275)*100</f>
        <v/>
      </c>
    </row>
    <row r="276">
      <c r="A276" s="17" t="n">
        <v>44253</v>
      </c>
      <c r="B276" s="16" t="n">
        <v>-0.114</v>
      </c>
      <c r="C276" s="16" t="n">
        <v>0.168</v>
      </c>
      <c r="D276" s="16" t="n">
        <v>0.751</v>
      </c>
      <c r="E276" s="16" t="n">
        <v>0.14</v>
      </c>
      <c r="F276" s="16" t="n">
        <v>1.44</v>
      </c>
      <c r="G276" s="16" t="n">
        <v>1.845</v>
      </c>
      <c r="H276" s="16" t="n">
        <v>-0.4455</v>
      </c>
      <c r="I276" s="16" t="n">
        <v>-0.6667</v>
      </c>
      <c r="J276" s="16" t="n">
        <v>-0.2457</v>
      </c>
      <c r="K276" s="16" t="n">
        <v>0.14</v>
      </c>
      <c r="L276" s="16" t="n">
        <v>0.04</v>
      </c>
      <c r="M276" s="9">
        <f>($C276-$B276)*100</f>
        <v/>
      </c>
      <c r="N276" s="9">
        <f>($D276-$C276)*100</f>
        <v/>
      </c>
      <c r="O276" s="9">
        <f>($F276-$E276)*100</f>
        <v/>
      </c>
      <c r="P276" s="9">
        <f>($J276-$I276)*100</f>
        <v/>
      </c>
    </row>
    <row r="277">
      <c r="A277" s="17" t="n">
        <v>44260</v>
      </c>
      <c r="B277" s="16" t="n">
        <v>-0.131</v>
      </c>
      <c r="C277" s="16" t="n">
        <v>0.095</v>
      </c>
      <c r="D277" s="16" t="n">
        <v>0.673</v>
      </c>
      <c r="E277" s="16" t="n">
        <v>0.14</v>
      </c>
      <c r="F277" s="16" t="n">
        <v>1.56</v>
      </c>
      <c r="G277" s="16" t="n">
        <v>2.04</v>
      </c>
      <c r="H277" s="16" t="n">
        <v>-0.3648</v>
      </c>
      <c r="I277" s="16" t="n">
        <v>-0.6999</v>
      </c>
      <c r="J277" s="16" t="n">
        <v>-0.2838</v>
      </c>
      <c r="K277" s="16" t="n">
        <v>0.14</v>
      </c>
      <c r="L277" s="16" t="n">
        <v>0.03</v>
      </c>
      <c r="M277" s="9">
        <f>($C277-$B277)*100</f>
        <v/>
      </c>
      <c r="N277" s="9">
        <f>($D277-$C277)*100</f>
        <v/>
      </c>
      <c r="O277" s="9">
        <f>($F277-$E277)*100</f>
        <v/>
      </c>
      <c r="P277" s="9">
        <f>($J277-$I277)*100</f>
        <v/>
      </c>
    </row>
    <row r="278">
      <c r="A278" s="17" t="n">
        <v>44267</v>
      </c>
      <c r="B278" s="16" t="n">
        <v>-0.128</v>
      </c>
      <c r="C278" s="16" t="n">
        <v>0.121</v>
      </c>
      <c r="D278" s="16" t="n">
        <v>0.669</v>
      </c>
      <c r="E278" s="16" t="n">
        <v>0.14</v>
      </c>
      <c r="F278" s="16" t="n">
        <v>1.64</v>
      </c>
      <c r="G278" s="16" t="n">
        <v>2.04</v>
      </c>
      <c r="H278" s="16" t="n">
        <v>-0.3648</v>
      </c>
      <c r="I278" s="16" t="n">
        <v>-0.6988</v>
      </c>
      <c r="J278" s="16" t="n">
        <v>-0.2822</v>
      </c>
      <c r="K278" s="16" t="n">
        <v>0.155</v>
      </c>
      <c r="L278" s="16" t="n">
        <v>0.04</v>
      </c>
      <c r="M278" s="9">
        <f>($C278-$B278)*100</f>
        <v/>
      </c>
      <c r="N278" s="9">
        <f>($D278-$C278)*100</f>
        <v/>
      </c>
      <c r="O278" s="9">
        <f>($F278-$E278)*100</f>
        <v/>
      </c>
      <c r="P278" s="9">
        <f>($J278-$I278)*100</f>
        <v/>
      </c>
    </row>
    <row r="279">
      <c r="A279" s="17" t="n">
        <v>44274</v>
      </c>
      <c r="B279" s="16" t="n">
        <v>-0.136</v>
      </c>
      <c r="C279" s="16" t="n">
        <v>0.123</v>
      </c>
      <c r="D279" s="16" t="n">
        <v>0.674</v>
      </c>
      <c r="E279" s="16" t="n">
        <v>0.16</v>
      </c>
      <c r="F279" s="16" t="n">
        <v>1.74</v>
      </c>
      <c r="G279" s="16" t="n">
        <v>2.04</v>
      </c>
      <c r="H279" s="16" t="n">
        <v>-0.3648</v>
      </c>
      <c r="I279" s="16" t="n">
        <v>-0.7192</v>
      </c>
      <c r="J279" s="16" t="n">
        <v>-0.2743</v>
      </c>
      <c r="K279" s="16" t="n">
        <v>0.129</v>
      </c>
      <c r="L279" s="16" t="n">
        <v>0.03</v>
      </c>
      <c r="M279" s="9">
        <f>($C279-$B279)*100</f>
        <v/>
      </c>
      <c r="N279" s="9">
        <f>($D279-$C279)*100</f>
        <v/>
      </c>
      <c r="O279" s="9">
        <f>($F279-$E279)*100</f>
        <v/>
      </c>
      <c r="P279" s="9">
        <f>($J279-$I279)*100</f>
        <v/>
      </c>
    </row>
    <row r="280">
      <c r="A280" s="17" t="n">
        <v>44281</v>
      </c>
      <c r="B280" s="16" t="n">
        <v>-0.138</v>
      </c>
      <c r="C280" s="16" t="n">
        <v>0.08799999999999999</v>
      </c>
      <c r="D280" s="16" t="n">
        <v>0.656</v>
      </c>
      <c r="E280" s="16" t="n">
        <v>0.14</v>
      </c>
      <c r="F280" s="16" t="n">
        <v>1.67</v>
      </c>
      <c r="G280" s="16" t="n">
        <v>2.04</v>
      </c>
      <c r="H280" s="16" t="n">
        <v>-0.3648</v>
      </c>
      <c r="I280" s="16" t="n">
        <v>-0.7446</v>
      </c>
      <c r="J280" s="16" t="n">
        <v>-0.331</v>
      </c>
      <c r="K280" s="16" t="n">
        <v>0.118</v>
      </c>
      <c r="L280" s="16" t="n">
        <v>0.02</v>
      </c>
      <c r="M280" s="9">
        <f>($C280-$B280)*100</f>
        <v/>
      </c>
      <c r="N280" s="9">
        <f>($D280-$C280)*100</f>
        <v/>
      </c>
      <c r="O280" s="9">
        <f>($F280-$E280)*100</f>
        <v/>
      </c>
      <c r="P280" s="9">
        <f>($J280-$I280)*100</f>
        <v/>
      </c>
    </row>
    <row r="281">
      <c r="A281" s="17" t="n">
        <v>44288</v>
      </c>
      <c r="B281" s="16" t="n">
        <v>-0.125</v>
      </c>
      <c r="C281" s="16" t="n">
        <v>0.117</v>
      </c>
      <c r="D281" s="16" t="n">
        <v>0.697</v>
      </c>
      <c r="E281" s="16" t="n">
        <v>0.19</v>
      </c>
      <c r="F281" s="16" t="n">
        <v>1.72</v>
      </c>
      <c r="G281" s="16" t="n">
        <v>2.041</v>
      </c>
      <c r="H281" s="16" t="n">
        <v>-0.325</v>
      </c>
      <c r="I281" s="16" t="n">
        <v>-0.7351</v>
      </c>
      <c r="J281" s="16" t="n">
        <v>-0.3048</v>
      </c>
      <c r="K281" s="16" t="n">
        <v>0.134</v>
      </c>
      <c r="L281" s="16" t="n">
        <v>0.02</v>
      </c>
      <c r="M281" s="9">
        <f>($C281-$B281)*100</f>
        <v/>
      </c>
      <c r="N281" s="9">
        <f>($D281-$C281)*100</f>
        <v/>
      </c>
      <c r="O281" s="9">
        <f>($F281-$E281)*100</f>
        <v/>
      </c>
      <c r="P281" s="9">
        <f>($J281-$I281)*100</f>
        <v/>
      </c>
    </row>
    <row r="282">
      <c r="A282" s="17" t="n">
        <v>44295</v>
      </c>
      <c r="B282" s="16" t="n">
        <v>-0.126</v>
      </c>
      <c r="C282" s="16" t="n">
        <v>0.102</v>
      </c>
      <c r="D282" s="16" t="n">
        <v>0.678</v>
      </c>
      <c r="E282" s="16" t="n">
        <v>0.16</v>
      </c>
      <c r="F282" s="16" t="n">
        <v>1.67</v>
      </c>
      <c r="G282" s="16" t="n">
        <v>2.041</v>
      </c>
      <c r="H282" s="16" t="n">
        <v>-0.325</v>
      </c>
      <c r="I282" s="16" t="n">
        <v>-0.723</v>
      </c>
      <c r="J282" s="16" t="n">
        <v>-0.2692</v>
      </c>
      <c r="K282" s="16" t="n">
        <v>0.128</v>
      </c>
      <c r="L282" s="16" t="n">
        <v>0.03</v>
      </c>
      <c r="M282" s="9">
        <f>($C282-$B282)*100</f>
        <v/>
      </c>
      <c r="N282" s="9">
        <f>($D282-$C282)*100</f>
        <v/>
      </c>
      <c r="O282" s="9">
        <f>($F282-$E282)*100</f>
        <v/>
      </c>
      <c r="P282" s="9">
        <f>($J282-$I282)*100</f>
        <v/>
      </c>
    </row>
    <row r="283">
      <c r="A283" s="17" t="n">
        <v>44302</v>
      </c>
      <c r="B283" s="16" t="n">
        <v>-0.133</v>
      </c>
      <c r="C283" s="16" t="n">
        <v>0.089</v>
      </c>
      <c r="D283" s="16" t="n">
        <v>0.655</v>
      </c>
      <c r="E283" s="16" t="n">
        <v>0.16</v>
      </c>
      <c r="F283" s="16" t="n">
        <v>1.59</v>
      </c>
      <c r="G283" s="16" t="n">
        <v>2.041</v>
      </c>
      <c r="H283" s="16" t="n">
        <v>-0.325</v>
      </c>
      <c r="I283" s="16" t="n">
        <v>-0.7244</v>
      </c>
      <c r="J283" s="16" t="n">
        <v>-0.2313</v>
      </c>
      <c r="K283" s="16" t="n">
        <v>0.101</v>
      </c>
      <c r="L283" s="16" t="n">
        <v>0.02</v>
      </c>
      <c r="M283" s="9">
        <f>($C283-$B283)*100</f>
        <v/>
      </c>
      <c r="N283" s="9">
        <f>($D283-$C283)*100</f>
        <v/>
      </c>
      <c r="O283" s="9">
        <f>($F283-$E283)*100</f>
        <v/>
      </c>
      <c r="P283" s="9">
        <f>($J283-$I283)*100</f>
        <v/>
      </c>
    </row>
    <row r="284">
      <c r="A284" s="17" t="n">
        <v>44309</v>
      </c>
      <c r="B284" s="16" t="n">
        <v>-0.135</v>
      </c>
      <c r="C284" s="16" t="n">
        <v>0.07000000000000001</v>
      </c>
      <c r="D284" s="16" t="n">
        <v>0.641</v>
      </c>
      <c r="E284" s="16" t="n">
        <v>0.16</v>
      </c>
      <c r="F284" s="16" t="n">
        <v>1.58</v>
      </c>
      <c r="G284" s="16" t="n">
        <v>2.041</v>
      </c>
      <c r="H284" s="16" t="n">
        <v>-0.325</v>
      </c>
      <c r="I284" s="16" t="n">
        <v>-0.7161999999999999</v>
      </c>
      <c r="J284" s="16" t="n">
        <v>-0.2351</v>
      </c>
      <c r="K284" s="16" t="n">
        <v>0.106</v>
      </c>
      <c r="L284" s="16" t="n">
        <v>0.02</v>
      </c>
      <c r="M284" s="9">
        <f>($C284-$B284)*100</f>
        <v/>
      </c>
      <c r="N284" s="9">
        <f>($D284-$C284)*100</f>
        <v/>
      </c>
      <c r="O284" s="9">
        <f>($F284-$E284)*100</f>
        <v/>
      </c>
      <c r="P284" s="9">
        <f>($J284-$I284)*100</f>
        <v/>
      </c>
    </row>
    <row r="285">
      <c r="A285" s="17" t="n">
        <v>44316</v>
      </c>
      <c r="B285" s="16" t="n">
        <v>-0.13</v>
      </c>
      <c r="C285" s="16" t="n">
        <v>0.095</v>
      </c>
      <c r="D285" s="16" t="n">
        <v>0.66</v>
      </c>
      <c r="E285" s="16" t="n">
        <v>0.16</v>
      </c>
      <c r="F285" s="16" t="n">
        <v>1.65</v>
      </c>
      <c r="G285" s="16" t="n">
        <v>2.041</v>
      </c>
      <c r="H285" s="16" t="n">
        <v>-0.325</v>
      </c>
      <c r="I285" s="16" t="n">
        <v>-0.7047</v>
      </c>
      <c r="J285" s="16" t="n">
        <v>-0.18</v>
      </c>
      <c r="K285" s="16" t="n">
        <v>0.111</v>
      </c>
      <c r="L285" s="16" t="n">
        <v>0.01</v>
      </c>
      <c r="M285" s="9">
        <f>($C285-$B285)*100</f>
        <v/>
      </c>
      <c r="N285" s="9">
        <f>($D285-$C285)*100</f>
        <v/>
      </c>
      <c r="O285" s="9">
        <f>($F285-$E285)*100</f>
        <v/>
      </c>
      <c r="P285" s="9">
        <f>($J285-$I285)*100</f>
        <v/>
      </c>
    </row>
    <row r="286">
      <c r="A286" s="17" t="n">
        <v>44323</v>
      </c>
      <c r="B286" s="16" t="n">
        <v>-0.131</v>
      </c>
      <c r="C286" s="16" t="n">
        <v>0.08599999999999999</v>
      </c>
      <c r="D286" s="16" t="n">
        <v>0.655</v>
      </c>
      <c r="E286" s="16" t="n">
        <v>0.14</v>
      </c>
      <c r="F286" s="16" t="n">
        <v>1.6</v>
      </c>
      <c r="G286" s="16" t="n">
        <v>2.131</v>
      </c>
      <c r="H286" s="16" t="n">
        <v>-0.2235</v>
      </c>
      <c r="I286" s="16" t="n">
        <v>-0.7125</v>
      </c>
      <c r="J286" s="16" t="n">
        <v>-0.1947</v>
      </c>
      <c r="K286" s="16" t="n">
        <v>0.099</v>
      </c>
      <c r="L286" s="16" t="n">
        <v>0.03</v>
      </c>
      <c r="M286" s="9">
        <f>($C286-$B286)*100</f>
        <v/>
      </c>
      <c r="N286" s="9">
        <f>($D286-$C286)*100</f>
        <v/>
      </c>
      <c r="O286" s="9">
        <f>($F286-$E286)*100</f>
        <v/>
      </c>
      <c r="P286" s="9">
        <f>($J286-$I286)*100</f>
        <v/>
      </c>
    </row>
    <row r="287">
      <c r="A287" s="17" t="n">
        <v>44330</v>
      </c>
      <c r="B287" s="16" t="n">
        <v>-0.128</v>
      </c>
      <c r="C287" s="16" t="n">
        <v>0.08699999999999999</v>
      </c>
      <c r="D287" s="16" t="n">
        <v>0.655</v>
      </c>
      <c r="E287" s="16" t="n">
        <v>0.16</v>
      </c>
      <c r="F287" s="16" t="n">
        <v>1.63</v>
      </c>
      <c r="G287" s="16" t="n">
        <v>2.131</v>
      </c>
      <c r="H287" s="16" t="n">
        <v>-0.2235</v>
      </c>
      <c r="I287" s="16" t="n">
        <v>-0.6755</v>
      </c>
      <c r="J287" s="16" t="n">
        <v>-0.0956</v>
      </c>
      <c r="K287" s="16" t="n">
        <v>0.104</v>
      </c>
      <c r="L287" s="16" t="n">
        <v>0.02</v>
      </c>
      <c r="M287" s="9">
        <f>($C287-$B287)*100</f>
        <v/>
      </c>
      <c r="N287" s="9">
        <f>($D287-$C287)*100</f>
        <v/>
      </c>
      <c r="O287" s="9">
        <f>($F287-$E287)*100</f>
        <v/>
      </c>
      <c r="P287" s="9">
        <f>($J287-$I287)*100</f>
        <v/>
      </c>
    </row>
    <row r="288">
      <c r="A288" s="17" t="n">
        <v>44337</v>
      </c>
      <c r="B288" s="16" t="n">
        <v>-0.129</v>
      </c>
      <c r="C288" s="16" t="n">
        <v>0.08599999999999999</v>
      </c>
      <c r="D288" s="16" t="n">
        <v>0.678</v>
      </c>
      <c r="E288" s="16" t="n">
        <v>0.17</v>
      </c>
      <c r="F288" s="16" t="n">
        <v>1.63</v>
      </c>
      <c r="G288" s="16" t="n">
        <v>2.131</v>
      </c>
      <c r="H288" s="16" t="n">
        <v>-0.2235</v>
      </c>
      <c r="I288" s="16" t="n">
        <v>-0.6813</v>
      </c>
      <c r="J288" s="16" t="n">
        <v>-0.1018</v>
      </c>
      <c r="K288" s="16" t="n">
        <v>0.098</v>
      </c>
      <c r="L288" s="16" t="n">
        <v>0.02</v>
      </c>
      <c r="M288" s="9">
        <f>($C288-$B288)*100</f>
        <v/>
      </c>
      <c r="N288" s="9">
        <f>($D288-$C288)*100</f>
        <v/>
      </c>
      <c r="O288" s="9">
        <f>($F288-$E288)*100</f>
        <v/>
      </c>
      <c r="P288" s="9">
        <f>($J288-$I288)*100</f>
        <v/>
      </c>
    </row>
    <row r="289">
      <c r="A289" s="17" t="n">
        <v>44344</v>
      </c>
      <c r="B289" s="16" t="n">
        <v>-0.136</v>
      </c>
      <c r="C289" s="16" t="n">
        <v>0.089</v>
      </c>
      <c r="D289" s="16" t="n">
        <v>0.675</v>
      </c>
      <c r="E289" s="16" t="n">
        <v>0.14</v>
      </c>
      <c r="F289" s="16" t="n">
        <v>1.58</v>
      </c>
      <c r="G289" s="16" t="n">
        <v>2.131</v>
      </c>
      <c r="H289" s="16" t="n">
        <v>-0.2235</v>
      </c>
      <c r="I289" s="16" t="n">
        <v>-0.6985</v>
      </c>
      <c r="J289" s="16" t="n">
        <v>-0.1542</v>
      </c>
      <c r="K289" s="16" t="n">
        <v>0.079</v>
      </c>
      <c r="L289" s="16" t="n">
        <v>0.02</v>
      </c>
      <c r="M289" s="9">
        <f>($C289-$B289)*100</f>
        <v/>
      </c>
      <c r="N289" s="9">
        <f>($D289-$C289)*100</f>
        <v/>
      </c>
      <c r="O289" s="9">
        <f>($F289-$E289)*100</f>
        <v/>
      </c>
      <c r="P289" s="9">
        <f>($J289-$I289)*100</f>
        <v/>
      </c>
    </row>
    <row r="290">
      <c r="A290" s="17" t="n">
        <v>44351</v>
      </c>
      <c r="B290" s="16" t="n">
        <v>-0.12</v>
      </c>
      <c r="C290" s="16" t="n">
        <v>0.092</v>
      </c>
      <c r="D290" s="16" t="n">
        <v>0.6919999999999999</v>
      </c>
      <c r="E290" s="16" t="n">
        <v>0.14</v>
      </c>
      <c r="F290" s="16" t="n">
        <v>1.56</v>
      </c>
      <c r="G290" s="16" t="n">
        <v>2.103</v>
      </c>
      <c r="H290" s="16" t="n">
        <v>-0.2886</v>
      </c>
      <c r="I290" s="16" t="n">
        <v>-0.7122000000000001</v>
      </c>
      <c r="J290" s="16" t="n">
        <v>-0.186</v>
      </c>
      <c r="K290" s="16" t="n">
        <v>0.094</v>
      </c>
      <c r="L290" s="16" t="n">
        <v>0.02</v>
      </c>
      <c r="M290" s="9">
        <f>($C290-$B290)*100</f>
        <v/>
      </c>
      <c r="N290" s="9">
        <f>($D290-$C290)*100</f>
        <v/>
      </c>
      <c r="O290" s="9">
        <f>($F290-$E290)*100</f>
        <v/>
      </c>
      <c r="P290" s="9">
        <f>($J290-$I290)*100</f>
        <v/>
      </c>
    </row>
    <row r="291">
      <c r="A291" s="17" t="n">
        <v>44358</v>
      </c>
      <c r="B291" s="16" t="n">
        <v>-0.126</v>
      </c>
      <c r="C291" s="16" t="n">
        <v>0.04</v>
      </c>
      <c r="D291" s="16" t="n">
        <v>0.661</v>
      </c>
      <c r="E291" s="16" t="n">
        <v>0.16</v>
      </c>
      <c r="F291" s="16" t="n">
        <v>1.47</v>
      </c>
      <c r="G291" s="16" t="n">
        <v>2.103</v>
      </c>
      <c r="H291" s="16" t="n">
        <v>-0.2886</v>
      </c>
      <c r="I291" s="16" t="n">
        <v>-0.7254</v>
      </c>
      <c r="J291" s="16" t="n">
        <v>-0.2545</v>
      </c>
      <c r="K291" s="16" t="n">
        <v>0.089</v>
      </c>
      <c r="L291" s="16" t="n">
        <v>0.02</v>
      </c>
      <c r="M291" s="9">
        <f>($C291-$B291)*100</f>
        <v/>
      </c>
      <c r="N291" s="9">
        <f>($D291-$C291)*100</f>
        <v/>
      </c>
      <c r="O291" s="9">
        <f>($F291-$E291)*100</f>
        <v/>
      </c>
      <c r="P291" s="9">
        <f>($J291-$I291)*100</f>
        <v/>
      </c>
    </row>
    <row r="292">
      <c r="A292" s="17" t="n">
        <v>44365</v>
      </c>
      <c r="B292" s="16" t="n">
        <v>-0.123</v>
      </c>
      <c r="C292" s="16" t="n">
        <v>0.066</v>
      </c>
      <c r="D292" s="16" t="n">
        <v>0.677</v>
      </c>
      <c r="E292" s="16" t="n">
        <v>0.26</v>
      </c>
      <c r="F292" s="16" t="n">
        <v>1.45</v>
      </c>
      <c r="G292" s="16" t="n">
        <v>2.103</v>
      </c>
      <c r="H292" s="16" t="n">
        <v>-0.2886</v>
      </c>
      <c r="I292" s="16" t="n">
        <v>-0.704</v>
      </c>
      <c r="J292" s="16" t="n">
        <v>-0.203</v>
      </c>
      <c r="K292" s="16" t="n">
        <v>0.124</v>
      </c>
      <c r="L292" s="16" t="n">
        <v>0.01</v>
      </c>
      <c r="M292" s="9">
        <f>($C292-$B292)*100</f>
        <v/>
      </c>
      <c r="N292" s="9">
        <f>($D292-$C292)*100</f>
        <v/>
      </c>
      <c r="O292" s="9">
        <f>($F292-$E292)*100</f>
        <v/>
      </c>
      <c r="P292" s="9">
        <f>($J292-$I292)*100</f>
        <v/>
      </c>
    </row>
    <row r="293">
      <c r="A293" s="17" t="n">
        <v>44372</v>
      </c>
      <c r="B293" s="16" t="n">
        <v>-0.116</v>
      </c>
      <c r="C293" s="16" t="n">
        <v>0.059</v>
      </c>
      <c r="D293" s="16" t="n">
        <v>0.6820000000000001</v>
      </c>
      <c r="E293" s="16" t="n">
        <v>0.28</v>
      </c>
      <c r="F293" s="16" t="n">
        <v>1.54</v>
      </c>
      <c r="G293" s="16" t="n">
        <v>2.103</v>
      </c>
      <c r="H293" s="16" t="n">
        <v>-0.2886</v>
      </c>
      <c r="I293" s="16" t="n">
        <v>-0.6904</v>
      </c>
      <c r="J293" s="16" t="n">
        <v>-0.1715</v>
      </c>
      <c r="K293" s="16" t="n">
        <v>0.15</v>
      </c>
      <c r="L293" s="16" t="n">
        <v>0.01</v>
      </c>
      <c r="M293" s="9">
        <f>($C293-$B293)*100</f>
        <v/>
      </c>
      <c r="N293" s="9">
        <f>($D293-$C293)*100</f>
        <v/>
      </c>
      <c r="O293" s="9">
        <f>($F293-$E293)*100</f>
        <v/>
      </c>
      <c r="P293" s="9">
        <f>($J293-$I293)*100</f>
        <v/>
      </c>
    </row>
    <row r="294">
      <c r="A294" s="17" t="n">
        <v>44379</v>
      </c>
      <c r="B294" s="16" t="n">
        <v>-0.12</v>
      </c>
      <c r="C294" s="16" t="n">
        <v>0.042</v>
      </c>
      <c r="D294" s="16" t="n">
        <v>0.672</v>
      </c>
      <c r="E294" s="16" t="n">
        <v>0.24</v>
      </c>
      <c r="F294" s="16" t="n">
        <v>1.44</v>
      </c>
      <c r="G294" s="16" t="n">
        <v>1.976</v>
      </c>
      <c r="H294" s="16" t="n">
        <v>-0.4514</v>
      </c>
      <c r="I294" s="16" t="n">
        <v>-0.7119</v>
      </c>
      <c r="J294" s="16" t="n">
        <v>-0.2373</v>
      </c>
      <c r="K294" s="16" t="n">
        <v>0.14</v>
      </c>
      <c r="L294" s="16" t="n">
        <v>0.01</v>
      </c>
      <c r="M294" s="9">
        <f>($C294-$B294)*100</f>
        <v/>
      </c>
      <c r="N294" s="9">
        <f>($D294-$C294)*100</f>
        <v/>
      </c>
      <c r="O294" s="9">
        <f>($F294-$E294)*100</f>
        <v/>
      </c>
      <c r="P294" s="9">
        <f>($J294-$I294)*100</f>
        <v/>
      </c>
    </row>
    <row r="295">
      <c r="A295" s="17" t="n">
        <v>44386</v>
      </c>
      <c r="B295" s="16" t="n">
        <v>-0.117</v>
      </c>
      <c r="C295" s="16" t="n">
        <v>0.029</v>
      </c>
      <c r="D295" s="16" t="n">
        <v>0.669</v>
      </c>
      <c r="E295" s="16" t="n">
        <v>0.23</v>
      </c>
      <c r="F295" s="16" t="n">
        <v>1.37</v>
      </c>
      <c r="G295" s="16" t="n">
        <v>1.976</v>
      </c>
      <c r="H295" s="16" t="n">
        <v>-0.4514</v>
      </c>
      <c r="I295" s="16" t="n">
        <v>-0.7218</v>
      </c>
      <c r="J295" s="16" t="n">
        <v>-0.2979</v>
      </c>
      <c r="K295" s="16" t="n">
        <v>0.065</v>
      </c>
      <c r="L295" s="16" t="n">
        <v>0.01</v>
      </c>
      <c r="M295" s="9">
        <f>($C295-$B295)*100</f>
        <v/>
      </c>
      <c r="N295" s="9">
        <f>($D295-$C295)*100</f>
        <v/>
      </c>
      <c r="O295" s="9">
        <f>($F295-$E295)*100</f>
        <v/>
      </c>
      <c r="P295" s="9">
        <f>($J295-$I295)*100</f>
        <v/>
      </c>
    </row>
    <row r="296">
      <c r="A296" s="17" t="n">
        <v>44393</v>
      </c>
      <c r="B296" s="16" t="n">
        <v>-0.128</v>
      </c>
      <c r="C296" s="16" t="n">
        <v>0.019</v>
      </c>
      <c r="D296" s="16" t="n">
        <v>0.646</v>
      </c>
      <c r="E296" s="16" t="n">
        <v>0.25</v>
      </c>
      <c r="F296" s="16" t="n">
        <v>1.31</v>
      </c>
      <c r="G296" s="16" t="n">
        <v>1.976</v>
      </c>
      <c r="H296" s="16" t="n">
        <v>-0.4514</v>
      </c>
      <c r="I296" s="16" t="n">
        <v>-0.737</v>
      </c>
      <c r="J296" s="16" t="n">
        <v>-0.3514</v>
      </c>
      <c r="K296" s="16" t="n">
        <v>0.048</v>
      </c>
      <c r="L296" s="16" t="n">
        <v>0</v>
      </c>
      <c r="M296" s="9">
        <f>($C296-$B296)*100</f>
        <v/>
      </c>
      <c r="N296" s="9">
        <f>($D296-$C296)*100</f>
        <v/>
      </c>
      <c r="O296" s="9">
        <f>($F296-$E296)*100</f>
        <v/>
      </c>
      <c r="P296" s="9">
        <f>($J296-$I296)*100</f>
        <v/>
      </c>
    </row>
    <row r="297">
      <c r="A297" s="17" t="n">
        <v>44400</v>
      </c>
      <c r="B297" s="16" t="n">
        <v>-0.134</v>
      </c>
      <c r="C297" s="16" t="n">
        <v>0.015</v>
      </c>
      <c r="D297" s="16" t="n">
        <v>0.661</v>
      </c>
      <c r="E297" s="16" t="n">
        <v>0.22</v>
      </c>
      <c r="F297" s="16" t="n">
        <v>1.3</v>
      </c>
      <c r="G297" s="16" t="n">
        <v>1.976</v>
      </c>
      <c r="H297" s="16" t="n">
        <v>-0.4514</v>
      </c>
      <c r="I297" s="16" t="n">
        <v>-0.7748</v>
      </c>
      <c r="J297" s="16" t="n">
        <v>-0.4161</v>
      </c>
      <c r="K297" s="16" t="n">
        <v>0.047</v>
      </c>
      <c r="L297" s="16" t="n">
        <v>0.01</v>
      </c>
      <c r="M297" s="9">
        <f>($C297-$B297)*100</f>
        <v/>
      </c>
      <c r="N297" s="9">
        <f>($D297-$C297)*100</f>
        <v/>
      </c>
      <c r="O297" s="9">
        <f>($F297-$E297)*100</f>
        <v/>
      </c>
      <c r="P297" s="9">
        <f>($J297-$I297)*100</f>
        <v/>
      </c>
    </row>
    <row r="298">
      <c r="A298" s="17" t="n">
        <v>44407</v>
      </c>
      <c r="B298" s="16" t="n">
        <v>-0.125</v>
      </c>
      <c r="C298" s="16" t="n">
        <v>0.022</v>
      </c>
      <c r="D298" s="16" t="n">
        <v>0.642</v>
      </c>
      <c r="E298" s="16" t="n">
        <v>0.19</v>
      </c>
      <c r="F298" s="16" t="n">
        <v>1.24</v>
      </c>
      <c r="G298" s="16" t="n">
        <v>1.976</v>
      </c>
      <c r="H298" s="16" t="n">
        <v>-0.4514</v>
      </c>
      <c r="I298" s="16" t="n">
        <v>-0.8035</v>
      </c>
      <c r="J298" s="16" t="n">
        <v>-0.4399</v>
      </c>
      <c r="K298" s="16" t="n">
        <v>0.074</v>
      </c>
      <c r="L298" s="16" t="n">
        <v>0</v>
      </c>
      <c r="M298" s="9">
        <f>($C298-$B298)*100</f>
        <v/>
      </c>
      <c r="N298" s="9">
        <f>($D298-$C298)*100</f>
        <v/>
      </c>
      <c r="O298" s="9">
        <f>($F298-$E298)*100</f>
        <v/>
      </c>
      <c r="P298" s="9">
        <f>($J298-$I298)*100</f>
        <v/>
      </c>
    </row>
    <row r="299">
      <c r="A299" s="17" t="n">
        <v>44414</v>
      </c>
      <c r="B299" s="16" t="n">
        <v>-0.136</v>
      </c>
      <c r="C299" s="16" t="n">
        <v>0.017</v>
      </c>
      <c r="D299" s="16" t="n">
        <v>0.643</v>
      </c>
      <c r="E299" s="16" t="n">
        <v>0.21</v>
      </c>
      <c r="F299" s="16" t="n">
        <v>1.31</v>
      </c>
      <c r="G299" s="16" t="n">
        <v>1.905</v>
      </c>
      <c r="H299" s="16" t="n">
        <v>-0.5386</v>
      </c>
      <c r="I299" s="16" t="n">
        <v>-0.8026</v>
      </c>
      <c r="J299" s="16" t="n">
        <v>-0.455</v>
      </c>
      <c r="K299" s="16" t="n">
        <v>0.08400000000000001</v>
      </c>
      <c r="L299" s="16" t="n">
        <v>0</v>
      </c>
      <c r="M299" s="9">
        <f>($C299-$B299)*100</f>
        <v/>
      </c>
      <c r="N299" s="9">
        <f>($D299-$C299)*100</f>
        <v/>
      </c>
      <c r="O299" s="9">
        <f>($F299-$E299)*100</f>
        <v/>
      </c>
      <c r="P299" s="9">
        <f>($J299-$I299)*100</f>
        <v/>
      </c>
    </row>
    <row r="300">
      <c r="A300" s="17" t="n">
        <v>44421</v>
      </c>
      <c r="B300" s="16" t="n">
        <v>-0.136</v>
      </c>
      <c r="C300" s="16" t="n">
        <v>0.029</v>
      </c>
      <c r="D300" s="16" t="n">
        <v>0.653</v>
      </c>
      <c r="E300" s="16" t="n">
        <v>0.23</v>
      </c>
      <c r="F300" s="16" t="n">
        <v>1.29</v>
      </c>
      <c r="G300" s="16" t="n">
        <v>1.905</v>
      </c>
      <c r="H300" s="16" t="n">
        <v>-0.5386</v>
      </c>
      <c r="I300" s="16" t="n">
        <v>-0.7863</v>
      </c>
      <c r="J300" s="16" t="n">
        <v>-0.4562</v>
      </c>
      <c r="K300" s="16" t="n">
        <v>0.112</v>
      </c>
      <c r="L300" s="16" t="n">
        <v>0.01</v>
      </c>
      <c r="M300" s="9">
        <f>($C300-$B300)*100</f>
        <v/>
      </c>
      <c r="N300" s="9">
        <f>($D300-$C300)*100</f>
        <v/>
      </c>
      <c r="O300" s="9">
        <f>($F300-$E300)*100</f>
        <v/>
      </c>
      <c r="P300" s="9">
        <f>($J300-$I300)*100</f>
        <v/>
      </c>
    </row>
    <row r="301">
      <c r="A301" s="17" t="n">
        <v>44428</v>
      </c>
      <c r="B301" s="16" t="n">
        <v>-0.142</v>
      </c>
      <c r="C301" s="16" t="n">
        <v>0.013</v>
      </c>
      <c r="D301" s="16" t="n">
        <v>0.652</v>
      </c>
      <c r="E301" s="16" t="n">
        <v>0.23</v>
      </c>
      <c r="F301" s="16" t="n">
        <v>1.26</v>
      </c>
      <c r="G301" s="16" t="n">
        <v>1.905</v>
      </c>
      <c r="H301" s="16" t="n">
        <v>-0.5386</v>
      </c>
      <c r="I301" s="16" t="n">
        <v>-0.796</v>
      </c>
      <c r="J301" s="16" t="n">
        <v>-0.4871</v>
      </c>
      <c r="K301" s="16" t="n">
        <v>0.117</v>
      </c>
      <c r="L301" s="16" t="n">
        <v>0.01</v>
      </c>
      <c r="M301" s="9">
        <f>($C301-$B301)*100</f>
        <v/>
      </c>
      <c r="N301" s="9">
        <f>($D301-$C301)*100</f>
        <v/>
      </c>
      <c r="O301" s="9">
        <f>($F301-$E301)*100</f>
        <v/>
      </c>
      <c r="P301" s="9">
        <f>($J301-$I301)*100</f>
        <v/>
      </c>
    </row>
    <row r="302">
      <c r="A302" s="17" t="n">
        <v>44435</v>
      </c>
      <c r="B302" s="16" t="n">
        <v>-0.133</v>
      </c>
      <c r="C302" s="16" t="n">
        <v>0.029</v>
      </c>
      <c r="D302" s="16" t="n">
        <v>0.648</v>
      </c>
      <c r="E302" s="16" t="n">
        <v>0.22</v>
      </c>
      <c r="F302" s="16" t="n">
        <v>1.31</v>
      </c>
      <c r="G302" s="16" t="n">
        <v>1.905</v>
      </c>
      <c r="H302" s="16" t="n">
        <v>-0.5386</v>
      </c>
      <c r="I302" s="16" t="n">
        <v>-0.7724</v>
      </c>
      <c r="J302" s="16" t="n">
        <v>-0.3959</v>
      </c>
      <c r="K302" s="16" t="n">
        <v>0.125</v>
      </c>
      <c r="L302" s="16" t="n">
        <v>0.01</v>
      </c>
      <c r="M302" s="9">
        <f>($C302-$B302)*100</f>
        <v/>
      </c>
      <c r="N302" s="9">
        <f>($D302-$C302)*100</f>
        <v/>
      </c>
      <c r="O302" s="9">
        <f>($F302-$E302)*100</f>
        <v/>
      </c>
      <c r="P302" s="9">
        <f>($J302-$I302)*100</f>
        <v/>
      </c>
    </row>
    <row r="303">
      <c r="A303" s="17" t="n">
        <v>44442</v>
      </c>
      <c r="B303" s="16" t="n">
        <v>-0.125</v>
      </c>
      <c r="C303" s="16" t="n">
        <v>0.046</v>
      </c>
      <c r="D303" s="16" t="n">
        <v>0.654</v>
      </c>
      <c r="E303" s="16" t="n">
        <v>0.21</v>
      </c>
      <c r="F303" s="16" t="n">
        <v>1.33</v>
      </c>
      <c r="G303" s="16" t="n">
        <v>2.061</v>
      </c>
      <c r="H303" s="16" t="n">
        <v>-0.3627</v>
      </c>
      <c r="I303" s="16" t="n">
        <v>-0.76</v>
      </c>
      <c r="J303" s="16" t="n">
        <v>-0.3498</v>
      </c>
      <c r="K303" s="16" t="n">
        <v>0.104</v>
      </c>
      <c r="L303" s="16" t="n">
        <v>0</v>
      </c>
      <c r="M303" s="9">
        <f>($C303-$B303)*100</f>
        <v/>
      </c>
      <c r="N303" s="9">
        <f>($D303-$C303)*100</f>
        <v/>
      </c>
      <c r="O303" s="9">
        <f>($F303-$E303)*100</f>
        <v/>
      </c>
      <c r="P303" s="9">
        <f>($J303-$I303)*100</f>
        <v/>
      </c>
    </row>
    <row r="304">
      <c r="A304" s="17" t="n">
        <v>44449</v>
      </c>
      <c r="B304" s="16" t="n">
        <v>-0.125</v>
      </c>
      <c r="C304" s="16" t="n">
        <v>0.051</v>
      </c>
      <c r="D304" s="16" t="n">
        <v>0.657</v>
      </c>
      <c r="E304" s="16" t="n">
        <v>0.23</v>
      </c>
      <c r="F304" s="16" t="n">
        <v>1.35</v>
      </c>
      <c r="G304" s="16" t="n">
        <v>2.061</v>
      </c>
      <c r="H304" s="16" t="n">
        <v>-0.3627</v>
      </c>
      <c r="I304" s="16" t="n">
        <v>-0.7504999999999999</v>
      </c>
      <c r="J304" s="16" t="n">
        <v>-0.3304</v>
      </c>
      <c r="K304" s="16" t="n">
        <v>0.109</v>
      </c>
      <c r="L304" s="16" t="n">
        <v>0.01</v>
      </c>
      <c r="M304" s="9">
        <f>($C304-$B304)*100</f>
        <v/>
      </c>
      <c r="N304" s="9">
        <f>($D304-$C304)*100</f>
        <v/>
      </c>
      <c r="O304" s="9">
        <f>($F304-$E304)*100</f>
        <v/>
      </c>
      <c r="P304" s="9">
        <f>($J304-$I304)*100</f>
        <v/>
      </c>
    </row>
    <row r="305">
      <c r="A305" s="17" t="n">
        <v>44456</v>
      </c>
      <c r="B305" s="16" t="n">
        <v>-0.127</v>
      </c>
      <c r="C305" s="16" t="n">
        <v>0.057</v>
      </c>
      <c r="D305" s="16" t="n">
        <v>0.657</v>
      </c>
      <c r="E305" s="16" t="n">
        <v>0.23</v>
      </c>
      <c r="F305" s="16" t="n">
        <v>1.37</v>
      </c>
      <c r="G305" s="16" t="n">
        <v>2.061</v>
      </c>
      <c r="H305" s="16" t="n">
        <v>-0.3627</v>
      </c>
      <c r="I305" s="16" t="n">
        <v>-0.7386</v>
      </c>
      <c r="J305" s="16" t="n">
        <v>-0.2654</v>
      </c>
      <c r="K305" s="16" t="n">
        <v>0.103</v>
      </c>
      <c r="L305" s="16" t="n">
        <v>0</v>
      </c>
      <c r="M305" s="9">
        <f>($C305-$B305)*100</f>
        <v/>
      </c>
      <c r="N305" s="9">
        <f>($D305-$C305)*100</f>
        <v/>
      </c>
      <c r="O305" s="9">
        <f>($F305-$E305)*100</f>
        <v/>
      </c>
      <c r="P305" s="9">
        <f>($J305-$I305)*100</f>
        <v/>
      </c>
    </row>
    <row r="306">
      <c r="A306" s="17" t="n">
        <v>44463</v>
      </c>
      <c r="B306" s="16" t="n">
        <v>-0.128</v>
      </c>
      <c r="C306" s="16" t="n">
        <v>0.063</v>
      </c>
      <c r="D306" s="16" t="n">
        <v>0.676</v>
      </c>
      <c r="E306" s="16" t="n">
        <v>0.29</v>
      </c>
      <c r="F306" s="16" t="n">
        <v>1.47</v>
      </c>
      <c r="G306" s="16" t="n">
        <v>2.061</v>
      </c>
      <c r="H306" s="16" t="n">
        <v>-0.3627</v>
      </c>
      <c r="I306" s="16" t="n">
        <v>-0.7235</v>
      </c>
      <c r="J306" s="16" t="n">
        <v>-0.2036</v>
      </c>
      <c r="K306" s="16" t="n">
        <v>0.165</v>
      </c>
      <c r="L306" s="16" t="n">
        <v>0.01</v>
      </c>
      <c r="M306" s="9">
        <f>($C306-$B306)*100</f>
        <v/>
      </c>
      <c r="N306" s="9">
        <f>($D306-$C306)*100</f>
        <v/>
      </c>
      <c r="O306" s="9">
        <f>($F306-$E306)*100</f>
        <v/>
      </c>
      <c r="P306" s="9">
        <f>($J306-$I306)*100</f>
        <v/>
      </c>
    </row>
    <row r="307">
      <c r="A307" s="17" t="n">
        <v>44470</v>
      </c>
      <c r="B307" s="16" t="n">
        <v>-0.125</v>
      </c>
      <c r="C307" s="16" t="n">
        <v>0.064</v>
      </c>
      <c r="D307" s="16" t="n">
        <v>0.663</v>
      </c>
      <c r="E307" s="16" t="n">
        <v>0.27</v>
      </c>
      <c r="F307" s="16" t="n">
        <v>1.48</v>
      </c>
      <c r="G307" s="16" t="n">
        <v>2.399</v>
      </c>
      <c r="H307" s="16" t="n">
        <v>-0.2043</v>
      </c>
      <c r="I307" s="16" t="n">
        <v>-0.7406</v>
      </c>
      <c r="J307" s="16" t="n">
        <v>-0.2142</v>
      </c>
      <c r="K307" s="16" t="n">
        <v>0.166</v>
      </c>
      <c r="L307" s="16" t="n">
        <v>0</v>
      </c>
      <c r="M307" s="9">
        <f>($C307-$B307)*100</f>
        <v/>
      </c>
      <c r="N307" s="9">
        <f>($D307-$C307)*100</f>
        <v/>
      </c>
      <c r="O307" s="9">
        <f>($F307-$E307)*100</f>
        <v/>
      </c>
      <c r="P307" s="9">
        <f>($J307-$I307)*100</f>
        <v/>
      </c>
    </row>
    <row r="308">
      <c r="A308" s="17" t="n">
        <v>44477</v>
      </c>
      <c r="B308" s="16" t="n">
        <v>-0.116</v>
      </c>
      <c r="C308" s="16" t="n">
        <v>0.083</v>
      </c>
      <c r="D308" s="16" t="n">
        <v>0.6899999999999999</v>
      </c>
      <c r="E308" s="16" t="n">
        <v>0.32</v>
      </c>
      <c r="F308" s="16" t="n">
        <v>1.61</v>
      </c>
      <c r="G308" s="16" t="n">
        <v>2.399</v>
      </c>
      <c r="H308" s="16" t="n">
        <v>-0.2043</v>
      </c>
      <c r="I308" s="16" t="n">
        <v>-0.728</v>
      </c>
      <c r="J308" s="16" t="n">
        <v>-0.1356</v>
      </c>
      <c r="K308" s="16" t="n">
        <v>0.176</v>
      </c>
      <c r="L308" s="16" t="n">
        <v>0</v>
      </c>
      <c r="M308" s="9">
        <f>($C308-$B308)*100</f>
        <v/>
      </c>
      <c r="N308" s="9">
        <f>($D308-$C308)*100</f>
        <v/>
      </c>
      <c r="O308" s="9">
        <f>($F308-$E308)*100</f>
        <v/>
      </c>
      <c r="P308" s="9">
        <f>($J308-$I308)*100</f>
        <v/>
      </c>
    </row>
    <row r="309">
      <c r="A309" s="17" t="n">
        <v>44484</v>
      </c>
      <c r="B309" s="16" t="n">
        <v>-0.117</v>
      </c>
      <c r="C309" s="16" t="n">
        <v>0.079</v>
      </c>
      <c r="D309" s="16" t="n">
        <v>0.6879999999999999</v>
      </c>
      <c r="E309" s="16" t="n">
        <v>0.41</v>
      </c>
      <c r="F309" s="16" t="n">
        <v>1.59</v>
      </c>
      <c r="G309" s="16" t="n">
        <v>2.399</v>
      </c>
      <c r="H309" s="16" t="n">
        <v>-0.2043</v>
      </c>
      <c r="I309" s="16" t="n">
        <v>-0.7063</v>
      </c>
      <c r="J309" s="16" t="n">
        <v>-0.1423</v>
      </c>
      <c r="K309" s="16" t="n">
        <v>0.198</v>
      </c>
      <c r="L309" s="16" t="n">
        <v>0.01</v>
      </c>
      <c r="M309" s="9">
        <f>($C309-$B309)*100</f>
        <v/>
      </c>
      <c r="N309" s="9">
        <f>($D309-$C309)*100</f>
        <v/>
      </c>
      <c r="O309" s="9">
        <f>($F309-$E309)*100</f>
        <v/>
      </c>
      <c r="P309" s="9">
        <f>($J309-$I309)*100</f>
        <v/>
      </c>
    </row>
    <row r="310">
      <c r="A310" s="17" t="n">
        <v>44491</v>
      </c>
      <c r="B310" s="16" t="n">
        <v>-0.114</v>
      </c>
      <c r="C310" s="16" t="n">
        <v>0.095</v>
      </c>
      <c r="D310" s="16" t="n">
        <v>0.702</v>
      </c>
      <c r="E310" s="16" t="n">
        <v>0.48</v>
      </c>
      <c r="F310" s="16" t="n">
        <v>1.66</v>
      </c>
      <c r="G310" s="16" t="n">
        <v>2.399</v>
      </c>
      <c r="H310" s="16" t="n">
        <v>-0.2043</v>
      </c>
      <c r="I310" s="16" t="n">
        <v>-0.654</v>
      </c>
      <c r="J310" s="16" t="n">
        <v>-0.0761</v>
      </c>
      <c r="K310" s="16" t="n">
        <v>0.281</v>
      </c>
      <c r="L310" s="16" t="n">
        <v>0.01</v>
      </c>
      <c r="M310" s="9">
        <f>($C310-$B310)*100</f>
        <v/>
      </c>
      <c r="N310" s="9">
        <f>($D310-$C310)*100</f>
        <v/>
      </c>
      <c r="O310" s="9">
        <f>($F310-$E310)*100</f>
        <v/>
      </c>
      <c r="P310" s="9">
        <f>($J310-$I310)*100</f>
        <v/>
      </c>
    </row>
    <row r="311">
      <c r="A311" s="17" t="n">
        <v>44498</v>
      </c>
      <c r="B311" s="16" t="n">
        <v>-0.105</v>
      </c>
      <c r="C311" s="16" t="n">
        <v>0.101</v>
      </c>
      <c r="D311" s="16" t="n">
        <v>0.674</v>
      </c>
      <c r="E311" s="16" t="n">
        <v>0.48</v>
      </c>
      <c r="F311" s="16" t="n">
        <v>1.55</v>
      </c>
      <c r="G311" s="16" t="n">
        <v>2.399</v>
      </c>
      <c r="H311" s="16" t="n">
        <v>-0.2043</v>
      </c>
      <c r="I311" s="16" t="n">
        <v>-0.6205000000000001</v>
      </c>
      <c r="J311" s="16" t="n">
        <v>-0.0692</v>
      </c>
      <c r="K311" s="16" t="n">
        <v>0.293</v>
      </c>
      <c r="L311" s="16" t="n">
        <v>0.02</v>
      </c>
      <c r="M311" s="9">
        <f>($C311-$B311)*100</f>
        <v/>
      </c>
      <c r="N311" s="9">
        <f>($D311-$C311)*100</f>
        <v/>
      </c>
      <c r="O311" s="9">
        <f>($F311-$E311)*100</f>
        <v/>
      </c>
      <c r="P311" s="9">
        <f>($J311-$I311)*100</f>
        <v/>
      </c>
    </row>
    <row r="312">
      <c r="A312" s="17" t="n">
        <v>44505</v>
      </c>
      <c r="B312" s="16" t="n">
        <v>-0.11</v>
      </c>
      <c r="C312" s="16" t="n">
        <v>0.067</v>
      </c>
      <c r="D312" s="16" t="n">
        <v>0.679</v>
      </c>
      <c r="E312" s="16" t="n">
        <v>0.39</v>
      </c>
      <c r="F312" s="16" t="n">
        <v>1.45</v>
      </c>
      <c r="G312" s="16" t="n">
        <v>2.355</v>
      </c>
      <c r="H312" s="16" t="n">
        <v>-0.3136</v>
      </c>
      <c r="I312" s="16" t="n">
        <v>-0.7679</v>
      </c>
      <c r="J312" s="16" t="n">
        <v>-0.2655</v>
      </c>
      <c r="K312" s="16" t="n">
        <v>0.261</v>
      </c>
      <c r="L312" s="16" t="n">
        <v>0.02</v>
      </c>
      <c r="M312" s="9">
        <f>($C312-$B312)*100</f>
        <v/>
      </c>
      <c r="N312" s="9">
        <f>($D312-$C312)*100</f>
        <v/>
      </c>
      <c r="O312" s="9">
        <f>($F312-$E312)*100</f>
        <v/>
      </c>
      <c r="P312" s="9">
        <f>($J312-$I312)*100</f>
        <v/>
      </c>
    </row>
    <row r="313">
      <c r="A313" s="17" t="n">
        <v>44512</v>
      </c>
      <c r="B313" s="16" t="n">
        <v>-0.116</v>
      </c>
      <c r="C313" s="16" t="n">
        <v>0.078</v>
      </c>
      <c r="D313" s="16" t="n">
        <v>0.679</v>
      </c>
      <c r="E313" s="16" t="n">
        <v>0.53</v>
      </c>
      <c r="F313" s="16" t="n">
        <v>1.58</v>
      </c>
      <c r="G313" s="16" t="n">
        <v>2.355</v>
      </c>
      <c r="H313" s="16" t="n">
        <v>-0.3136</v>
      </c>
      <c r="I313" s="16" t="n">
        <v>-0.7938</v>
      </c>
      <c r="J313" s="16" t="n">
        <v>-0.2433</v>
      </c>
      <c r="K313" s="16" t="n">
        <v>0.324</v>
      </c>
      <c r="L313" s="16" t="n">
        <v>0.04</v>
      </c>
      <c r="M313" s="9">
        <f>($C313-$B313)*100</f>
        <v/>
      </c>
      <c r="N313" s="9">
        <f>($D313-$C313)*100</f>
        <v/>
      </c>
      <c r="O313" s="9">
        <f>($F313-$E313)*100</f>
        <v/>
      </c>
      <c r="P313" s="9">
        <f>($J313-$I313)*100</f>
        <v/>
      </c>
    </row>
    <row r="314">
      <c r="A314" s="17" t="n">
        <v>44519</v>
      </c>
      <c r="B314" s="16" t="n">
        <v>-0.129</v>
      </c>
      <c r="C314" s="16" t="n">
        <v>0.083</v>
      </c>
      <c r="D314" s="16" t="n">
        <v>0.675</v>
      </c>
      <c r="E314" s="16" t="n">
        <v>0.52</v>
      </c>
      <c r="F314" s="16" t="n">
        <v>1.54</v>
      </c>
      <c r="G314" s="16" t="n">
        <v>2.355</v>
      </c>
      <c r="H314" s="16" t="n">
        <v>-0.3136</v>
      </c>
      <c r="I314" s="16" t="n">
        <v>-0.8353</v>
      </c>
      <c r="J314" s="16" t="n">
        <v>-0.3206</v>
      </c>
      <c r="K314" s="16" t="n">
        <v>0.332</v>
      </c>
      <c r="L314" s="16" t="n">
        <v>0.08</v>
      </c>
      <c r="M314" s="9">
        <f>($C314-$B314)*100</f>
        <v/>
      </c>
      <c r="N314" s="9">
        <f>($D314-$C314)*100</f>
        <v/>
      </c>
      <c r="O314" s="9">
        <f>($F314-$E314)*100</f>
        <v/>
      </c>
      <c r="P314" s="9">
        <f>($J314-$I314)*100</f>
        <v/>
      </c>
    </row>
    <row r="315">
      <c r="A315" s="17" t="n">
        <v>44526</v>
      </c>
      <c r="B315" s="16" t="n">
        <v>-0.132</v>
      </c>
      <c r="C315" s="16" t="n">
        <v>0.079</v>
      </c>
      <c r="D315" s="16" t="n">
        <v>0.678</v>
      </c>
      <c r="E315" s="16" t="n">
        <v>0.5</v>
      </c>
      <c r="F315" s="16" t="n">
        <v>1.48</v>
      </c>
      <c r="G315" s="16" t="n">
        <v>2.355</v>
      </c>
      <c r="H315" s="16" t="n">
        <v>-0.3136</v>
      </c>
      <c r="I315" s="16" t="n">
        <v>-0.8237</v>
      </c>
      <c r="J315" s="16" t="n">
        <v>-0.3201</v>
      </c>
      <c r="K315" s="16" t="n">
        <v>0.545</v>
      </c>
      <c r="L315" s="16" t="n">
        <v>0.1</v>
      </c>
      <c r="M315" s="9">
        <f>($C315-$B315)*100</f>
        <v/>
      </c>
      <c r="N315" s="9">
        <f>($D315-$C315)*100</f>
        <v/>
      </c>
      <c r="O315" s="9">
        <f>($F315-$E315)*100</f>
        <v/>
      </c>
      <c r="P315" s="9">
        <f>($J315-$I315)*100</f>
        <v/>
      </c>
    </row>
    <row r="316">
      <c r="A316" s="17" t="n">
        <v>44533</v>
      </c>
      <c r="B316" s="16" t="n">
        <v>-0.115</v>
      </c>
      <c r="C316" s="16" t="n">
        <v>0.063</v>
      </c>
      <c r="D316" s="16" t="n">
        <v>0.67</v>
      </c>
      <c r="E316" s="16" t="n">
        <v>0.6</v>
      </c>
      <c r="F316" s="16" t="n">
        <v>1.35</v>
      </c>
      <c r="G316" s="16" t="n">
        <v>2.187</v>
      </c>
      <c r="H316" s="16" t="n">
        <v>-0.3843</v>
      </c>
      <c r="I316" s="16" t="n">
        <v>-0.7776999999999999</v>
      </c>
      <c r="J316" s="16" t="n">
        <v>-0.3535</v>
      </c>
      <c r="K316" s="16" t="n">
        <v>0.573</v>
      </c>
      <c r="L316" s="16" t="n">
        <v>0.12</v>
      </c>
      <c r="M316" s="9">
        <f>($C316-$B316)*100</f>
        <v/>
      </c>
      <c r="N316" s="9">
        <f>($D316-$C316)*100</f>
        <v/>
      </c>
      <c r="O316" s="9">
        <f>($F316-$E316)*100</f>
        <v/>
      </c>
      <c r="P316" s="9">
        <f>($J316-$I316)*100</f>
        <v/>
      </c>
    </row>
    <row r="317">
      <c r="A317" s="17" t="n">
        <v>44540</v>
      </c>
      <c r="B317" s="16" t="n">
        <v>-0.107</v>
      </c>
      <c r="C317" s="16" t="n">
        <v>0.063</v>
      </c>
      <c r="D317" s="16" t="n">
        <v>0.675</v>
      </c>
      <c r="E317" s="16" t="n">
        <v>0.67</v>
      </c>
      <c r="F317" s="16" t="n">
        <v>1.48</v>
      </c>
      <c r="G317" s="16" t="n">
        <v>2.187</v>
      </c>
      <c r="H317" s="16" t="n">
        <v>-0.3843</v>
      </c>
      <c r="I317" s="16" t="n">
        <v>-0.7383999999999999</v>
      </c>
      <c r="J317" s="16" t="n">
        <v>-0.3402</v>
      </c>
      <c r="K317" s="16" t="n">
        <v>0.586</v>
      </c>
      <c r="L317" s="16" t="n">
        <v>0.13</v>
      </c>
      <c r="M317" s="9">
        <f>($C317-$B317)*100</f>
        <v/>
      </c>
      <c r="N317" s="9">
        <f>($D317-$C317)*100</f>
        <v/>
      </c>
      <c r="O317" s="9">
        <f>($F317-$E317)*100</f>
        <v/>
      </c>
      <c r="P317" s="9">
        <f>($J317-$I317)*100</f>
        <v/>
      </c>
    </row>
    <row r="318">
      <c r="A318" s="17" t="n">
        <v>44547</v>
      </c>
      <c r="B318" s="16" t="n">
        <v>-0.112</v>
      </c>
      <c r="C318" s="16" t="n">
        <v>0.06</v>
      </c>
      <c r="D318" s="16" t="n">
        <v>0.659</v>
      </c>
      <c r="E318" s="16" t="n">
        <v>0.66</v>
      </c>
      <c r="F318" s="16" t="n">
        <v>1.41</v>
      </c>
      <c r="G318" s="16" t="n">
        <v>2.187</v>
      </c>
      <c r="H318" s="16" t="n">
        <v>-0.3843</v>
      </c>
      <c r="I318" s="16" t="n">
        <v>-0.7485000000000001</v>
      </c>
      <c r="J318" s="16" t="n">
        <v>-0.3605</v>
      </c>
      <c r="K318" s="16" t="n">
        <v>0.5620000000000001</v>
      </c>
      <c r="L318" s="16" t="n">
        <v>0.17</v>
      </c>
      <c r="M318" s="9">
        <f>($C318-$B318)*100</f>
        <v/>
      </c>
      <c r="N318" s="9">
        <f>($D318-$C318)*100</f>
        <v/>
      </c>
      <c r="O318" s="9">
        <f>($F318-$E318)*100</f>
        <v/>
      </c>
      <c r="P318" s="9">
        <f>($J318-$I318)*100</f>
        <v/>
      </c>
    </row>
    <row r="319">
      <c r="A319" s="17" t="n">
        <v>44554</v>
      </c>
      <c r="B319" s="16" t="n">
        <v>-0.099</v>
      </c>
      <c r="C319" s="16" t="n">
        <v>0.079</v>
      </c>
      <c r="D319" s="16" t="n">
        <v>0.679</v>
      </c>
      <c r="E319" s="16" t="n">
        <v>0.71</v>
      </c>
      <c r="F319" s="16" t="n">
        <v>1.5</v>
      </c>
      <c r="G319" s="16" t="n">
        <v>2.187</v>
      </c>
      <c r="H319" s="16" t="n">
        <v>-0.3843</v>
      </c>
      <c r="I319" s="16" t="n">
        <v>-0.7094</v>
      </c>
      <c r="J319" s="16" t="n">
        <v>-0.2402</v>
      </c>
      <c r="K319" s="16" t="n">
        <v>0.591</v>
      </c>
      <c r="L319" s="16" t="n">
        <v>0.17</v>
      </c>
      <c r="M319" s="9">
        <f>($C319-$B319)*100</f>
        <v/>
      </c>
      <c r="N319" s="9">
        <f>($D319-$C319)*100</f>
        <v/>
      </c>
      <c r="O319" s="9">
        <f>($F319-$E319)*100</f>
        <v/>
      </c>
      <c r="P319" s="9">
        <f>($J319-$I319)*100</f>
        <v/>
      </c>
    </row>
    <row r="320">
      <c r="A320" s="17" t="n">
        <v>44561</v>
      </c>
      <c r="B320" s="16" t="n">
        <v>-0.095</v>
      </c>
      <c r="C320" s="16" t="n">
        <v>0.089</v>
      </c>
      <c r="D320" s="16" t="n">
        <v>0.6929999999999999</v>
      </c>
      <c r="E320" s="16" t="n">
        <v>0.73</v>
      </c>
      <c r="F320" s="16" t="n">
        <v>1.52</v>
      </c>
      <c r="G320" s="16" t="n">
        <v>2.187</v>
      </c>
      <c r="H320" s="16" t="n">
        <v>-0.3843</v>
      </c>
      <c r="I320" s="16" t="n">
        <v>-0.6791</v>
      </c>
      <c r="J320" s="16" t="n">
        <v>-0.1885</v>
      </c>
      <c r="K320" s="16" t="n">
        <v>0.626</v>
      </c>
      <c r="L320" s="16" t="n">
        <v>0.15</v>
      </c>
      <c r="M320" s="9">
        <f>($C320-$B320)*100</f>
        <v/>
      </c>
      <c r="N320" s="9">
        <f>($D320-$C320)*100</f>
        <v/>
      </c>
      <c r="O320" s="9">
        <f>($F320-$E320)*100</f>
        <v/>
      </c>
      <c r="P320" s="9">
        <f>($J320-$I320)*100</f>
        <v/>
      </c>
    </row>
    <row r="321">
      <c r="A321" s="17" t="n">
        <v>44568</v>
      </c>
      <c r="B321" s="16" t="n">
        <v>-0.076</v>
      </c>
      <c r="C321" s="16" t="n">
        <v>0.133</v>
      </c>
      <c r="D321" s="16" t="n">
        <v>0.709</v>
      </c>
      <c r="E321" s="16" t="n">
        <v>0.87</v>
      </c>
      <c r="F321" s="16" t="n">
        <v>1.76</v>
      </c>
      <c r="G321" s="16" t="n">
        <v>2.492</v>
      </c>
      <c r="H321" s="16" t="n">
        <v>-0.1148</v>
      </c>
      <c r="I321" s="16" t="n">
        <v>-0.6251</v>
      </c>
      <c r="J321" s="16" t="n">
        <v>-0.0716</v>
      </c>
      <c r="K321" s="16" t="n">
        <v>0.678</v>
      </c>
      <c r="L321" s="16" t="n">
        <v>0.13</v>
      </c>
      <c r="M321" s="9">
        <f>($C321-$B321)*100</f>
        <v/>
      </c>
      <c r="N321" s="9">
        <f>($D321-$C321)*100</f>
        <v/>
      </c>
      <c r="O321" s="9">
        <f>($F321-$E321)*100</f>
        <v/>
      </c>
      <c r="P321" s="9">
        <f>($J321-$I321)*100</f>
        <v/>
      </c>
    </row>
    <row r="322">
      <c r="A322" s="17" t="n">
        <v>44575</v>
      </c>
      <c r="B322" s="16" t="n">
        <v>-0.073</v>
      </c>
      <c r="C322" s="16" t="n">
        <v>0.15</v>
      </c>
      <c r="D322" s="16" t="n">
        <v>0.719</v>
      </c>
      <c r="E322" s="16" t="n">
        <v>0.99</v>
      </c>
      <c r="F322" s="16" t="n">
        <v>1.78</v>
      </c>
      <c r="G322" s="16" t="n">
        <v>2.492</v>
      </c>
      <c r="H322" s="16" t="n">
        <v>-0.1148</v>
      </c>
      <c r="I322" s="16" t="n">
        <v>-0.6236</v>
      </c>
      <c r="J322" s="16" t="n">
        <v>-0.07480000000000001</v>
      </c>
      <c r="K322" s="16" t="n">
        <v>0.66</v>
      </c>
      <c r="L322" s="16" t="n">
        <v>0.15</v>
      </c>
      <c r="M322" s="9">
        <f>($C322-$B322)*100</f>
        <v/>
      </c>
      <c r="N322" s="9">
        <f>($D322-$C322)*100</f>
        <v/>
      </c>
      <c r="O322" s="9">
        <f>($F322-$E322)*100</f>
        <v/>
      </c>
      <c r="P322" s="9">
        <f>($J322-$I322)*100</f>
        <v/>
      </c>
    </row>
    <row r="323">
      <c r="A323" s="17" t="n">
        <v>44582</v>
      </c>
      <c r="B323" s="16" t="n">
        <v>-0.076</v>
      </c>
      <c r="C323" s="16" t="n">
        <v>0.135</v>
      </c>
      <c r="D323" s="16" t="n">
        <v>0.709</v>
      </c>
      <c r="E323" s="16" t="n">
        <v>1.01</v>
      </c>
      <c r="F323" s="16" t="n">
        <v>1.75</v>
      </c>
      <c r="G323" s="16" t="n">
        <v>2.492</v>
      </c>
      <c r="H323" s="16" t="n">
        <v>-0.1148</v>
      </c>
      <c r="I323" s="16" t="n">
        <v>-0.6415</v>
      </c>
      <c r="J323" s="16" t="n">
        <v>-0.0795</v>
      </c>
      <c r="K323" s="16" t="n">
        <v>0.658</v>
      </c>
      <c r="L323" s="16" t="n">
        <v>0.1</v>
      </c>
      <c r="M323" s="9">
        <f>($C323-$B323)*100</f>
        <v/>
      </c>
      <c r="N323" s="9">
        <f>($D323-$C323)*100</f>
        <v/>
      </c>
      <c r="O323" s="9">
        <f>($F323-$E323)*100</f>
        <v/>
      </c>
      <c r="P323" s="9">
        <f>($J323-$I323)*100</f>
        <v/>
      </c>
    </row>
    <row r="324">
      <c r="A324" s="17" t="n">
        <v>44589</v>
      </c>
      <c r="B324" s="16" t="n">
        <v>-0.055</v>
      </c>
      <c r="C324" s="16" t="n">
        <v>0.172</v>
      </c>
      <c r="D324" s="16" t="n">
        <v>0.751</v>
      </c>
      <c r="E324" s="16" t="n">
        <v>1.15</v>
      </c>
      <c r="F324" s="16" t="n">
        <v>1.78</v>
      </c>
      <c r="G324" s="16" t="n">
        <v>2.492</v>
      </c>
      <c r="H324" s="16" t="n">
        <v>-0.1148</v>
      </c>
      <c r="I324" s="16" t="n">
        <v>-0.6227</v>
      </c>
      <c r="J324" s="16" t="n">
        <v>-0.033</v>
      </c>
      <c r="K324" s="16" t="n">
        <v>0.752</v>
      </c>
      <c r="L324" s="16" t="n">
        <v>0.15</v>
      </c>
      <c r="M324" s="9">
        <f>($C324-$B324)*100</f>
        <v/>
      </c>
      <c r="N324" s="9">
        <f>($D324-$C324)*100</f>
        <v/>
      </c>
      <c r="O324" s="9">
        <f>($F324-$E324)*100</f>
        <v/>
      </c>
      <c r="P324" s="9">
        <f>($J324-$I324)*100</f>
        <v/>
      </c>
    </row>
    <row r="325">
      <c r="A325" s="17" t="n">
        <v>44596</v>
      </c>
      <c r="B325" s="16" t="n">
        <v>-0.045</v>
      </c>
      <c r="C325" s="16" t="n">
        <v>0.203</v>
      </c>
      <c r="D325" s="16" t="n">
        <v>0.792</v>
      </c>
      <c r="E325" s="16" t="n">
        <v>1.31</v>
      </c>
      <c r="F325" s="16" t="n">
        <v>1.93</v>
      </c>
      <c r="G325" s="16" t="n">
        <v>2.69</v>
      </c>
      <c r="H325" s="16" t="n">
        <v>0.15</v>
      </c>
      <c r="I325" s="16" t="n">
        <v>-0.3623</v>
      </c>
      <c r="J325" s="16" t="n">
        <v>0.1955</v>
      </c>
      <c r="K325" s="16" t="n">
        <v>0.802</v>
      </c>
      <c r="L325" s="16" t="n">
        <v>0.13</v>
      </c>
      <c r="M325" s="9">
        <f>($C325-$B325)*100</f>
        <v/>
      </c>
      <c r="N325" s="9">
        <f>($D325-$C325)*100</f>
        <v/>
      </c>
      <c r="O325" s="9">
        <f>($F325-$E325)*100</f>
        <v/>
      </c>
      <c r="P325" s="9">
        <f>($J325-$I325)*100</f>
        <v/>
      </c>
    </row>
    <row r="326">
      <c r="A326" s="17" t="n">
        <v>44603</v>
      </c>
      <c r="B326" s="16" t="n">
        <v>-0.031</v>
      </c>
      <c r="C326" s="16" t="n">
        <v>0.233</v>
      </c>
      <c r="D326" s="16" t="n">
        <v>0.854</v>
      </c>
      <c r="E326" s="16" t="n">
        <v>1.5</v>
      </c>
      <c r="F326" s="16" t="n">
        <v>1.92</v>
      </c>
      <c r="G326" s="16" t="n">
        <v>2.69</v>
      </c>
      <c r="H326" s="16" t="n">
        <v>0.15</v>
      </c>
      <c r="I326" s="16" t="n">
        <v>-0.3828</v>
      </c>
      <c r="J326" s="16" t="n">
        <v>0.2857</v>
      </c>
      <c r="K326" s="16" t="n">
        <v>0.968</v>
      </c>
      <c r="L326" s="16" t="n">
        <v>0.17</v>
      </c>
      <c r="M326" s="9">
        <f>($C326-$B326)*100</f>
        <v/>
      </c>
      <c r="N326" s="9">
        <f>($D326-$C326)*100</f>
        <v/>
      </c>
      <c r="O326" s="9">
        <f>($F326-$E326)*100</f>
        <v/>
      </c>
      <c r="P326" s="9">
        <f>($J326-$I326)*100</f>
        <v/>
      </c>
    </row>
    <row r="327">
      <c r="A327" s="17" t="n">
        <v>44610</v>
      </c>
      <c r="B327" s="16" t="n">
        <v>-0.008</v>
      </c>
      <c r="C327" s="16" t="n">
        <v>0.223</v>
      </c>
      <c r="D327" s="16" t="n">
        <v>0.911</v>
      </c>
      <c r="E327" s="16" t="n">
        <v>1.47</v>
      </c>
      <c r="F327" s="16" t="n">
        <v>1.92</v>
      </c>
      <c r="G327" s="16" t="n">
        <v>2.69</v>
      </c>
      <c r="H327" s="16" t="n">
        <v>0.15</v>
      </c>
      <c r="I327" s="16" t="n">
        <v>-0.5044</v>
      </c>
      <c r="J327" s="16" t="n">
        <v>0.2495</v>
      </c>
      <c r="K327" s="16" t="n">
        <v>0.894</v>
      </c>
      <c r="L327" s="16" t="n">
        <v>0.17</v>
      </c>
      <c r="M327" s="9">
        <f>($C327-$B327)*100</f>
        <v/>
      </c>
      <c r="N327" s="9">
        <f>($D327-$C327)*100</f>
        <v/>
      </c>
      <c r="O327" s="9">
        <f>($F327-$E327)*100</f>
        <v/>
      </c>
      <c r="P327" s="9">
        <f>($J327-$I327)*100</f>
        <v/>
      </c>
    </row>
    <row r="328">
      <c r="A328" s="17" t="n">
        <v>44617</v>
      </c>
      <c r="B328" s="16" t="n">
        <v>-0.025</v>
      </c>
      <c r="C328" s="16" t="n">
        <v>0.214</v>
      </c>
      <c r="D328" s="16" t="n">
        <v>0.898</v>
      </c>
      <c r="E328" s="16" t="n">
        <v>1.55</v>
      </c>
      <c r="F328" s="16" t="n">
        <v>1.97</v>
      </c>
      <c r="G328" s="16" t="n">
        <v>2.69</v>
      </c>
      <c r="H328" s="16" t="n">
        <v>0.15</v>
      </c>
      <c r="I328" s="16" t="n">
        <v>-0.4438</v>
      </c>
      <c r="J328" s="16" t="n">
        <v>0.2644</v>
      </c>
      <c r="K328" s="16" t="n">
        <v>0.965</v>
      </c>
      <c r="L328" s="16" t="n">
        <v>0.16</v>
      </c>
      <c r="M328" s="9">
        <f>($C328-$B328)*100</f>
        <v/>
      </c>
      <c r="N328" s="9">
        <f>($D328-$C328)*100</f>
        <v/>
      </c>
      <c r="O328" s="9">
        <f>($F328-$E328)*100</f>
        <v/>
      </c>
      <c r="P328" s="9">
        <f>($J328-$I328)*100</f>
        <v/>
      </c>
    </row>
    <row r="329">
      <c r="A329" s="17" t="n">
        <v>44624</v>
      </c>
      <c r="B329" s="16" t="n">
        <v>-0.04</v>
      </c>
      <c r="C329" s="16" t="n">
        <v>0.164</v>
      </c>
      <c r="D329" s="16" t="n">
        <v>0.823</v>
      </c>
      <c r="E329" s="16" t="n">
        <v>1.5</v>
      </c>
      <c r="F329" s="16" t="n">
        <v>1.74</v>
      </c>
      <c r="G329" s="16" t="n">
        <v>2.784</v>
      </c>
      <c r="H329" s="16" t="n">
        <v>0.2817</v>
      </c>
      <c r="I329" s="16" t="n">
        <v>-0.7239</v>
      </c>
      <c r="J329" s="16" t="n">
        <v>-0.028</v>
      </c>
      <c r="K329" s="16" t="n">
        <v>0.944</v>
      </c>
      <c r="L329" s="16" t="n">
        <v>0.17</v>
      </c>
      <c r="M329" s="9">
        <f>($C329-$B329)*100</f>
        <v/>
      </c>
      <c r="N329" s="9">
        <f>($D329-$C329)*100</f>
        <v/>
      </c>
      <c r="O329" s="9">
        <f>($F329-$E329)*100</f>
        <v/>
      </c>
      <c r="P329" s="9">
        <f>($J329-$I329)*100</f>
        <v/>
      </c>
    </row>
    <row r="330">
      <c r="A330" s="17" t="n">
        <v>44631</v>
      </c>
      <c r="B330" s="16" t="n">
        <v>-0.03</v>
      </c>
      <c r="C330" s="16" t="n">
        <v>0.193</v>
      </c>
      <c r="D330" s="16" t="n">
        <v>0.859</v>
      </c>
      <c r="E330" s="16" t="n">
        <v>1.75</v>
      </c>
      <c r="F330" s="16" t="n">
        <v>2</v>
      </c>
      <c r="G330" s="16" t="n">
        <v>2.784</v>
      </c>
      <c r="H330" s="16" t="n">
        <v>0.2817</v>
      </c>
      <c r="I330" s="16" t="n">
        <v>-0.4193</v>
      </c>
      <c r="J330" s="16" t="n">
        <v>0.3092</v>
      </c>
      <c r="K330" s="16" t="n">
        <v>1.19</v>
      </c>
      <c r="L330" s="16" t="n">
        <v>0.18</v>
      </c>
      <c r="M330" s="9">
        <f>($C330-$B330)*100</f>
        <v/>
      </c>
      <c r="N330" s="9">
        <f>($D330-$C330)*100</f>
        <v/>
      </c>
      <c r="O330" s="9">
        <f>($F330-$E330)*100</f>
        <v/>
      </c>
      <c r="P330" s="9">
        <f>($J330-$I330)*100</f>
        <v/>
      </c>
    </row>
    <row r="331">
      <c r="A331" s="17" t="n">
        <v>44638</v>
      </c>
      <c r="B331" s="16" t="n">
        <v>-0.018</v>
      </c>
      <c r="C331" s="16" t="n">
        <v>0.218</v>
      </c>
      <c r="D331" s="16" t="n">
        <v>0.873</v>
      </c>
      <c r="E331" s="16" t="n">
        <v>1.97</v>
      </c>
      <c r="F331" s="16" t="n">
        <v>2.14</v>
      </c>
      <c r="G331" s="16" t="n">
        <v>2.784</v>
      </c>
      <c r="H331" s="16" t="n">
        <v>0.2817</v>
      </c>
      <c r="I331" s="16" t="n">
        <v>-0.4079</v>
      </c>
      <c r="J331" s="16" t="n">
        <v>0.3987</v>
      </c>
      <c r="K331" s="16" t="n">
        <v>1.395</v>
      </c>
      <c r="L331" s="16" t="n">
        <v>0.2</v>
      </c>
      <c r="M331" s="9">
        <f>($C331-$B331)*100</f>
        <v/>
      </c>
      <c r="N331" s="9">
        <f>($D331-$C331)*100</f>
        <v/>
      </c>
      <c r="O331" s="9">
        <f>($F331-$E331)*100</f>
        <v/>
      </c>
      <c r="P331" s="9">
        <f>($J331-$I331)*100</f>
        <v/>
      </c>
    </row>
    <row r="332">
      <c r="A332" s="17" t="n">
        <v>44645</v>
      </c>
      <c r="B332" s="16" t="n">
        <v>-0.023</v>
      </c>
      <c r="C332" s="16" t="n">
        <v>0.248</v>
      </c>
      <c r="D332" s="16" t="n">
        <v>0.9379999999999999</v>
      </c>
      <c r="E332" s="16" t="n">
        <v>2.3</v>
      </c>
      <c r="F332" s="16" t="n">
        <v>2.48</v>
      </c>
      <c r="G332" s="16" t="n">
        <v>2.784</v>
      </c>
      <c r="H332" s="16" t="n">
        <v>0.2817</v>
      </c>
      <c r="I332" s="16" t="n">
        <v>-0.2104</v>
      </c>
      <c r="J332" s="16" t="n">
        <v>0.5955</v>
      </c>
      <c r="K332" s="16" t="n">
        <v>1.627</v>
      </c>
      <c r="L332" s="16" t="n">
        <v>0.18</v>
      </c>
      <c r="M332" s="9">
        <f>($C332-$B332)*100</f>
        <v/>
      </c>
      <c r="N332" s="9">
        <f>($D332-$C332)*100</f>
        <v/>
      </c>
      <c r="O332" s="9">
        <f>($F332-$E332)*100</f>
        <v/>
      </c>
      <c r="P332" s="9">
        <f>($J332-$I332)*100</f>
        <v/>
      </c>
    </row>
    <row r="333">
      <c r="A333" s="17" t="n">
        <v>44652</v>
      </c>
      <c r="B333" s="16" t="n">
        <v>-0.04</v>
      </c>
      <c r="C333" s="16" t="n">
        <v>0.226</v>
      </c>
      <c r="D333" s="16" t="n">
        <v>0.918</v>
      </c>
      <c r="E333" s="16" t="n">
        <v>2.44</v>
      </c>
      <c r="F333" s="16" t="n">
        <v>2.39</v>
      </c>
      <c r="G333" s="16" t="n">
        <v>3.219</v>
      </c>
      <c r="H333" s="16" t="n">
        <v>0.7463</v>
      </c>
      <c r="I333" s="16" t="n">
        <v>-0.0737</v>
      </c>
      <c r="J333" s="16" t="n">
        <v>0.6375999999999999</v>
      </c>
      <c r="K333" s="16" t="n">
        <v>1.7</v>
      </c>
      <c r="L333" s="16" t="n">
        <v>0.17</v>
      </c>
      <c r="M333" s="9">
        <f>($C333-$B333)*100</f>
        <v/>
      </c>
      <c r="N333" s="9">
        <f>($D333-$C333)*100</f>
        <v/>
      </c>
      <c r="O333" s="9">
        <f>($F333-$E333)*100</f>
        <v/>
      </c>
      <c r="P333" s="9">
        <f>($J333-$I333)*100</f>
        <v/>
      </c>
    </row>
    <row r="334">
      <c r="A334" s="17" t="n">
        <v>44659</v>
      </c>
      <c r="B334" s="16" t="n">
        <v>-0.08</v>
      </c>
      <c r="C334" s="16" t="n">
        <v>0.227</v>
      </c>
      <c r="D334" s="16" t="n">
        <v>0.969</v>
      </c>
      <c r="E334" s="16" t="n">
        <v>2.53</v>
      </c>
      <c r="F334" s="16" t="n">
        <v>2.72</v>
      </c>
      <c r="G334" s="16" t="n">
        <v>3.219</v>
      </c>
      <c r="H334" s="16" t="n">
        <v>0.7463</v>
      </c>
      <c r="I334" s="16" t="n">
        <v>0.0002</v>
      </c>
      <c r="J334" s="16" t="n">
        <v>0.7423999999999999</v>
      </c>
      <c r="K334" s="16" t="n">
        <v>1.947</v>
      </c>
      <c r="L334" s="16" t="n">
        <v>0.17</v>
      </c>
      <c r="M334" s="9">
        <f>($C334-$B334)*100</f>
        <v/>
      </c>
      <c r="N334" s="9">
        <f>($D334-$C334)*100</f>
        <v/>
      </c>
      <c r="O334" s="9">
        <f>($F334-$E334)*100</f>
        <v/>
      </c>
      <c r="P334" s="9">
        <f>($J334-$I334)*100</f>
        <v/>
      </c>
    </row>
    <row r="335">
      <c r="A335" s="17" t="n">
        <v>44666</v>
      </c>
      <c r="B335" s="16" t="n">
        <v>-0.061</v>
      </c>
      <c r="C335" s="16" t="n">
        <v>0.242</v>
      </c>
      <c r="D335" s="16" t="n">
        <v>0.9379999999999999</v>
      </c>
      <c r="E335" s="16" t="n">
        <v>2.47</v>
      </c>
      <c r="F335" s="16" t="n">
        <v>2.83</v>
      </c>
      <c r="G335" s="16" t="n">
        <v>3.219</v>
      </c>
      <c r="H335" s="16" t="n">
        <v>0.7463</v>
      </c>
      <c r="I335" s="16" t="n">
        <v>-0.0051</v>
      </c>
      <c r="J335" s="16" t="n">
        <v>0.8707</v>
      </c>
      <c r="K335" s="16" t="n">
        <v>1.843</v>
      </c>
      <c r="L335" s="16" t="n">
        <v>0.15</v>
      </c>
      <c r="M335" s="9">
        <f>($C335-$B335)*100</f>
        <v/>
      </c>
      <c r="N335" s="9">
        <f>($D335-$C335)*100</f>
        <v/>
      </c>
      <c r="O335" s="9">
        <f>($F335-$E335)*100</f>
        <v/>
      </c>
      <c r="P335" s="9">
        <f>($J335-$I335)*100</f>
        <v/>
      </c>
    </row>
    <row r="336">
      <c r="A336" s="17" t="n">
        <v>44673</v>
      </c>
      <c r="B336" s="16" t="n">
        <v>-0.057</v>
      </c>
      <c r="C336" s="16" t="n">
        <v>0.25</v>
      </c>
      <c r="D336" s="16" t="n">
        <v>1.015</v>
      </c>
      <c r="E336" s="16" t="n">
        <v>2.72</v>
      </c>
      <c r="F336" s="16" t="n">
        <v>2.9</v>
      </c>
      <c r="G336" s="16" t="n">
        <v>3.219</v>
      </c>
      <c r="H336" s="16" t="n">
        <v>0.7463</v>
      </c>
      <c r="I336" s="16" t="n">
        <v>0.2272</v>
      </c>
      <c r="J336" s="16" t="n">
        <v>0.9771</v>
      </c>
      <c r="K336" s="16" t="n">
        <v>2.214</v>
      </c>
      <c r="L336" s="16" t="n">
        <v>0.18</v>
      </c>
      <c r="M336" s="9">
        <f>($C336-$B336)*100</f>
        <v/>
      </c>
      <c r="N336" s="9">
        <f>($D336-$C336)*100</f>
        <v/>
      </c>
      <c r="O336" s="9">
        <f>($F336-$E336)*100</f>
        <v/>
      </c>
      <c r="P336" s="9">
        <f>($J336-$I336)*100</f>
        <v/>
      </c>
    </row>
    <row r="337">
      <c r="A337" s="17" t="n">
        <v>44680</v>
      </c>
      <c r="B337" s="16" t="n">
        <v>-0.06</v>
      </c>
      <c r="C337" s="16" t="n">
        <v>0.22</v>
      </c>
      <c r="D337" s="16" t="n">
        <v>0.974</v>
      </c>
      <c r="E337" s="16" t="n">
        <v>2.7</v>
      </c>
      <c r="F337" s="16" t="n">
        <v>2.89</v>
      </c>
      <c r="G337" s="16" t="n">
        <v>3.219</v>
      </c>
      <c r="H337" s="16" t="n">
        <v>0.7463</v>
      </c>
      <c r="I337" s="16" t="n">
        <v>0.2135</v>
      </c>
      <c r="J337" s="16" t="n">
        <v>0.9394</v>
      </c>
      <c r="K337" s="16" t="n">
        <v>2.152</v>
      </c>
      <c r="L337" s="16" t="n">
        <v>0.18</v>
      </c>
      <c r="M337" s="9">
        <f>($C337-$B337)*100</f>
        <v/>
      </c>
      <c r="N337" s="9">
        <f>($D337-$C337)*100</f>
        <v/>
      </c>
      <c r="O337" s="9">
        <f>($F337-$E337)*100</f>
        <v/>
      </c>
      <c r="P337" s="9">
        <f>($J337-$I337)*100</f>
        <v/>
      </c>
    </row>
    <row r="338">
      <c r="A338" s="17" t="n">
        <v>44687</v>
      </c>
      <c r="B338" s="16" t="n">
        <v>-0.045</v>
      </c>
      <c r="C338" s="16" t="n">
        <v>0.247</v>
      </c>
      <c r="D338" s="16" t="n">
        <v>1.012</v>
      </c>
      <c r="E338" s="16" t="n">
        <v>2.72</v>
      </c>
      <c r="F338" s="16" t="n">
        <v>3.12</v>
      </c>
      <c r="G338" s="16" t="n">
        <v>3.295</v>
      </c>
      <c r="H338" s="16" t="n">
        <v>0.9527</v>
      </c>
      <c r="I338" s="16" t="n">
        <v>0.3034</v>
      </c>
      <c r="J338" s="16" t="n">
        <v>1.1279</v>
      </c>
      <c r="K338" s="16" t="n">
        <v>2.312</v>
      </c>
      <c r="L338" s="16" t="n">
        <v>0.19</v>
      </c>
      <c r="M338" s="9">
        <f>($C338-$B338)*100</f>
        <v/>
      </c>
      <c r="N338" s="9">
        <f>($D338-$C338)*100</f>
        <v/>
      </c>
      <c r="O338" s="9">
        <f>($F338-$E338)*100</f>
        <v/>
      </c>
      <c r="P338" s="9">
        <f>($J338-$I338)*100</f>
        <v/>
      </c>
    </row>
    <row r="339">
      <c r="A339" s="17" t="n">
        <v>44694</v>
      </c>
      <c r="B339" s="16" t="n">
        <v>-0.057</v>
      </c>
      <c r="C339" s="16" t="n">
        <v>0.247</v>
      </c>
      <c r="D339" s="16" t="n">
        <v>0.998</v>
      </c>
      <c r="E339" s="16" t="n">
        <v>2.61</v>
      </c>
      <c r="F339" s="16" t="n">
        <v>2.93</v>
      </c>
      <c r="G339" s="16" t="n">
        <v>3.295</v>
      </c>
      <c r="H339" s="16" t="n">
        <v>0.9527</v>
      </c>
      <c r="I339" s="16" t="n">
        <v>0.0985</v>
      </c>
      <c r="J339" s="16" t="n">
        <v>0.998</v>
      </c>
      <c r="K339" s="16" t="n">
        <v>2.374</v>
      </c>
      <c r="L339" s="16" t="n">
        <v>0.26</v>
      </c>
      <c r="M339" s="9">
        <f>($C339-$B339)*100</f>
        <v/>
      </c>
      <c r="N339" s="9">
        <f>($D339-$C339)*100</f>
        <v/>
      </c>
      <c r="O339" s="9">
        <f>($F339-$E339)*100</f>
        <v/>
      </c>
      <c r="P339" s="9">
        <f>($J339-$I339)*100</f>
        <v/>
      </c>
    </row>
    <row r="340">
      <c r="A340" s="17" t="n">
        <v>44701</v>
      </c>
      <c r="B340" s="16" t="n">
        <v>-0.056</v>
      </c>
      <c r="C340" s="16" t="n">
        <v>0.243</v>
      </c>
      <c r="D340" s="16" t="n">
        <v>0.989</v>
      </c>
      <c r="E340" s="16" t="n">
        <v>2.6</v>
      </c>
      <c r="F340" s="16" t="n">
        <v>2.78</v>
      </c>
      <c r="G340" s="16" t="n">
        <v>3.295</v>
      </c>
      <c r="H340" s="16" t="n">
        <v>0.9527</v>
      </c>
      <c r="I340" s="16" t="n">
        <v>0.2044</v>
      </c>
      <c r="J340" s="16" t="n">
        <v>1.0349</v>
      </c>
      <c r="K340" s="16" t="n">
        <v>2.204</v>
      </c>
      <c r="L340" s="16" t="n">
        <v>0.3</v>
      </c>
      <c r="M340" s="9">
        <f>($C340-$B340)*100</f>
        <v/>
      </c>
      <c r="N340" s="9">
        <f>($D340-$C340)*100</f>
        <v/>
      </c>
      <c r="O340" s="9">
        <f>($F340-$E340)*100</f>
        <v/>
      </c>
      <c r="P340" s="9">
        <f>($J340-$I340)*100</f>
        <v/>
      </c>
    </row>
    <row r="341">
      <c r="A341" s="17" t="n">
        <v>44708</v>
      </c>
      <c r="B341" s="16" t="n">
        <v>-0.067</v>
      </c>
      <c r="C341" s="16" t="n">
        <v>0.236</v>
      </c>
      <c r="D341" s="16" t="n">
        <v>0.989</v>
      </c>
      <c r="E341" s="16" t="n">
        <v>2.47</v>
      </c>
      <c r="F341" s="16" t="n">
        <v>2.74</v>
      </c>
      <c r="G341" s="16" t="n">
        <v>3.295</v>
      </c>
      <c r="H341" s="16" t="n">
        <v>0.9527</v>
      </c>
      <c r="I341" s="16" t="n">
        <v>0.1699</v>
      </c>
      <c r="J341" s="16" t="n">
        <v>1.0514</v>
      </c>
      <c r="K341" s="16" t="n">
        <v>2.065</v>
      </c>
      <c r="L341" s="16" t="n">
        <v>0.25</v>
      </c>
      <c r="M341" s="9">
        <f>($C341-$B341)*100</f>
        <v/>
      </c>
      <c r="N341" s="9">
        <f>($D341-$C341)*100</f>
        <v/>
      </c>
      <c r="O341" s="9">
        <f>($F341-$E341)*100</f>
        <v/>
      </c>
      <c r="P341" s="9">
        <f>($J341-$I341)*100</f>
        <v/>
      </c>
    </row>
    <row r="342">
      <c r="A342" s="17" t="n">
        <v>44715</v>
      </c>
      <c r="B342" s="16" t="n">
        <v>-0.07000000000000001</v>
      </c>
      <c r="C342" s="16" t="n">
        <v>0.241</v>
      </c>
      <c r="D342" s="16" t="n">
        <v>1.025</v>
      </c>
      <c r="E342" s="16" t="n">
        <v>2.66</v>
      </c>
      <c r="F342" s="16" t="n">
        <v>2.96</v>
      </c>
      <c r="G342" s="16" t="n">
        <v>3.64</v>
      </c>
      <c r="H342" s="16" t="n">
        <v>1.445</v>
      </c>
      <c r="I342" s="16" t="n">
        <v>0.4968</v>
      </c>
      <c r="J342" s="16" t="n">
        <v>1.3546</v>
      </c>
      <c r="K342" s="16" t="n">
        <v>2.115</v>
      </c>
      <c r="L342" s="16" t="n">
        <v>0.26</v>
      </c>
      <c r="M342" s="9">
        <f>($C342-$B342)*100</f>
        <v/>
      </c>
      <c r="N342" s="9">
        <f>($D342-$C342)*100</f>
        <v/>
      </c>
      <c r="O342" s="9">
        <f>($F342-$E342)*100</f>
        <v/>
      </c>
      <c r="P342" s="9">
        <f>($J342-$I342)*100</f>
        <v/>
      </c>
    </row>
    <row r="343">
      <c r="A343" s="17" t="n">
        <v>44722</v>
      </c>
      <c r="B343" s="16" t="n">
        <v>-0.081</v>
      </c>
      <c r="C343" s="16" t="n">
        <v>0.261</v>
      </c>
      <c r="D343" s="16" t="n">
        <v>1.079</v>
      </c>
      <c r="E343" s="16" t="n">
        <v>3.06</v>
      </c>
      <c r="F343" s="16" t="n">
        <v>3.15</v>
      </c>
      <c r="G343" s="16" t="n">
        <v>3.64</v>
      </c>
      <c r="H343" s="16" t="n">
        <v>1.445</v>
      </c>
      <c r="I343" s="16" t="n">
        <v>0.8737</v>
      </c>
      <c r="J343" s="16" t="n">
        <v>1.5284</v>
      </c>
      <c r="K343" s="16" t="n">
        <v>2.277</v>
      </c>
      <c r="L343" s="16" t="n">
        <v>0.26</v>
      </c>
      <c r="M343" s="9">
        <f>($C343-$B343)*100</f>
        <v/>
      </c>
      <c r="N343" s="9">
        <f>($D343-$C343)*100</f>
        <v/>
      </c>
      <c r="O343" s="9">
        <f>($F343-$E343)*100</f>
        <v/>
      </c>
      <c r="P343" s="9">
        <f>($J343-$I343)*100</f>
        <v/>
      </c>
    </row>
    <row r="344">
      <c r="A344" s="17" t="n">
        <v>44729</v>
      </c>
      <c r="B344" s="16" t="n">
        <v>-0.07099999999999999</v>
      </c>
      <c r="C344" s="16" t="n">
        <v>0.239</v>
      </c>
      <c r="D344" s="16" t="n">
        <v>1.152</v>
      </c>
      <c r="E344" s="16" t="n">
        <v>3.17</v>
      </c>
      <c r="F344" s="16" t="n">
        <v>3.25</v>
      </c>
      <c r="G344" s="16" t="n">
        <v>3.64</v>
      </c>
      <c r="H344" s="16" t="n">
        <v>1.445</v>
      </c>
      <c r="I344" s="16" t="n">
        <v>1.0755</v>
      </c>
      <c r="J344" s="16" t="n">
        <v>1.7825</v>
      </c>
      <c r="K344" s="16" t="n">
        <v>2.816</v>
      </c>
      <c r="L344" s="16" t="n">
        <v>0.32</v>
      </c>
      <c r="M344" s="9">
        <f>($C344-$B344)*100</f>
        <v/>
      </c>
      <c r="N344" s="9">
        <f>($D344-$C344)*100</f>
        <v/>
      </c>
      <c r="O344" s="9">
        <f>($F344-$E344)*100</f>
        <v/>
      </c>
      <c r="P344" s="9">
        <f>($J344-$I344)*100</f>
        <v/>
      </c>
    </row>
    <row r="345">
      <c r="A345" s="17" t="n">
        <v>44736</v>
      </c>
      <c r="B345" s="16" t="n">
        <v>-0.079</v>
      </c>
      <c r="C345" s="16" t="n">
        <v>0.24</v>
      </c>
      <c r="D345" s="16" t="n">
        <v>1.211</v>
      </c>
      <c r="E345" s="16" t="n">
        <v>3.04</v>
      </c>
      <c r="F345" s="16" t="n">
        <v>3.13</v>
      </c>
      <c r="G345" s="16" t="n">
        <v>3.64</v>
      </c>
      <c r="H345" s="16" t="n">
        <v>1.445</v>
      </c>
      <c r="I345" s="16" t="n">
        <v>0.8395</v>
      </c>
      <c r="J345" s="16" t="n">
        <v>1.5847</v>
      </c>
      <c r="K345" s="16" t="n">
        <v>2.749</v>
      </c>
      <c r="L345" s="16" t="n">
        <v>0.8100000000000001</v>
      </c>
      <c r="M345" s="9">
        <f>($C345-$B345)*100</f>
        <v/>
      </c>
      <c r="N345" s="9">
        <f>($D345-$C345)*100</f>
        <v/>
      </c>
      <c r="O345" s="9">
        <f>($F345-$E345)*100</f>
        <v/>
      </c>
      <c r="P345" s="9">
        <f>($J345-$I345)*100</f>
        <v/>
      </c>
    </row>
    <row r="346">
      <c r="A346" s="17" t="n">
        <v>44743</v>
      </c>
      <c r="B346" s="16" t="n">
        <v>-0.07000000000000001</v>
      </c>
      <c r="C346" s="16" t="n">
        <v>0.229</v>
      </c>
      <c r="D346" s="16" t="n">
        <v>1.205</v>
      </c>
      <c r="E346" s="16" t="n">
        <v>2.84</v>
      </c>
      <c r="F346" s="16" t="n">
        <v>2.88</v>
      </c>
      <c r="G346" s="16" t="n">
        <v>3.3</v>
      </c>
      <c r="H346" s="16" t="n">
        <v>1.0819</v>
      </c>
      <c r="I346" s="16" t="n">
        <v>0.5039</v>
      </c>
      <c r="J346" s="16" t="n">
        <v>1.4045</v>
      </c>
      <c r="K346" s="16" t="n">
        <v>2.609</v>
      </c>
      <c r="L346" s="16" t="n">
        <v>0.97</v>
      </c>
      <c r="M346" s="9">
        <f>($C346-$B346)*100</f>
        <v/>
      </c>
      <c r="N346" s="9">
        <f>($D346-$C346)*100</f>
        <v/>
      </c>
      <c r="O346" s="9">
        <f>($F346-$E346)*100</f>
        <v/>
      </c>
      <c r="P346" s="9">
        <f>($J346-$I346)*100</f>
        <v/>
      </c>
    </row>
    <row r="347">
      <c r="A347" s="17" t="n">
        <v>44750</v>
      </c>
      <c r="B347" s="16" t="n">
        <v>-0.07000000000000001</v>
      </c>
      <c r="C347" s="16" t="n">
        <v>0.248</v>
      </c>
      <c r="D347" s="16" t="n">
        <v>1.249</v>
      </c>
      <c r="E347" s="16" t="n">
        <v>3.12</v>
      </c>
      <c r="F347" s="16" t="n">
        <v>3.09</v>
      </c>
      <c r="G347" s="16" t="n">
        <v>3.3</v>
      </c>
      <c r="H347" s="16" t="n">
        <v>1.0819</v>
      </c>
      <c r="I347" s="16" t="n">
        <v>0.4719</v>
      </c>
      <c r="J347" s="16" t="n">
        <v>1.3735</v>
      </c>
      <c r="K347" s="16" t="n">
        <v>2.406</v>
      </c>
      <c r="L347" s="16" t="n">
        <v>0.98</v>
      </c>
      <c r="M347" s="9">
        <f>($C347-$B347)*100</f>
        <v/>
      </c>
      <c r="N347" s="9">
        <f>($D347-$C347)*100</f>
        <v/>
      </c>
      <c r="O347" s="9">
        <f>($F347-$E347)*100</f>
        <v/>
      </c>
      <c r="P347" s="9">
        <f>($J347-$I347)*100</f>
        <v/>
      </c>
    </row>
    <row r="348">
      <c r="A348" s="17" t="n">
        <v>44757</v>
      </c>
      <c r="B348" s="16" t="n">
        <v>-0.061</v>
      </c>
      <c r="C348" s="16" t="n">
        <v>0.235</v>
      </c>
      <c r="D348" s="16" t="n">
        <v>1.213</v>
      </c>
      <c r="E348" s="16" t="n">
        <v>3.13</v>
      </c>
      <c r="F348" s="16" t="n">
        <v>2.93</v>
      </c>
      <c r="G348" s="16" t="n">
        <v>3.3</v>
      </c>
      <c r="H348" s="16" t="n">
        <v>1.0819</v>
      </c>
      <c r="I348" s="16" t="n">
        <v>0.4458</v>
      </c>
      <c r="J348" s="16" t="n">
        <v>1.2206</v>
      </c>
      <c r="K348" s="16" t="n">
        <v>2.71</v>
      </c>
      <c r="L348" s="16" t="n">
        <v>1.25</v>
      </c>
      <c r="M348" s="9">
        <f>($C348-$B348)*100</f>
        <v/>
      </c>
      <c r="N348" s="9">
        <f>($D348-$C348)*100</f>
        <v/>
      </c>
      <c r="O348" s="9">
        <f>($F348-$E348)*100</f>
        <v/>
      </c>
      <c r="P348" s="9">
        <f>($J348-$I348)*100</f>
        <v/>
      </c>
    </row>
    <row r="349">
      <c r="A349" s="17" t="n">
        <v>44764</v>
      </c>
      <c r="B349" s="16" t="n">
        <v>-0.077</v>
      </c>
      <c r="C349" s="16" t="n">
        <v>0.222</v>
      </c>
      <c r="D349" s="16" t="n">
        <v>1.237</v>
      </c>
      <c r="E349" s="16" t="n">
        <v>2.98</v>
      </c>
      <c r="F349" s="16" t="n">
        <v>2.77</v>
      </c>
      <c r="G349" s="16" t="n">
        <v>3.3</v>
      </c>
      <c r="H349" s="16" t="n">
        <v>1.0819</v>
      </c>
      <c r="I349" s="16" t="n">
        <v>0.3878</v>
      </c>
      <c r="J349" s="16" t="n">
        <v>1.1003</v>
      </c>
      <c r="K349" s="16" t="n">
        <v>2.719</v>
      </c>
      <c r="L349" s="16" t="n">
        <v>1.45</v>
      </c>
      <c r="M349" s="9">
        <f>($C349-$B349)*100</f>
        <v/>
      </c>
      <c r="N349" s="9">
        <f>($D349-$C349)*100</f>
        <v/>
      </c>
      <c r="O349" s="9">
        <f>($F349-$E349)*100</f>
        <v/>
      </c>
      <c r="P349" s="9">
        <f>($J349-$I349)*100</f>
        <v/>
      </c>
    </row>
    <row r="350">
      <c r="A350" s="17" t="n">
        <v>44771</v>
      </c>
      <c r="B350" s="16" t="n">
        <v>-0.09</v>
      </c>
      <c r="C350" s="16" t="n">
        <v>0.185</v>
      </c>
      <c r="D350" s="16" t="n">
        <v>1.204</v>
      </c>
      <c r="E350" s="16" t="n">
        <v>2.89</v>
      </c>
      <c r="F350" s="16" t="n">
        <v>2.67</v>
      </c>
      <c r="G350" s="16" t="n">
        <v>3.3</v>
      </c>
      <c r="H350" s="16" t="n">
        <v>1.0819</v>
      </c>
      <c r="I350" s="16" t="n">
        <v>0.2544</v>
      </c>
      <c r="J350" s="16" t="n">
        <v>0.9285</v>
      </c>
      <c r="K350" s="16" t="n">
        <v>2.538</v>
      </c>
      <c r="L350" s="16" t="n">
        <v>1.53</v>
      </c>
      <c r="M350" s="9">
        <f>($C350-$B350)*100</f>
        <v/>
      </c>
      <c r="N350" s="9">
        <f>($D350-$C350)*100</f>
        <v/>
      </c>
      <c r="O350" s="9">
        <f>($F350-$E350)*100</f>
        <v/>
      </c>
      <c r="P350" s="9">
        <f>($J350-$I350)*100</f>
        <v/>
      </c>
    </row>
    <row r="351">
      <c r="A351" s="17" t="n">
        <v>44778</v>
      </c>
      <c r="B351" s="16" t="n">
        <v>-0.1</v>
      </c>
      <c r="C351" s="16" t="n">
        <v>0.172</v>
      </c>
      <c r="D351" s="16" t="n">
        <v>1.17</v>
      </c>
      <c r="E351" s="16" t="n">
        <v>3.24</v>
      </c>
      <c r="F351" s="16" t="n">
        <v>2.83</v>
      </c>
      <c r="G351" s="16" t="n">
        <v>3.322</v>
      </c>
      <c r="H351" s="16" t="n">
        <v>1.0343</v>
      </c>
      <c r="I351" s="16" t="n">
        <v>0.4306</v>
      </c>
      <c r="J351" s="16" t="n">
        <v>0.9656</v>
      </c>
      <c r="K351" s="16" t="n">
        <v>2.726</v>
      </c>
      <c r="L351" s="16" t="n">
        <v>1.63</v>
      </c>
      <c r="M351" s="9">
        <f>($C351-$B351)*100</f>
        <v/>
      </c>
      <c r="N351" s="9">
        <f>($D351-$C351)*100</f>
        <v/>
      </c>
      <c r="O351" s="9">
        <f>($F351-$E351)*100</f>
        <v/>
      </c>
      <c r="P351" s="9">
        <f>($J351-$I351)*100</f>
        <v/>
      </c>
    </row>
    <row r="352">
      <c r="A352" s="17" t="n">
        <v>44785</v>
      </c>
      <c r="B352" s="16" t="n">
        <v>-0.08599999999999999</v>
      </c>
      <c r="C352" s="16" t="n">
        <v>0.197</v>
      </c>
      <c r="D352" s="16" t="n">
        <v>1.12</v>
      </c>
      <c r="E352" s="16" t="n">
        <v>3.25</v>
      </c>
      <c r="F352" s="16" t="n">
        <v>2.84</v>
      </c>
      <c r="G352" s="16" t="n">
        <v>3.322</v>
      </c>
      <c r="H352" s="16" t="n">
        <v>1.0343</v>
      </c>
      <c r="I352" s="16" t="n">
        <v>0.4472</v>
      </c>
      <c r="J352" s="16" t="n">
        <v>1.0364</v>
      </c>
      <c r="K352" s="16" t="n">
        <v>2.777</v>
      </c>
      <c r="L352" s="16" t="n">
        <v>1.84</v>
      </c>
      <c r="M352" s="9">
        <f>($C352-$B352)*100</f>
        <v/>
      </c>
      <c r="N352" s="9">
        <f>($D352-$C352)*100</f>
        <v/>
      </c>
      <c r="O352" s="9">
        <f>($F352-$E352)*100</f>
        <v/>
      </c>
      <c r="P352" s="9">
        <f>($J352-$I352)*100</f>
        <v/>
      </c>
    </row>
    <row r="353">
      <c r="A353" s="17" t="n">
        <v>44792</v>
      </c>
      <c r="B353" s="16" t="n">
        <v>-0.08599999999999999</v>
      </c>
      <c r="C353" s="16" t="n">
        <v>0.208</v>
      </c>
      <c r="D353" s="16" t="n">
        <v>1.098</v>
      </c>
      <c r="E353" s="16" t="n">
        <v>3.25</v>
      </c>
      <c r="F353" s="16" t="n">
        <v>2.98</v>
      </c>
      <c r="G353" s="16" t="n">
        <v>3.322</v>
      </c>
      <c r="H353" s="16" t="n">
        <v>1.0343</v>
      </c>
      <c r="I353" s="16" t="n">
        <v>0.7323</v>
      </c>
      <c r="J353" s="16" t="n">
        <v>1.2943</v>
      </c>
      <c r="K353" s="16" t="n">
        <v>2.949</v>
      </c>
      <c r="L353" s="16" t="n">
        <v>2.05</v>
      </c>
      <c r="M353" s="9">
        <f>($C353-$B353)*100</f>
        <v/>
      </c>
      <c r="N353" s="9">
        <f>($D353-$C353)*100</f>
        <v/>
      </c>
      <c r="O353" s="9">
        <f>($F353-$E353)*100</f>
        <v/>
      </c>
      <c r="P353" s="9">
        <f>($J353-$I353)*100</f>
        <v/>
      </c>
    </row>
    <row r="354">
      <c r="A354" s="17" t="n">
        <v>44799</v>
      </c>
      <c r="B354" s="16" t="n">
        <v>-0.08699999999999999</v>
      </c>
      <c r="C354" s="16" t="n">
        <v>0.23</v>
      </c>
      <c r="D354" s="16" t="n">
        <v>1.168</v>
      </c>
      <c r="E354" s="16" t="n">
        <v>3.37</v>
      </c>
      <c r="F354" s="16" t="n">
        <v>3.04</v>
      </c>
      <c r="G354" s="16" t="n">
        <v>3.322</v>
      </c>
      <c r="H354" s="16" t="n">
        <v>1.0343</v>
      </c>
      <c r="I354" s="16" t="n">
        <v>0.8823</v>
      </c>
      <c r="J354" s="16" t="n">
        <v>1.5171</v>
      </c>
      <c r="K354" s="16" t="n">
        <v>3.08</v>
      </c>
      <c r="L354" s="16" t="n">
        <v>2.14</v>
      </c>
      <c r="M354" s="9">
        <f>($C354-$B354)*100</f>
        <v/>
      </c>
      <c r="N354" s="9">
        <f>($D354-$C354)*100</f>
        <v/>
      </c>
      <c r="O354" s="9">
        <f>($F354-$E354)*100</f>
        <v/>
      </c>
      <c r="P354" s="9">
        <f>($J354-$I354)*100</f>
        <v/>
      </c>
    </row>
    <row r="355">
      <c r="A355" s="17" t="n">
        <v>44806</v>
      </c>
      <c r="B355" s="16" t="n">
        <v>-0.08500000000000001</v>
      </c>
      <c r="C355" s="16" t="n">
        <v>0.25</v>
      </c>
      <c r="D355" s="16" t="n">
        <v>1.273</v>
      </c>
      <c r="E355" s="16" t="n">
        <v>3.4</v>
      </c>
      <c r="F355" s="16" t="n">
        <v>3.2</v>
      </c>
      <c r="G355" s="16" t="n">
        <v>3.897</v>
      </c>
      <c r="H355" s="16" t="n">
        <v>1.7955</v>
      </c>
      <c r="I355" s="16" t="n">
        <v>0.9784</v>
      </c>
      <c r="J355" s="16" t="n">
        <v>1.544</v>
      </c>
      <c r="K355" s="16" t="n">
        <v>3.281</v>
      </c>
      <c r="L355" s="16" t="n">
        <v>2.31</v>
      </c>
      <c r="M355" s="9">
        <f>($C355-$B355)*100</f>
        <v/>
      </c>
      <c r="N355" s="9">
        <f>($D355-$C355)*100</f>
        <v/>
      </c>
      <c r="O355" s="9">
        <f>($F355-$E355)*100</f>
        <v/>
      </c>
      <c r="P355" s="9">
        <f>($J355-$I355)*100</f>
        <v/>
      </c>
    </row>
    <row r="356">
      <c r="A356" s="17" t="n">
        <v>44813</v>
      </c>
      <c r="B356" s="16" t="n">
        <v>-0.081</v>
      </c>
      <c r="C356" s="16" t="n">
        <v>0.265</v>
      </c>
      <c r="D356" s="16" t="n">
        <v>1.316</v>
      </c>
      <c r="E356" s="16" t="n">
        <v>3.56</v>
      </c>
      <c r="F356" s="16" t="n">
        <v>3.33</v>
      </c>
      <c r="G356" s="16" t="n">
        <v>3.897</v>
      </c>
      <c r="H356" s="16" t="n">
        <v>1.7955</v>
      </c>
      <c r="I356" s="16" t="n">
        <v>1.1945</v>
      </c>
      <c r="J356" s="16" t="n">
        <v>1.748</v>
      </c>
      <c r="K356" s="16" t="n">
        <v>3.257</v>
      </c>
      <c r="L356" s="16" t="n">
        <v>2.37</v>
      </c>
      <c r="M356" s="9">
        <f>($C356-$B356)*100</f>
        <v/>
      </c>
      <c r="N356" s="9">
        <f>($D356-$C356)*100</f>
        <v/>
      </c>
      <c r="O356" s="9">
        <f>($F356-$E356)*100</f>
        <v/>
      </c>
      <c r="P356" s="9">
        <f>($J356-$I356)*100</f>
        <v/>
      </c>
    </row>
    <row r="357">
      <c r="A357" s="17" t="n">
        <v>44820</v>
      </c>
      <c r="B357" s="16" t="n">
        <v>-0.07099999999999999</v>
      </c>
      <c r="C357" s="16" t="n">
        <v>0.273</v>
      </c>
      <c r="D357" s="16" t="n">
        <v>1.293</v>
      </c>
      <c r="E357" s="16" t="n">
        <v>3.85</v>
      </c>
      <c r="F357" s="16" t="n">
        <v>3.45</v>
      </c>
      <c r="G357" s="16" t="n">
        <v>3.897</v>
      </c>
      <c r="H357" s="16" t="n">
        <v>1.7955</v>
      </c>
      <c r="I357" s="16" t="n">
        <v>1.452</v>
      </c>
      <c r="J357" s="16" t="n">
        <v>1.8201</v>
      </c>
      <c r="K357" s="16" t="n">
        <v>3.613</v>
      </c>
      <c r="L357" s="16" t="n">
        <v>2.51</v>
      </c>
      <c r="M357" s="9">
        <f>($C357-$B357)*100</f>
        <v/>
      </c>
      <c r="N357" s="9">
        <f>($D357-$C357)*100</f>
        <v/>
      </c>
      <c r="O357" s="9">
        <f>($F357-$E357)*100</f>
        <v/>
      </c>
      <c r="P357" s="9">
        <f>($J357-$I357)*100</f>
        <v/>
      </c>
    </row>
    <row r="358">
      <c r="A358" s="17" t="n">
        <v>44827</v>
      </c>
      <c r="B358" s="16" t="n">
        <v>-0.066</v>
      </c>
      <c r="C358" s="16" t="n">
        <v>0.27</v>
      </c>
      <c r="D358" s="16" t="n">
        <v>1.312</v>
      </c>
      <c r="E358" s="16" t="n">
        <v>4.2</v>
      </c>
      <c r="F358" s="16" t="n">
        <v>3.69</v>
      </c>
      <c r="G358" s="16" t="n">
        <v>3.897</v>
      </c>
      <c r="H358" s="16" t="n">
        <v>1.7955</v>
      </c>
      <c r="I358" s="16" t="n">
        <v>1.8147</v>
      </c>
      <c r="J358" s="16" t="n">
        <v>2.0151</v>
      </c>
      <c r="K358" s="16" t="n">
        <v>3.901</v>
      </c>
      <c r="L358" s="16" t="n">
        <v>2.7</v>
      </c>
      <c r="M358" s="9">
        <f>($C358-$B358)*100</f>
        <v/>
      </c>
      <c r="N358" s="9">
        <f>($D358-$C358)*100</f>
        <v/>
      </c>
      <c r="O358" s="9">
        <f>($F358-$E358)*100</f>
        <v/>
      </c>
      <c r="P358" s="9">
        <f>($J358-$I358)*100</f>
        <v/>
      </c>
    </row>
    <row r="359">
      <c r="A359" s="17" t="n">
        <v>44834</v>
      </c>
      <c r="B359" s="16" t="n">
        <v>-0.05</v>
      </c>
      <c r="C359" s="16" t="n">
        <v>0.277</v>
      </c>
      <c r="D359" s="16" t="n">
        <v>1.391</v>
      </c>
      <c r="E359" s="16" t="n">
        <v>4.22</v>
      </c>
      <c r="F359" s="16" t="n">
        <v>3.83</v>
      </c>
      <c r="G359" s="16" t="n">
        <v>3.897</v>
      </c>
      <c r="H359" s="16" t="n">
        <v>1.7955</v>
      </c>
      <c r="I359" s="16" t="n">
        <v>1.6662</v>
      </c>
      <c r="J359" s="16" t="n">
        <v>2.1348</v>
      </c>
      <c r="K359" s="16" t="n">
        <v>3.98</v>
      </c>
      <c r="L359" s="16" t="n">
        <v>2.79</v>
      </c>
      <c r="M359" s="9">
        <f>($C359-$B359)*100</f>
        <v/>
      </c>
      <c r="N359" s="9">
        <f>($D359-$C359)*100</f>
        <v/>
      </c>
      <c r="O359" s="9">
        <f>($F359-$E359)*100</f>
        <v/>
      </c>
      <c r="P359" s="9">
        <f>($J359-$I359)*100</f>
        <v/>
      </c>
    </row>
    <row r="360">
      <c r="A360" s="17" t="n">
        <v>44841</v>
      </c>
      <c r="B360" s="16" t="n">
        <v>-0.065</v>
      </c>
      <c r="C360" s="16" t="n">
        <v>0.25</v>
      </c>
      <c r="D360" s="16" t="n">
        <v>1.369</v>
      </c>
      <c r="E360" s="16" t="n">
        <v>4.3</v>
      </c>
      <c r="F360" s="16" t="n">
        <v>3.89</v>
      </c>
      <c r="G360" s="16" t="n">
        <v>4.267</v>
      </c>
      <c r="H360" s="16" t="n">
        <v>2.1867</v>
      </c>
      <c r="I360" s="16" t="n">
        <v>1.7954</v>
      </c>
      <c r="J360" s="16" t="n">
        <v>2.2781</v>
      </c>
      <c r="K360" s="16" t="n">
        <v>4.014</v>
      </c>
      <c r="L360" s="16" t="n">
        <v>2.84</v>
      </c>
      <c r="M360" s="9">
        <f>($C360-$B360)*100</f>
        <v/>
      </c>
      <c r="N360" s="9">
        <f>($D360-$C360)*100</f>
        <v/>
      </c>
      <c r="O360" s="9">
        <f>($F360-$E360)*100</f>
        <v/>
      </c>
      <c r="P360" s="9">
        <f>($J360-$I360)*100</f>
        <v/>
      </c>
    </row>
    <row r="361">
      <c r="A361" s="17" t="n">
        <v>44848</v>
      </c>
      <c r="B361" s="16" t="n">
        <v>-0.05</v>
      </c>
      <c r="C361" s="16" t="n">
        <v>0.253</v>
      </c>
      <c r="D361" s="16" t="n">
        <v>1.456</v>
      </c>
      <c r="E361" s="16" t="n">
        <v>4.48</v>
      </c>
      <c r="F361" s="16" t="n">
        <v>4</v>
      </c>
      <c r="G361" s="16" t="n">
        <v>4.267</v>
      </c>
      <c r="H361" s="16" t="n">
        <v>2.1867</v>
      </c>
      <c r="I361" s="16" t="n">
        <v>1.8322</v>
      </c>
      <c r="J361" s="16" t="n">
        <v>2.3909</v>
      </c>
      <c r="K361" s="16" t="n">
        <v>4.347</v>
      </c>
      <c r="L361" s="16" t="n">
        <v>2.92</v>
      </c>
      <c r="M361" s="9">
        <f>($C361-$B361)*100</f>
        <v/>
      </c>
      <c r="N361" s="9">
        <f>($D361-$C361)*100</f>
        <v/>
      </c>
      <c r="O361" s="9">
        <f>($F361-$E361)*100</f>
        <v/>
      </c>
      <c r="P361" s="9">
        <f>($J361-$I361)*100</f>
        <v/>
      </c>
    </row>
    <row r="362">
      <c r="A362" s="17" t="n">
        <v>44855</v>
      </c>
      <c r="B362" s="16" t="n">
        <v>-0.003</v>
      </c>
      <c r="C362" s="16" t="n">
        <v>0.261</v>
      </c>
      <c r="D362" s="16" t="n">
        <v>1.558</v>
      </c>
      <c r="E362" s="16" t="n">
        <v>4.49</v>
      </c>
      <c r="F362" s="16" t="n">
        <v>4.21</v>
      </c>
      <c r="G362" s="16" t="n">
        <v>4.267</v>
      </c>
      <c r="H362" s="16" t="n">
        <v>2.1867</v>
      </c>
      <c r="I362" s="16" t="n">
        <v>2.0586</v>
      </c>
      <c r="J362" s="16" t="n">
        <v>2.5454</v>
      </c>
      <c r="K362" s="16" t="n">
        <v>4.552</v>
      </c>
      <c r="L362" s="16" t="n">
        <v>3.05</v>
      </c>
      <c r="M362" s="9">
        <f>($C362-$B362)*100</f>
        <v/>
      </c>
      <c r="N362" s="9">
        <f>($D362-$C362)*100</f>
        <v/>
      </c>
      <c r="O362" s="9">
        <f>($F362-$E362)*100</f>
        <v/>
      </c>
      <c r="P362" s="9">
        <f>($J362-$I362)*100</f>
        <v/>
      </c>
    </row>
    <row r="363">
      <c r="A363" s="17" t="n">
        <v>44862</v>
      </c>
      <c r="B363" s="16" t="n">
        <v>-0.049</v>
      </c>
      <c r="C363" s="16" t="n">
        <v>0.254</v>
      </c>
      <c r="D363" s="16" t="n">
        <v>1.438</v>
      </c>
      <c r="E363" s="16" t="n">
        <v>4.41</v>
      </c>
      <c r="F363" s="16" t="n">
        <v>4.02</v>
      </c>
      <c r="G363" s="16" t="n">
        <v>4.267</v>
      </c>
      <c r="H363" s="16" t="n">
        <v>2.1867</v>
      </c>
      <c r="I363" s="16" t="n">
        <v>1.8698</v>
      </c>
      <c r="J363" s="16" t="n">
        <v>2.1847</v>
      </c>
      <c r="K363" s="16" t="n">
        <v>4.311</v>
      </c>
      <c r="L363" s="16" t="n">
        <v>3.03</v>
      </c>
      <c r="M363" s="9">
        <f>($C363-$B363)*100</f>
        <v/>
      </c>
      <c r="N363" s="9">
        <f>($D363-$C363)*100</f>
        <v/>
      </c>
      <c r="O363" s="9">
        <f>($F363-$E363)*100</f>
        <v/>
      </c>
      <c r="P363" s="9">
        <f>($J363-$I363)*100</f>
        <v/>
      </c>
    </row>
    <row r="364">
      <c r="A364" s="17" t="n">
        <v>44869</v>
      </c>
      <c r="B364" s="16" t="n">
        <v>-0.04</v>
      </c>
      <c r="C364" s="16" t="n">
        <v>0.263</v>
      </c>
      <c r="D364" s="16" t="n">
        <v>1.54</v>
      </c>
      <c r="E364" s="16" t="n">
        <v>4.66</v>
      </c>
      <c r="F364" s="16" t="n">
        <v>4.17</v>
      </c>
      <c r="G364" s="16" t="n">
        <v>3.915</v>
      </c>
      <c r="H364" s="16" t="n">
        <v>2.0664</v>
      </c>
      <c r="I364" s="16" t="n">
        <v>2.0325</v>
      </c>
      <c r="J364" s="16" t="n">
        <v>2.3707</v>
      </c>
      <c r="K364" s="16" t="n">
        <v>4.618</v>
      </c>
      <c r="L364" s="16" t="n">
        <v>3.05</v>
      </c>
      <c r="M364" s="9">
        <f>($C364-$B364)*100</f>
        <v/>
      </c>
      <c r="N364" s="9">
        <f>($D364-$C364)*100</f>
        <v/>
      </c>
      <c r="O364" s="9">
        <f>($F364-$E364)*100</f>
        <v/>
      </c>
      <c r="P364" s="9">
        <f>($J364-$I364)*100</f>
        <v/>
      </c>
    </row>
    <row r="365">
      <c r="A365" s="17" t="n">
        <v>44876</v>
      </c>
      <c r="B365" s="16" t="n">
        <v>-0.056</v>
      </c>
      <c r="C365" s="16" t="n">
        <v>0.252</v>
      </c>
      <c r="D365" s="16" t="n">
        <v>1.437</v>
      </c>
      <c r="E365" s="16" t="n">
        <v>4.34</v>
      </c>
      <c r="F365" s="16" t="n">
        <v>3.82</v>
      </c>
      <c r="G365" s="16" t="n">
        <v>3.915</v>
      </c>
      <c r="H365" s="16" t="n">
        <v>2.0664</v>
      </c>
      <c r="I365" s="16" t="n">
        <v>2.1101</v>
      </c>
      <c r="J365" s="16" t="n">
        <v>2.2407</v>
      </c>
      <c r="K365" s="16" t="n">
        <v>4.385</v>
      </c>
      <c r="L365" s="16" t="n">
        <v>3.04</v>
      </c>
      <c r="M365" s="9">
        <f>($C365-$B365)*100</f>
        <v/>
      </c>
      <c r="N365" s="9">
        <f>($D365-$C365)*100</f>
        <v/>
      </c>
      <c r="O365" s="9">
        <f>($F365-$E365)*100</f>
        <v/>
      </c>
      <c r="P365" s="9">
        <f>($J365-$I365)*100</f>
        <v/>
      </c>
    </row>
    <row r="366">
      <c r="A366" s="17" t="n">
        <v>44883</v>
      </c>
      <c r="B366" s="16" t="n">
        <v>-0.019</v>
      </c>
      <c r="C366" s="16" t="n">
        <v>0.267</v>
      </c>
      <c r="D366" s="16" t="n">
        <v>1.41</v>
      </c>
      <c r="E366" s="16" t="n">
        <v>4.51</v>
      </c>
      <c r="F366" s="16" t="n">
        <v>3.82</v>
      </c>
      <c r="G366" s="16" t="n">
        <v>3.915</v>
      </c>
      <c r="H366" s="16" t="n">
        <v>2.0664</v>
      </c>
      <c r="I366" s="16" t="n">
        <v>2.019</v>
      </c>
      <c r="J366" s="16" t="n">
        <v>2.1117</v>
      </c>
      <c r="K366" s="16" t="n">
        <v>4.413</v>
      </c>
      <c r="L366" s="16" t="n">
        <v>3.32</v>
      </c>
      <c r="M366" s="9">
        <f>($C366-$B366)*100</f>
        <v/>
      </c>
      <c r="N366" s="9">
        <f>($D366-$C366)*100</f>
        <v/>
      </c>
      <c r="O366" s="9">
        <f>($F366-$E366)*100</f>
        <v/>
      </c>
      <c r="P366" s="9">
        <f>($J366-$I366)*100</f>
        <v/>
      </c>
    </row>
    <row r="367">
      <c r="A367" s="17" t="n">
        <v>44890</v>
      </c>
      <c r="B367" s="16" t="n">
        <v>-0.018</v>
      </c>
      <c r="C367" s="16" t="n">
        <v>0.275</v>
      </c>
      <c r="D367" s="16" t="n">
        <v>1.474</v>
      </c>
      <c r="E367" s="16" t="n">
        <v>4.42</v>
      </c>
      <c r="F367" s="16" t="n">
        <v>3.68</v>
      </c>
      <c r="G367" s="16" t="n">
        <v>3.915</v>
      </c>
      <c r="H367" s="16" t="n">
        <v>2.0664</v>
      </c>
      <c r="I367" s="16" t="n">
        <v>2.0955</v>
      </c>
      <c r="J367" s="16" t="n">
        <v>2.0332</v>
      </c>
      <c r="K367" s="16" t="n">
        <v>4.505</v>
      </c>
      <c r="L367" s="16" t="n">
        <v>4.02</v>
      </c>
      <c r="M367" s="9">
        <f>($C367-$B367)*100</f>
        <v/>
      </c>
      <c r="N367" s="9">
        <f>($D367-$C367)*100</f>
        <v/>
      </c>
      <c r="O367" s="9">
        <f>($F367-$E367)*100</f>
        <v/>
      </c>
      <c r="P367" s="9">
        <f>($J367-$I367)*100</f>
        <v/>
      </c>
    </row>
    <row r="368">
      <c r="A368" s="17" t="n">
        <v>44897</v>
      </c>
      <c r="B368" s="16" t="n">
        <v>-0.025</v>
      </c>
      <c r="C368" s="16" t="n">
        <v>0.279</v>
      </c>
      <c r="D368" s="16" t="n">
        <v>1.482</v>
      </c>
      <c r="E368" s="16" t="n">
        <v>4.28</v>
      </c>
      <c r="F368" s="16" t="n">
        <v>3.51</v>
      </c>
      <c r="G368" s="16" t="n">
        <v>3.541</v>
      </c>
      <c r="H368" s="16" t="n">
        <v>2.0852</v>
      </c>
      <c r="I368" s="16" t="n">
        <v>1.9578</v>
      </c>
      <c r="J368" s="16" t="n">
        <v>1.905</v>
      </c>
      <c r="K368" s="16" t="n">
        <v>4.355</v>
      </c>
      <c r="L368" s="16" t="n">
        <v>4.82</v>
      </c>
      <c r="M368" s="9">
        <f>($C368-$B368)*100</f>
        <v/>
      </c>
      <c r="N368" s="9">
        <f>($D368-$C368)*100</f>
        <v/>
      </c>
      <c r="O368" s="9">
        <f>($F368-$E368)*100</f>
        <v/>
      </c>
      <c r="P368" s="9">
        <f>($J368-$I368)*100</f>
        <v/>
      </c>
    </row>
    <row r="369">
      <c r="A369" s="17" t="n">
        <v>44904</v>
      </c>
      <c r="B369" s="16" t="n">
        <v>-0.015</v>
      </c>
      <c r="C369" s="16" t="n">
        <v>0.277</v>
      </c>
      <c r="D369" s="16" t="n">
        <v>1.401</v>
      </c>
      <c r="E369" s="16" t="n">
        <v>4.33</v>
      </c>
      <c r="F369" s="16" t="n">
        <v>3.57</v>
      </c>
      <c r="G369" s="16" t="n">
        <v>3.541</v>
      </c>
      <c r="H369" s="16" t="n">
        <v>2.0852</v>
      </c>
      <c r="I369" s="16" t="n">
        <v>2.0315</v>
      </c>
      <c r="J369" s="16" t="n">
        <v>1.9768</v>
      </c>
      <c r="K369" s="16" t="n">
        <v>4.314</v>
      </c>
      <c r="L369" s="16" t="n">
        <v>4.47</v>
      </c>
      <c r="M369" s="9">
        <f>($C369-$B369)*100</f>
        <v/>
      </c>
      <c r="N369" s="9">
        <f>($D369-$C369)*100</f>
        <v/>
      </c>
      <c r="O369" s="9">
        <f>($F369-$E369)*100</f>
        <v/>
      </c>
      <c r="P369" s="9">
        <f>($J369-$I369)*100</f>
        <v/>
      </c>
    </row>
    <row r="370">
      <c r="A370" s="17" t="n">
        <v>44911</v>
      </c>
      <c r="B370" s="16" t="n">
        <v>-0.019</v>
      </c>
      <c r="C370" s="16" t="n">
        <v>0.28</v>
      </c>
      <c r="D370" s="16" t="n">
        <v>1.466</v>
      </c>
      <c r="E370" s="16" t="n">
        <v>4.17</v>
      </c>
      <c r="F370" s="16" t="n">
        <v>3.48</v>
      </c>
      <c r="G370" s="16" t="n">
        <v>3.541</v>
      </c>
      <c r="H370" s="16" t="n">
        <v>2.0852</v>
      </c>
      <c r="I370" s="16" t="n">
        <v>2.353</v>
      </c>
      <c r="J370" s="16" t="n">
        <v>2.2416</v>
      </c>
      <c r="K370" s="16" t="n">
        <v>4.295</v>
      </c>
      <c r="L370" s="16" t="n">
        <v>4.34</v>
      </c>
      <c r="M370" s="9">
        <f>($C370-$B370)*100</f>
        <v/>
      </c>
      <c r="N370" s="9">
        <f>($D370-$C370)*100</f>
        <v/>
      </c>
      <c r="O370" s="9">
        <f>($F370-$E370)*100</f>
        <v/>
      </c>
      <c r="P370" s="9">
        <f>($J370-$I370)*100</f>
        <v/>
      </c>
    </row>
    <row r="371">
      <c r="A371" s="17" t="n">
        <v>44918</v>
      </c>
      <c r="B371" s="16" t="n">
        <v>0.014</v>
      </c>
      <c r="C371" s="16" t="n">
        <v>0.424</v>
      </c>
      <c r="D371" s="16" t="n">
        <v>1.495</v>
      </c>
      <c r="E371" s="16" t="n">
        <v>4.31</v>
      </c>
      <c r="F371" s="16" t="n">
        <v>3.75</v>
      </c>
      <c r="G371" s="16" t="n">
        <v>3.541</v>
      </c>
      <c r="H371" s="16" t="n">
        <v>2.0852</v>
      </c>
      <c r="I371" s="16" t="n">
        <v>2.4879</v>
      </c>
      <c r="J371" s="16" t="n">
        <v>2.4643</v>
      </c>
      <c r="K371" s="16" t="n">
        <v>4.169</v>
      </c>
      <c r="L371" s="16" t="n">
        <v>3.35</v>
      </c>
      <c r="M371" s="9">
        <f>($C371-$B371)*100</f>
        <v/>
      </c>
      <c r="N371" s="9">
        <f>($D371-$C371)*100</f>
        <v/>
      </c>
      <c r="O371" s="9">
        <f>($F371-$E371)*100</f>
        <v/>
      </c>
      <c r="P371" s="9">
        <f>($J371-$I371)*100</f>
        <v/>
      </c>
    </row>
    <row r="372">
      <c r="A372" s="17" t="n">
        <v>44925</v>
      </c>
      <c r="B372" s="16" t="n">
        <v>0.03</v>
      </c>
      <c r="C372" s="16" t="n">
        <v>0.454</v>
      </c>
      <c r="D372" s="16" t="n">
        <v>1.578</v>
      </c>
      <c r="E372" s="16" t="n">
        <v>4.41</v>
      </c>
      <c r="F372" s="16" t="n">
        <v>3.88</v>
      </c>
      <c r="G372" s="16" t="n">
        <v>3.541</v>
      </c>
      <c r="H372" s="16" t="n">
        <v>2.0852</v>
      </c>
      <c r="I372" s="16" t="n">
        <v>2.5653</v>
      </c>
      <c r="J372" s="16" t="n">
        <v>2.5553</v>
      </c>
      <c r="K372" s="16" t="n">
        <v>4.181</v>
      </c>
      <c r="L372" s="16" t="n">
        <v>2.78</v>
      </c>
      <c r="M372" s="9">
        <f>($C372-$B372)*100</f>
        <v/>
      </c>
      <c r="N372" s="9">
        <f>($D372-$C372)*100</f>
        <v/>
      </c>
      <c r="O372" s="9">
        <f>($F372-$E372)*100</f>
        <v/>
      </c>
      <c r="P372" s="9">
        <f>($J372-$I372)*100</f>
        <v/>
      </c>
    </row>
    <row r="373">
      <c r="A373" s="17" t="n">
        <v>44932</v>
      </c>
      <c r="B373" s="16" t="n">
        <v>0.011</v>
      </c>
      <c r="C373" s="16" t="n">
        <v>0.508</v>
      </c>
      <c r="D373" s="16" t="n">
        <v>1.573</v>
      </c>
      <c r="E373" s="16" t="n">
        <v>4.24</v>
      </c>
      <c r="F373" s="16" t="n">
        <v>3.55</v>
      </c>
      <c r="G373" s="16" t="n">
        <v>3.411</v>
      </c>
      <c r="H373" s="16" t="n">
        <v>2.1927</v>
      </c>
      <c r="I373" s="16" t="n">
        <v>2.5196</v>
      </c>
      <c r="J373" s="16" t="n">
        <v>2.3643</v>
      </c>
      <c r="K373" s="16" t="n">
        <v>4.064</v>
      </c>
      <c r="L373" s="16" t="n">
        <v>3.07</v>
      </c>
      <c r="M373" s="9">
        <f>($C373-$B373)*100</f>
        <v/>
      </c>
      <c r="N373" s="9">
        <f>($D373-$C373)*100</f>
        <v/>
      </c>
      <c r="O373" s="9">
        <f>($F373-$E373)*100</f>
        <v/>
      </c>
      <c r="P373" s="9">
        <f>($J373-$I373)*100</f>
        <v/>
      </c>
    </row>
    <row r="374">
      <c r="A374" s="17" t="n">
        <v>44939</v>
      </c>
      <c r="B374" s="16" t="n">
        <v>0.032</v>
      </c>
      <c r="C374" s="16" t="n">
        <v>0.508</v>
      </c>
      <c r="D374" s="16" t="n">
        <v>1.61</v>
      </c>
      <c r="E374" s="16" t="n">
        <v>4.22</v>
      </c>
      <c r="F374" s="16" t="n">
        <v>3.49</v>
      </c>
      <c r="G374" s="16" t="n">
        <v>3.411</v>
      </c>
      <c r="H374" s="16" t="n">
        <v>2.1927</v>
      </c>
      <c r="I374" s="16" t="n">
        <v>2.4178</v>
      </c>
      <c r="J374" s="16" t="n">
        <v>2.1704</v>
      </c>
      <c r="K374" s="16" t="n">
        <v>3.757</v>
      </c>
      <c r="L374" s="16" t="n">
        <v>3.07</v>
      </c>
      <c r="M374" s="9">
        <f>($C374-$B374)*100</f>
        <v/>
      </c>
      <c r="N374" s="9">
        <f>($D374-$C374)*100</f>
        <v/>
      </c>
      <c r="O374" s="9">
        <f>($F374-$E374)*100</f>
        <v/>
      </c>
      <c r="P374" s="9">
        <f>($J374-$I374)*100</f>
        <v/>
      </c>
    </row>
    <row r="375">
      <c r="A375" s="17" t="n">
        <v>44946</v>
      </c>
      <c r="B375" s="16" t="n">
        <v>-0.004</v>
      </c>
      <c r="C375" s="16" t="n">
        <v>0.418</v>
      </c>
      <c r="D375" s="16" t="n">
        <v>1.56</v>
      </c>
      <c r="E375" s="16" t="n">
        <v>4.14</v>
      </c>
      <c r="F375" s="16" t="n">
        <v>3.48</v>
      </c>
      <c r="G375" s="16" t="n">
        <v>3.411</v>
      </c>
      <c r="H375" s="16" t="n">
        <v>2.1927</v>
      </c>
      <c r="I375" s="16" t="n">
        <v>2.4418</v>
      </c>
      <c r="J375" s="16" t="n">
        <v>2.1962</v>
      </c>
      <c r="K375" s="16" t="n">
        <v>3.601</v>
      </c>
      <c r="L375" s="16" t="n">
        <v>2.75</v>
      </c>
      <c r="M375" s="9">
        <f>($C375-$B375)*100</f>
        <v/>
      </c>
      <c r="N375" s="9">
        <f>($D375-$C375)*100</f>
        <v/>
      </c>
      <c r="O375" s="9">
        <f>($F375-$E375)*100</f>
        <v/>
      </c>
      <c r="P375" s="9">
        <f>($J375-$I375)*100</f>
        <v/>
      </c>
    </row>
    <row r="376">
      <c r="A376" s="17" t="n">
        <v>44953</v>
      </c>
      <c r="B376" s="16" t="n">
        <v>0.001</v>
      </c>
      <c r="C376" s="16" t="n">
        <v>0.497</v>
      </c>
      <c r="D376" s="16" t="n">
        <v>1.574</v>
      </c>
      <c r="E376" s="16" t="n">
        <v>4.19</v>
      </c>
      <c r="F376" s="16" t="n">
        <v>3.52</v>
      </c>
      <c r="G376" s="16" t="n">
        <v>3.411</v>
      </c>
      <c r="H376" s="16" t="n">
        <v>2.1927</v>
      </c>
      <c r="I376" s="16" t="n">
        <v>2.4711</v>
      </c>
      <c r="J376" s="16" t="n">
        <v>2.2929</v>
      </c>
      <c r="K376" s="16" t="n">
        <v>3.66</v>
      </c>
      <c r="L376" s="16" t="n">
        <v>2.27</v>
      </c>
      <c r="M376" s="9">
        <f>($C376-$B376)*100</f>
        <v/>
      </c>
      <c r="N376" s="9">
        <f>($D376-$C376)*100</f>
        <v/>
      </c>
      <c r="O376" s="9">
        <f>($F376-$E376)*100</f>
        <v/>
      </c>
      <c r="P376" s="9">
        <f>($J376-$I376)*100</f>
        <v/>
      </c>
    </row>
    <row r="377">
      <c r="A377" s="17" t="n">
        <v>44960</v>
      </c>
      <c r="B377" s="16" t="n">
        <v>-0.03</v>
      </c>
      <c r="C377" s="16" t="n">
        <v>0.503</v>
      </c>
      <c r="D377" s="16" t="n">
        <v>1.531</v>
      </c>
      <c r="E377" s="16" t="n">
        <v>4.3</v>
      </c>
      <c r="F377" s="16" t="n">
        <v>3.53</v>
      </c>
      <c r="G377" s="16" t="n">
        <v>3.45</v>
      </c>
      <c r="H377" s="16" t="n">
        <v>2.3705</v>
      </c>
      <c r="I377" s="16" t="n">
        <v>2.4148</v>
      </c>
      <c r="J377" s="16" t="n">
        <v>2.224</v>
      </c>
      <c r="K377" s="16" t="n">
        <v>3.574</v>
      </c>
      <c r="L377" s="16" t="n">
        <v>2.4</v>
      </c>
      <c r="M377" s="9">
        <f>($C377-$B377)*100</f>
        <v/>
      </c>
      <c r="N377" s="9">
        <f>($D377-$C377)*100</f>
        <v/>
      </c>
      <c r="O377" s="9">
        <f>($F377-$E377)*100</f>
        <v/>
      </c>
      <c r="P377" s="9">
        <f>($J377-$I377)*100</f>
        <v/>
      </c>
    </row>
    <row r="378">
      <c r="A378" s="17" t="n">
        <v>44967</v>
      </c>
      <c r="B378" s="16" t="n">
        <v>-0.045</v>
      </c>
      <c r="C378" s="16" t="n">
        <v>0.514</v>
      </c>
      <c r="D378" s="16" t="n">
        <v>1.562</v>
      </c>
      <c r="E378" s="16" t="n">
        <v>4.5</v>
      </c>
      <c r="F378" s="16" t="n">
        <v>3.74</v>
      </c>
      <c r="G378" s="16" t="n">
        <v>3.45</v>
      </c>
      <c r="H378" s="16" t="n">
        <v>2.3705</v>
      </c>
      <c r="I378" s="16" t="n">
        <v>2.6245</v>
      </c>
      <c r="J378" s="16" t="n">
        <v>2.3961</v>
      </c>
      <c r="K378" s="16" t="n">
        <v>3.87</v>
      </c>
      <c r="L378" s="16" t="n">
        <v>2.58</v>
      </c>
      <c r="M378" s="9">
        <f>($C378-$B378)*100</f>
        <v/>
      </c>
      <c r="N378" s="9">
        <f>($D378-$C378)*100</f>
        <v/>
      </c>
      <c r="O378" s="9">
        <f>($F378-$E378)*100</f>
        <v/>
      </c>
      <c r="P378" s="9">
        <f>($J378-$I378)*100</f>
        <v/>
      </c>
    </row>
    <row r="379">
      <c r="A379" s="17" t="n">
        <v>44974</v>
      </c>
      <c r="B379" s="16" t="n">
        <v>-0.047</v>
      </c>
      <c r="C379" s="16" t="n">
        <v>0.528</v>
      </c>
      <c r="D379" s="16" t="n">
        <v>1.503</v>
      </c>
      <c r="E379" s="16" t="n">
        <v>4.6</v>
      </c>
      <c r="F379" s="16" t="n">
        <v>3.82</v>
      </c>
      <c r="G379" s="16" t="n">
        <v>3.45</v>
      </c>
      <c r="H379" s="16" t="n">
        <v>2.3705</v>
      </c>
      <c r="I379" s="16" t="n">
        <v>2.7532</v>
      </c>
      <c r="J379" s="16" t="n">
        <v>2.5106</v>
      </c>
      <c r="K379" s="16" t="n">
        <v>3.976</v>
      </c>
      <c r="L379" s="16" t="n">
        <v>2.65</v>
      </c>
      <c r="M379" s="9">
        <f>($C379-$B379)*100</f>
        <v/>
      </c>
      <c r="N379" s="9">
        <f>($D379-$C379)*100</f>
        <v/>
      </c>
      <c r="O379" s="9">
        <f>($F379-$E379)*100</f>
        <v/>
      </c>
      <c r="P379" s="9">
        <f>($J379-$I379)*100</f>
        <v/>
      </c>
    </row>
    <row r="380">
      <c r="A380" s="17" t="n">
        <v>44981</v>
      </c>
      <c r="B380" s="16" t="n">
        <v>-0.029</v>
      </c>
      <c r="C380" s="16" t="n">
        <v>0.53</v>
      </c>
      <c r="D380" s="16" t="n">
        <v>1.464</v>
      </c>
      <c r="E380" s="16" t="n">
        <v>4.78</v>
      </c>
      <c r="F380" s="16" t="n">
        <v>3.95</v>
      </c>
      <c r="G380" s="16" t="n">
        <v>3.45</v>
      </c>
      <c r="H380" s="16" t="n">
        <v>2.3705</v>
      </c>
      <c r="I380" s="16" t="n">
        <v>2.9392</v>
      </c>
      <c r="J380" s="16" t="n">
        <v>2.5933</v>
      </c>
      <c r="K380" s="16" t="n">
        <v>3.951</v>
      </c>
      <c r="L380" s="16" t="n">
        <v>2.86</v>
      </c>
      <c r="M380" s="9">
        <f>($C380-$B380)*100</f>
        <v/>
      </c>
      <c r="N380" s="9">
        <f>($D380-$C380)*100</f>
        <v/>
      </c>
      <c r="O380" s="9">
        <f>($F380-$E380)*100</f>
        <v/>
      </c>
      <c r="P380" s="9">
        <f>($J380-$I380)*100</f>
        <v/>
      </c>
    </row>
    <row r="381">
      <c r="A381" s="17" t="n">
        <v>44988</v>
      </c>
      <c r="B381" s="16" t="n">
        <v>-0.04</v>
      </c>
      <c r="C381" s="16" t="n">
        <v>0.527</v>
      </c>
      <c r="D381" s="16" t="n">
        <v>1.443</v>
      </c>
      <c r="E381" s="16" t="n">
        <v>4.86</v>
      </c>
      <c r="F381" s="16" t="n">
        <v>3.97</v>
      </c>
      <c r="G381" s="16" t="n">
        <v>3.448</v>
      </c>
      <c r="H381" s="16" t="n">
        <v>2.3835</v>
      </c>
      <c r="I381" s="16" t="n">
        <v>3.1236</v>
      </c>
      <c r="J381" s="16" t="n">
        <v>2.7618</v>
      </c>
      <c r="K381" s="16" t="n">
        <v>4.107</v>
      </c>
      <c r="L381" s="16" t="n">
        <v>3</v>
      </c>
      <c r="M381" s="9">
        <f>($C381-$B381)*100</f>
        <v/>
      </c>
      <c r="N381" s="9">
        <f>($D381-$C381)*100</f>
        <v/>
      </c>
      <c r="O381" s="9">
        <f>($F381-$E381)*100</f>
        <v/>
      </c>
      <c r="P381" s="9">
        <f>($J381-$I381)*100</f>
        <v/>
      </c>
    </row>
    <row r="382">
      <c r="A382" s="17" t="n">
        <v>44995</v>
      </c>
      <c r="B382" s="16" t="n">
        <v>-0.03</v>
      </c>
      <c r="C382" s="16" t="n">
        <v>0.428</v>
      </c>
      <c r="D382" s="16" t="n">
        <v>1.423</v>
      </c>
      <c r="E382" s="16" t="n">
        <v>4.6</v>
      </c>
      <c r="F382" s="16" t="n">
        <v>3.7</v>
      </c>
      <c r="G382" s="16" t="n">
        <v>3.448</v>
      </c>
      <c r="H382" s="16" t="n">
        <v>2.3835</v>
      </c>
      <c r="I382" s="16" t="n">
        <v>2.9392</v>
      </c>
      <c r="J382" s="16" t="n">
        <v>2.5254</v>
      </c>
      <c r="K382" s="16" t="n">
        <v>4.016</v>
      </c>
      <c r="L382" s="16" t="n">
        <v>3.1</v>
      </c>
      <c r="M382" s="9">
        <f>($C382-$B382)*100</f>
        <v/>
      </c>
      <c r="N382" s="9">
        <f>($D382-$C382)*100</f>
        <v/>
      </c>
      <c r="O382" s="9">
        <f>($F382-$E382)*100</f>
        <v/>
      </c>
      <c r="P382" s="9">
        <f>($J382-$I382)*100</f>
        <v/>
      </c>
    </row>
    <row r="383">
      <c r="A383" s="17" t="n">
        <v>45002</v>
      </c>
      <c r="B383" s="16" t="n">
        <v>-0.075</v>
      </c>
      <c r="C383" s="16" t="n">
        <v>0.317</v>
      </c>
      <c r="D383" s="16" t="n">
        <v>1.33</v>
      </c>
      <c r="E383" s="16" t="n">
        <v>3.81</v>
      </c>
      <c r="F383" s="16" t="n">
        <v>3.39</v>
      </c>
      <c r="G383" s="16" t="n">
        <v>3.448</v>
      </c>
      <c r="H383" s="16" t="n">
        <v>2.3835</v>
      </c>
      <c r="I383" s="16" t="n">
        <v>2.37</v>
      </c>
      <c r="J383" s="16" t="n">
        <v>2.1946</v>
      </c>
      <c r="K383" s="16" t="n">
        <v>3.301</v>
      </c>
      <c r="L383" s="16" t="n">
        <v>2.75</v>
      </c>
      <c r="M383" s="9">
        <f>($C383-$B383)*100</f>
        <v/>
      </c>
      <c r="N383" s="9">
        <f>($D383-$C383)*100</f>
        <v/>
      </c>
      <c r="O383" s="9">
        <f>($F383-$E383)*100</f>
        <v/>
      </c>
      <c r="P383" s="9">
        <f>($J383-$I383)*100</f>
        <v/>
      </c>
    </row>
    <row r="384">
      <c r="A384" s="17" t="n">
        <v>45009</v>
      </c>
      <c r="B384" s="16" t="n">
        <v>-0.067</v>
      </c>
      <c r="C384" s="16" t="n">
        <v>0.321</v>
      </c>
      <c r="D384" s="16" t="n">
        <v>1.357</v>
      </c>
      <c r="E384" s="16" t="n">
        <v>3.76</v>
      </c>
      <c r="F384" s="16" t="n">
        <v>3.38</v>
      </c>
      <c r="G384" s="16" t="n">
        <v>3.448</v>
      </c>
      <c r="H384" s="16" t="n">
        <v>2.3835</v>
      </c>
      <c r="I384" s="16" t="n">
        <v>2.304</v>
      </c>
      <c r="J384" s="16" t="n">
        <v>2.2041</v>
      </c>
      <c r="K384" s="16" t="n">
        <v>2.899</v>
      </c>
      <c r="L384" s="16" t="n">
        <v>2.79</v>
      </c>
      <c r="M384" s="9">
        <f>($C384-$B384)*100</f>
        <v/>
      </c>
      <c r="N384" s="9">
        <f>($D384-$C384)*100</f>
        <v/>
      </c>
      <c r="O384" s="9">
        <f>($F384-$E384)*100</f>
        <v/>
      </c>
      <c r="P384" s="9">
        <f>($J384-$I384)*100</f>
        <v/>
      </c>
    </row>
    <row r="385">
      <c r="A385" s="17" t="n">
        <v>45016</v>
      </c>
      <c r="B385" s="16" t="n">
        <v>-0.061</v>
      </c>
      <c r="C385" s="16" t="n">
        <v>0.389</v>
      </c>
      <c r="D385" s="16" t="n">
        <v>1.274</v>
      </c>
      <c r="E385" s="16" t="n">
        <v>4.06</v>
      </c>
      <c r="F385" s="16" t="n">
        <v>3.48</v>
      </c>
      <c r="G385" s="16" t="n">
        <v>3.448</v>
      </c>
      <c r="H385" s="16" t="n">
        <v>2.3835</v>
      </c>
      <c r="I385" s="16" t="n">
        <v>2.6179</v>
      </c>
      <c r="J385" s="16" t="n">
        <v>2.4054</v>
      </c>
      <c r="K385" s="16" t="n">
        <v>3.269</v>
      </c>
      <c r="L385" s="16" t="n">
        <v>2.67</v>
      </c>
      <c r="M385" s="9">
        <f>($C385-$B385)*100</f>
        <v/>
      </c>
      <c r="N385" s="9">
        <f>($D385-$C385)*100</f>
        <v/>
      </c>
      <c r="O385" s="9">
        <f>($F385-$E385)*100</f>
        <v/>
      </c>
      <c r="P385" s="9">
        <f>($J385-$I385)*100</f>
        <v/>
      </c>
    </row>
    <row r="386">
      <c r="A386" s="17" t="n">
        <v>45023</v>
      </c>
      <c r="B386" s="16" t="n">
        <v>-0.06</v>
      </c>
      <c r="C386" s="16" t="n">
        <v>0.462</v>
      </c>
      <c r="D386" s="16" t="n">
        <v>1.318</v>
      </c>
      <c r="E386" s="16" t="n">
        <v>3.97</v>
      </c>
      <c r="F386" s="16" t="n">
        <v>3.39</v>
      </c>
      <c r="G386" s="16" t="n">
        <v>3.319</v>
      </c>
      <c r="H386" s="16" t="n">
        <v>2.3594</v>
      </c>
      <c r="I386" s="16" t="n">
        <v>2.4694</v>
      </c>
      <c r="J386" s="16" t="n">
        <v>2.2507</v>
      </c>
      <c r="K386" s="16" t="n">
        <v>2.97</v>
      </c>
      <c r="L386" s="16" t="n">
        <v>2.59</v>
      </c>
      <c r="M386" s="9">
        <f>($C386-$B386)*100</f>
        <v/>
      </c>
      <c r="N386" s="9">
        <f>($D386-$C386)*100</f>
        <v/>
      </c>
      <c r="O386" s="9">
        <f>($F386-$E386)*100</f>
        <v/>
      </c>
      <c r="P386" s="9">
        <f>($J386-$I386)*100</f>
        <v/>
      </c>
    </row>
    <row r="387">
      <c r="A387" s="17" t="n">
        <v>45030</v>
      </c>
      <c r="B387" s="16" t="n">
        <v>-0.04</v>
      </c>
      <c r="C387" s="16" t="n">
        <v>0.465</v>
      </c>
      <c r="D387" s="16" t="n">
        <v>1.313</v>
      </c>
      <c r="E387" s="16" t="n">
        <v>4.08</v>
      </c>
      <c r="F387" s="16" t="n">
        <v>3.52</v>
      </c>
      <c r="G387" s="16" t="n">
        <v>3.319</v>
      </c>
      <c r="H387" s="16" t="n">
        <v>2.3594</v>
      </c>
      <c r="I387" s="16" t="n">
        <v>2.7721</v>
      </c>
      <c r="J387" s="16" t="n">
        <v>2.472</v>
      </c>
      <c r="K387" s="16" t="n">
        <v>3.157</v>
      </c>
      <c r="L387" s="16" t="n">
        <v>2.6</v>
      </c>
      <c r="M387" s="9">
        <f>($C387-$B387)*100</f>
        <v/>
      </c>
      <c r="N387" s="9">
        <f>($D387-$C387)*100</f>
        <v/>
      </c>
      <c r="O387" s="9">
        <f>($F387-$E387)*100</f>
        <v/>
      </c>
      <c r="P387" s="9">
        <f>($J387-$I387)*100</f>
        <v/>
      </c>
    </row>
    <row r="388">
      <c r="A388" s="17" t="n">
        <v>45037</v>
      </c>
      <c r="B388" s="16" t="n">
        <v>-0.035</v>
      </c>
      <c r="C388" s="16" t="n">
        <v>0.47</v>
      </c>
      <c r="D388" s="16" t="n">
        <v>1.344</v>
      </c>
      <c r="E388" s="16" t="n">
        <v>4.17</v>
      </c>
      <c r="F388" s="16" t="n">
        <v>3.57</v>
      </c>
      <c r="G388" s="16" t="n">
        <v>3.319</v>
      </c>
      <c r="H388" s="16" t="n">
        <v>2.3594</v>
      </c>
      <c r="I388" s="16" t="n">
        <v>2.8449</v>
      </c>
      <c r="J388" s="16" t="n">
        <v>2.5841</v>
      </c>
      <c r="K388" s="16" t="n">
        <v>3.395</v>
      </c>
      <c r="L388" s="16" t="n">
        <v>2.75</v>
      </c>
      <c r="M388" s="9">
        <f>($C388-$B388)*100</f>
        <v/>
      </c>
      <c r="N388" s="9">
        <f>($D388-$C388)*100</f>
        <v/>
      </c>
      <c r="O388" s="9">
        <f>($F388-$E388)*100</f>
        <v/>
      </c>
      <c r="P388" s="9">
        <f>($J388-$I388)*100</f>
        <v/>
      </c>
    </row>
    <row r="389">
      <c r="A389" s="17" t="n">
        <v>45044</v>
      </c>
      <c r="B389" s="16" t="n">
        <v>-0.045</v>
      </c>
      <c r="C389" s="16" t="n">
        <v>0.403</v>
      </c>
      <c r="D389" s="16" t="n">
        <v>1.247</v>
      </c>
      <c r="E389" s="16" t="n">
        <v>4.04</v>
      </c>
      <c r="F389" s="16" t="n">
        <v>3.44</v>
      </c>
      <c r="G389" s="16" t="n">
        <v>3.319</v>
      </c>
      <c r="H389" s="16" t="n">
        <v>2.3594</v>
      </c>
      <c r="I389" s="16" t="n">
        <v>2.6848</v>
      </c>
      <c r="J389" s="16" t="n">
        <v>2.4444</v>
      </c>
      <c r="K389" s="16" t="n">
        <v>3.328</v>
      </c>
      <c r="L389" s="16" t="n">
        <v>3.1</v>
      </c>
      <c r="M389" s="9">
        <f>($C389-$B389)*100</f>
        <v/>
      </c>
      <c r="N389" s="9">
        <f>($D389-$C389)*100</f>
        <v/>
      </c>
      <c r="O389" s="9">
        <f>($F389-$E389)*100</f>
        <v/>
      </c>
      <c r="P389" s="9">
        <f>($J389-$I389)*100</f>
        <v/>
      </c>
    </row>
    <row r="390">
      <c r="A390" s="17" t="n">
        <v>45051</v>
      </c>
      <c r="B390" s="16" t="n">
        <v>-0.035</v>
      </c>
      <c r="C390" s="16" t="n">
        <v>0.428</v>
      </c>
      <c r="D390" s="16" t="n">
        <v>1.292</v>
      </c>
      <c r="E390" s="16" t="n">
        <v>3.92</v>
      </c>
      <c r="F390" s="16" t="n">
        <v>3.44</v>
      </c>
      <c r="G390" s="16" t="n">
        <v>3.402</v>
      </c>
      <c r="H390" s="16" t="n">
        <v>2.3423</v>
      </c>
      <c r="I390" s="16" t="n">
        <v>2.5031</v>
      </c>
      <c r="J390" s="16" t="n">
        <v>2.3848</v>
      </c>
      <c r="K390" s="16" t="n">
        <v>3.149</v>
      </c>
      <c r="L390" s="16" t="n">
        <v>3.4</v>
      </c>
      <c r="M390" s="9">
        <f>($C390-$B390)*100</f>
        <v/>
      </c>
      <c r="N390" s="9">
        <f>($D390-$C390)*100</f>
        <v/>
      </c>
      <c r="O390" s="9">
        <f>($F390-$E390)*100</f>
        <v/>
      </c>
      <c r="P390" s="9">
        <f>($J390-$I390)*100</f>
        <v/>
      </c>
    </row>
    <row r="391">
      <c r="A391" s="17" t="n">
        <v>45058</v>
      </c>
      <c r="B391" s="16" t="n">
        <v>-0.055</v>
      </c>
      <c r="C391" s="16" t="n">
        <v>0.396</v>
      </c>
      <c r="D391" s="16" t="n">
        <v>1.262</v>
      </c>
      <c r="E391" s="16" t="n">
        <v>3.98</v>
      </c>
      <c r="F391" s="16" t="n">
        <v>3.46</v>
      </c>
      <c r="G391" s="16" t="n">
        <v>3.402</v>
      </c>
      <c r="H391" s="16" t="n">
        <v>2.3423</v>
      </c>
      <c r="I391" s="16" t="n">
        <v>2.5156</v>
      </c>
      <c r="J391" s="16" t="n">
        <v>2.3439</v>
      </c>
      <c r="K391" s="16" t="n">
        <v>3.289</v>
      </c>
      <c r="L391" s="16" t="n">
        <v>3.77</v>
      </c>
      <c r="M391" s="9">
        <f>($C391-$B391)*100</f>
        <v/>
      </c>
      <c r="N391" s="9">
        <f>($D391-$C391)*100</f>
        <v/>
      </c>
      <c r="O391" s="9">
        <f>($F391-$E391)*100</f>
        <v/>
      </c>
      <c r="P391" s="9">
        <f>($J391-$I391)*100</f>
        <v/>
      </c>
    </row>
    <row r="392">
      <c r="A392" s="17" t="n">
        <v>45065</v>
      </c>
      <c r="B392" s="16" t="n">
        <v>-0.061</v>
      </c>
      <c r="C392" s="16" t="n">
        <v>0.415</v>
      </c>
      <c r="D392" s="16" t="n">
        <v>1.256</v>
      </c>
      <c r="E392" s="16" t="n">
        <v>4.28</v>
      </c>
      <c r="F392" s="16" t="n">
        <v>3.7</v>
      </c>
      <c r="G392" s="16" t="n">
        <v>3.402</v>
      </c>
      <c r="H392" s="16" t="n">
        <v>2.3423</v>
      </c>
      <c r="I392" s="16" t="n">
        <v>2.7472</v>
      </c>
      <c r="J392" s="16" t="n">
        <v>2.5748</v>
      </c>
      <c r="K392" s="16" t="n">
        <v>3.755</v>
      </c>
      <c r="L392" s="16" t="n">
        <v>4.21</v>
      </c>
      <c r="M392" s="9">
        <f>($C392-$B392)*100</f>
        <v/>
      </c>
      <c r="N392" s="9">
        <f>($D392-$C392)*100</f>
        <v/>
      </c>
      <c r="O392" s="9">
        <f>($F392-$E392)*100</f>
        <v/>
      </c>
      <c r="P392" s="9">
        <f>($J392-$I392)*100</f>
        <v/>
      </c>
    </row>
    <row r="393">
      <c r="A393" s="17" t="n">
        <v>45072</v>
      </c>
      <c r="B393" s="16" t="n">
        <v>-0.066</v>
      </c>
      <c r="C393" s="16" t="n">
        <v>0.432</v>
      </c>
      <c r="D393" s="16" t="n">
        <v>1.265</v>
      </c>
      <c r="E393" s="16" t="n">
        <v>4.54</v>
      </c>
      <c r="F393" s="16" t="n">
        <v>3.8</v>
      </c>
      <c r="G393" s="16" t="n">
        <v>3.402</v>
      </c>
      <c r="H393" s="16" t="n">
        <v>2.3423</v>
      </c>
      <c r="I393" s="16" t="n">
        <v>2.8494</v>
      </c>
      <c r="J393" s="16" t="n">
        <v>2.6226</v>
      </c>
      <c r="K393" s="16" t="n">
        <v>3.677</v>
      </c>
      <c r="L393" s="16" t="n">
        <v>3.95</v>
      </c>
      <c r="M393" s="9">
        <f>($C393-$B393)*100</f>
        <v/>
      </c>
      <c r="N393" s="9">
        <f>($D393-$C393)*100</f>
        <v/>
      </c>
      <c r="O393" s="9">
        <f>($F393-$E393)*100</f>
        <v/>
      </c>
      <c r="P393" s="9">
        <f>($J393-$I393)*100</f>
        <v/>
      </c>
    </row>
    <row r="394">
      <c r="A394" s="17" t="n">
        <v>45079</v>
      </c>
      <c r="B394" s="16" t="n">
        <v>-0.075</v>
      </c>
      <c r="C394" s="16" t="n">
        <v>0.43</v>
      </c>
      <c r="D394" s="16" t="n">
        <v>1.286</v>
      </c>
      <c r="E394" s="16" t="n">
        <v>4.5</v>
      </c>
      <c r="F394" s="16" t="n">
        <v>3.69</v>
      </c>
      <c r="G394" s="16" t="n">
        <v>3.611</v>
      </c>
      <c r="H394" s="16" t="n">
        <v>2.3764</v>
      </c>
      <c r="I394" s="16" t="n">
        <v>2.7102</v>
      </c>
      <c r="J394" s="16" t="n">
        <v>2.3991</v>
      </c>
      <c r="K394" s="16" t="n">
        <v>3.656</v>
      </c>
      <c r="L394" s="16" t="n">
        <v>4.01</v>
      </c>
      <c r="M394" s="9">
        <f>($C394-$B394)*100</f>
        <v/>
      </c>
      <c r="N394" s="9">
        <f>($D394-$C394)*100</f>
        <v/>
      </c>
      <c r="O394" s="9">
        <f>($F394-$E394)*100</f>
        <v/>
      </c>
      <c r="P394" s="9">
        <f>($J394-$I394)*100</f>
        <v/>
      </c>
    </row>
    <row r="395">
      <c r="A395" s="17" t="n">
        <v>45086</v>
      </c>
      <c r="B395" s="16" t="n">
        <v>-0.065</v>
      </c>
      <c r="C395" s="16" t="n">
        <v>0.451</v>
      </c>
      <c r="D395" s="16" t="n">
        <v>1.278</v>
      </c>
      <c r="E395" s="16" t="n">
        <v>4.59</v>
      </c>
      <c r="F395" s="16" t="n">
        <v>3.75</v>
      </c>
      <c r="G395" s="16" t="n">
        <v>3.611</v>
      </c>
      <c r="H395" s="16" t="n">
        <v>2.3764</v>
      </c>
      <c r="I395" s="16" t="n">
        <v>2.8517</v>
      </c>
      <c r="J395" s="16" t="n">
        <v>2.4974</v>
      </c>
      <c r="K395" s="16" t="n">
        <v>3.779</v>
      </c>
      <c r="L395" s="16" t="n">
        <v>4.02</v>
      </c>
      <c r="M395" s="9">
        <f>($C395-$B395)*100</f>
        <v/>
      </c>
      <c r="N395" s="9">
        <f>($D395-$C395)*100</f>
        <v/>
      </c>
      <c r="O395" s="9">
        <f>($F395-$E395)*100</f>
        <v/>
      </c>
      <c r="P395" s="9">
        <f>($J395-$I395)*100</f>
        <v/>
      </c>
    </row>
    <row r="396">
      <c r="A396" s="17" t="n">
        <v>45093</v>
      </c>
      <c r="B396" s="16" t="n">
        <v>-0.065</v>
      </c>
      <c r="C396" s="16" t="n">
        <v>0.422</v>
      </c>
      <c r="D396" s="16" t="n">
        <v>1.252</v>
      </c>
      <c r="E396" s="16" t="n">
        <v>4.7</v>
      </c>
      <c r="F396" s="16" t="n">
        <v>3.77</v>
      </c>
      <c r="G396" s="16" t="n">
        <v>3.611</v>
      </c>
      <c r="H396" s="16" t="n">
        <v>2.3764</v>
      </c>
      <c r="I396" s="16" t="n">
        <v>3.0462</v>
      </c>
      <c r="J396" s="16" t="n">
        <v>2.5521</v>
      </c>
      <c r="K396" s="16" t="n">
        <v>3.948</v>
      </c>
      <c r="L396" s="16" t="n">
        <v>4.2</v>
      </c>
      <c r="M396" s="9">
        <f>($C396-$B396)*100</f>
        <v/>
      </c>
      <c r="N396" s="9">
        <f>($D396-$C396)*100</f>
        <v/>
      </c>
      <c r="O396" s="9">
        <f>($F396-$E396)*100</f>
        <v/>
      </c>
      <c r="P396" s="9">
        <f>($J396-$I396)*100</f>
        <v/>
      </c>
    </row>
    <row r="397">
      <c r="A397" s="17" t="n">
        <v>45100</v>
      </c>
      <c r="B397" s="16" t="n">
        <v>-0.074</v>
      </c>
      <c r="C397" s="16" t="n">
        <v>0.39</v>
      </c>
      <c r="D397" s="16" t="n">
        <v>1.235</v>
      </c>
      <c r="E397" s="16" t="n">
        <v>4.71</v>
      </c>
      <c r="F397" s="16" t="n">
        <v>3.74</v>
      </c>
      <c r="G397" s="16" t="n">
        <v>3.611</v>
      </c>
      <c r="H397" s="16" t="n">
        <v>2.3764</v>
      </c>
      <c r="I397" s="16" t="n">
        <v>3.0262</v>
      </c>
      <c r="J397" s="16" t="n">
        <v>2.4134</v>
      </c>
      <c r="K397" s="16" t="n">
        <v>4.026</v>
      </c>
      <c r="L397" s="16" t="n">
        <v>4.22</v>
      </c>
      <c r="M397" s="9">
        <f>($C397-$B397)*100</f>
        <v/>
      </c>
      <c r="N397" s="9">
        <f>($D397-$C397)*100</f>
        <v/>
      </c>
      <c r="O397" s="9">
        <f>($F397-$E397)*100</f>
        <v/>
      </c>
      <c r="P397" s="9">
        <f>($J397-$I397)*100</f>
        <v/>
      </c>
    </row>
    <row r="398">
      <c r="A398" s="17" t="n">
        <v>45107</v>
      </c>
      <c r="B398" s="16" t="n">
        <v>-0.075</v>
      </c>
      <c r="C398" s="16" t="n">
        <v>0.426</v>
      </c>
      <c r="D398" s="16" t="n">
        <v>1.262</v>
      </c>
      <c r="E398" s="16" t="n">
        <v>4.87</v>
      </c>
      <c r="F398" s="16" t="n">
        <v>3.81</v>
      </c>
      <c r="G398" s="16" t="n">
        <v>3.611</v>
      </c>
      <c r="H398" s="16" t="n">
        <v>2.3764</v>
      </c>
      <c r="I398" s="16" t="n">
        <v>3.1194</v>
      </c>
      <c r="J398" s="16" t="n">
        <v>2.5071</v>
      </c>
      <c r="K398" s="16" t="n">
        <v>4.039</v>
      </c>
      <c r="L398" s="16" t="n">
        <v>4.14</v>
      </c>
      <c r="M398" s="9">
        <f>($C398-$B398)*100</f>
        <v/>
      </c>
      <c r="N398" s="9">
        <f>($D398-$C398)*100</f>
        <v/>
      </c>
      <c r="O398" s="9">
        <f>($F398-$E398)*100</f>
        <v/>
      </c>
      <c r="P398" s="9">
        <f>($J398-$I398)*100</f>
        <v/>
      </c>
    </row>
    <row r="399">
      <c r="A399" s="17" t="n">
        <v>45114</v>
      </c>
      <c r="B399" s="16" t="n">
        <v>-0.039</v>
      </c>
      <c r="C399" s="16" t="n">
        <v>0.439</v>
      </c>
      <c r="D399" s="16" t="n">
        <v>1.266</v>
      </c>
      <c r="E399" s="16" t="n">
        <v>4.94</v>
      </c>
      <c r="F399" s="16" t="n">
        <v>4.06</v>
      </c>
      <c r="G399" s="16" t="n">
        <v>3.681</v>
      </c>
      <c r="H399" s="16" t="n">
        <v>2.4567</v>
      </c>
      <c r="I399" s="16" t="n">
        <v>3.1791</v>
      </c>
      <c r="J399" s="16" t="n">
        <v>2.6908</v>
      </c>
      <c r="K399" s="16" t="n">
        <v>4.205</v>
      </c>
      <c r="L399" s="16" t="n">
        <v>4.36</v>
      </c>
      <c r="M399" s="9">
        <f>($C399-$B399)*100</f>
        <v/>
      </c>
      <c r="N399" s="9">
        <f>($D399-$C399)*100</f>
        <v/>
      </c>
      <c r="O399" s="9">
        <f>($F399-$E399)*100</f>
        <v/>
      </c>
      <c r="P399" s="9">
        <f>($J399-$I399)*100</f>
        <v/>
      </c>
    </row>
    <row r="400">
      <c r="A400" s="17" t="n">
        <v>45121</v>
      </c>
      <c r="B400" s="16" t="n">
        <v>-0.038</v>
      </c>
      <c r="C400" s="16" t="n">
        <v>0.48</v>
      </c>
      <c r="D400" s="16" t="n">
        <v>1.365</v>
      </c>
      <c r="E400" s="16" t="n">
        <v>4.74</v>
      </c>
      <c r="F400" s="16" t="n">
        <v>3.83</v>
      </c>
      <c r="G400" s="16" t="n">
        <v>3.681</v>
      </c>
      <c r="H400" s="16" t="n">
        <v>2.4567</v>
      </c>
      <c r="I400" s="16" t="n">
        <v>3.0844</v>
      </c>
      <c r="J400" s="16" t="n">
        <v>2.5263</v>
      </c>
      <c r="K400" s="16" t="n">
        <v>3.851</v>
      </c>
      <c r="L400" s="16" t="n">
        <v>4.31</v>
      </c>
      <c r="M400" s="9">
        <f>($C400-$B400)*100</f>
        <v/>
      </c>
      <c r="N400" s="9">
        <f>($D400-$C400)*100</f>
        <v/>
      </c>
      <c r="O400" s="9">
        <f>($F400-$E400)*100</f>
        <v/>
      </c>
      <c r="P400" s="9">
        <f>($J400-$I400)*100</f>
        <v/>
      </c>
    </row>
    <row r="401">
      <c r="A401" s="17" t="n">
        <v>45128</v>
      </c>
      <c r="B401" s="16" t="n">
        <v>-0.026</v>
      </c>
      <c r="C401" s="16" t="n">
        <v>0.481</v>
      </c>
      <c r="D401" s="16" t="n">
        <v>1.34</v>
      </c>
      <c r="E401" s="16" t="n">
        <v>4.82</v>
      </c>
      <c r="F401" s="16" t="n">
        <v>3.84</v>
      </c>
      <c r="G401" s="16" t="n">
        <v>3.681</v>
      </c>
      <c r="H401" s="16" t="n">
        <v>2.4567</v>
      </c>
      <c r="I401" s="16" t="n">
        <v>3.0693</v>
      </c>
      <c r="J401" s="16" t="n">
        <v>2.5047</v>
      </c>
      <c r="K401" s="16" t="n">
        <v>4.094</v>
      </c>
      <c r="L401" s="16" t="n">
        <v>4.41</v>
      </c>
      <c r="M401" s="9">
        <f>($C401-$B401)*100</f>
        <v/>
      </c>
      <c r="N401" s="9">
        <f>($D401-$C401)*100</f>
        <v/>
      </c>
      <c r="O401" s="9">
        <f>($F401-$E401)*100</f>
        <v/>
      </c>
      <c r="P401" s="9">
        <f>($J401-$I401)*100</f>
        <v/>
      </c>
    </row>
    <row r="402">
      <c r="A402" s="17" t="n">
        <v>45135</v>
      </c>
      <c r="B402" s="16" t="n">
        <v>-0.015</v>
      </c>
      <c r="C402" s="16" t="n">
        <v>0.551</v>
      </c>
      <c r="D402" s="16" t="n">
        <v>1.356</v>
      </c>
      <c r="E402" s="16" t="n">
        <v>4.87</v>
      </c>
      <c r="F402" s="16" t="n">
        <v>3.96</v>
      </c>
      <c r="G402" s="16" t="n">
        <v>3.681</v>
      </c>
      <c r="H402" s="16" t="n">
        <v>2.4567</v>
      </c>
      <c r="I402" s="16" t="n">
        <v>3.032</v>
      </c>
      <c r="J402" s="16" t="n">
        <v>2.542</v>
      </c>
      <c r="K402" s="16" t="n">
        <v>4.202</v>
      </c>
      <c r="L402" s="16" t="n">
        <v>4.56</v>
      </c>
      <c r="M402" s="9">
        <f>($C402-$B402)*100</f>
        <v/>
      </c>
      <c r="N402" s="9">
        <f>($D402-$C402)*100</f>
        <v/>
      </c>
      <c r="O402" s="9">
        <f>($F402-$E402)*100</f>
        <v/>
      </c>
      <c r="P402" s="9">
        <f>($J402-$I402)*100</f>
        <v/>
      </c>
    </row>
    <row r="403">
      <c r="A403" s="17" t="n">
        <v>45142</v>
      </c>
      <c r="B403" s="16" t="n">
        <v>0.021</v>
      </c>
      <c r="C403" s="16" t="n">
        <v>0.643</v>
      </c>
      <c r="D403" s="16" t="n">
        <v>1.553</v>
      </c>
      <c r="E403" s="16" t="n">
        <v>4.78</v>
      </c>
      <c r="F403" s="16" t="n">
        <v>4.05</v>
      </c>
      <c r="G403" s="16" t="n">
        <v>3.86</v>
      </c>
      <c r="H403" s="16" t="n">
        <v>2.5457</v>
      </c>
      <c r="I403" s="16" t="n">
        <v>2.9998</v>
      </c>
      <c r="J403" s="16" t="n">
        <v>2.6638</v>
      </c>
      <c r="K403" s="16" t="n">
        <v>4.199</v>
      </c>
      <c r="L403" s="16" t="n">
        <v>4.58</v>
      </c>
      <c r="M403" s="9">
        <f>($C403-$B403)*100</f>
        <v/>
      </c>
      <c r="N403" s="9">
        <f>($D403-$C403)*100</f>
        <v/>
      </c>
      <c r="O403" s="9">
        <f>($F403-$E403)*100</f>
        <v/>
      </c>
      <c r="P403" s="9">
        <f>($J403-$I403)*100</f>
        <v/>
      </c>
    </row>
    <row r="404">
      <c r="A404" s="17" t="n">
        <v>45149</v>
      </c>
      <c r="B404" s="16" t="n">
        <v>0.012</v>
      </c>
      <c r="C404" s="16" t="n">
        <v>0.591</v>
      </c>
      <c r="D404" s="16" t="n">
        <v>1.495</v>
      </c>
      <c r="E404" s="16" t="n">
        <v>4.89</v>
      </c>
      <c r="F404" s="16" t="n">
        <v>4.16</v>
      </c>
      <c r="G404" s="16" t="n">
        <v>3.86</v>
      </c>
      <c r="H404" s="16" t="n">
        <v>2.5457</v>
      </c>
      <c r="I404" s="16" t="n">
        <v>2.9688</v>
      </c>
      <c r="J404" s="16" t="n">
        <v>2.6885</v>
      </c>
      <c r="K404" s="16" t="n">
        <v>4.124</v>
      </c>
      <c r="L404" s="16" t="n">
        <v>4.45</v>
      </c>
      <c r="M404" s="9">
        <f>($C404-$B404)*100</f>
        <v/>
      </c>
      <c r="N404" s="9">
        <f>($D404-$C404)*100</f>
        <v/>
      </c>
      <c r="O404" s="9">
        <f>($F404-$E404)*100</f>
        <v/>
      </c>
      <c r="P404" s="9">
        <f>($J404-$I404)*100</f>
        <v/>
      </c>
    </row>
    <row r="405">
      <c r="A405" s="17" t="n">
        <v>45156</v>
      </c>
      <c r="B405" s="16" t="n">
        <v>0.022</v>
      </c>
      <c r="C405" s="16" t="n">
        <v>0.632</v>
      </c>
      <c r="D405" s="16" t="n">
        <v>1.565</v>
      </c>
      <c r="E405" s="16" t="n">
        <v>4.92</v>
      </c>
      <c r="F405" s="16" t="n">
        <v>4.26</v>
      </c>
      <c r="G405" s="16" t="n">
        <v>3.86</v>
      </c>
      <c r="H405" s="16" t="n">
        <v>2.5457</v>
      </c>
      <c r="I405" s="16" t="n">
        <v>2.9635</v>
      </c>
      <c r="J405" s="16" t="n">
        <v>2.7153</v>
      </c>
      <c r="K405" s="16" t="n">
        <v>4.223</v>
      </c>
      <c r="L405" s="16" t="n">
        <v>4.35</v>
      </c>
      <c r="M405" s="9">
        <f>($C405-$B405)*100</f>
        <v/>
      </c>
      <c r="N405" s="9">
        <f>($D405-$C405)*100</f>
        <v/>
      </c>
      <c r="O405" s="9">
        <f>($F405-$E405)*100</f>
        <v/>
      </c>
      <c r="P405" s="9">
        <f>($J405-$I405)*100</f>
        <v/>
      </c>
    </row>
    <row r="406">
      <c r="A406" s="17" t="n">
        <v>45163</v>
      </c>
      <c r="B406" s="16" t="n">
        <v>0.01</v>
      </c>
      <c r="C406" s="16" t="n">
        <v>0.663</v>
      </c>
      <c r="D406" s="16" t="n">
        <v>1.589</v>
      </c>
      <c r="E406" s="16" t="n">
        <v>5.03</v>
      </c>
      <c r="F406" s="16" t="n">
        <v>4.25</v>
      </c>
      <c r="G406" s="16" t="n">
        <v>3.86</v>
      </c>
      <c r="H406" s="16" t="n">
        <v>2.5457</v>
      </c>
      <c r="I406" s="16" t="n">
        <v>2.9918</v>
      </c>
      <c r="J406" s="16" t="n">
        <v>2.622</v>
      </c>
      <c r="K406" s="16" t="n">
        <v>4.047</v>
      </c>
      <c r="L406" s="16" t="n">
        <v>3.76</v>
      </c>
      <c r="M406" s="9">
        <f>($C406-$B406)*100</f>
        <v/>
      </c>
      <c r="N406" s="9">
        <f>($D406-$C406)*100</f>
        <v/>
      </c>
      <c r="O406" s="9">
        <f>($F406-$E406)*100</f>
        <v/>
      </c>
      <c r="P406" s="9">
        <f>($J406-$I406)*100</f>
        <v/>
      </c>
    </row>
    <row r="407">
      <c r="A407" s="17" t="n">
        <v>45170</v>
      </c>
      <c r="B407" s="16" t="n">
        <v>0.02</v>
      </c>
      <c r="C407" s="16" t="n">
        <v>0.636</v>
      </c>
      <c r="D407" s="16" t="n">
        <v>1.569</v>
      </c>
      <c r="E407" s="16" t="n">
        <v>4.87</v>
      </c>
      <c r="F407" s="16" t="n">
        <v>4.18</v>
      </c>
      <c r="G407" s="16" t="n">
        <v>3.949</v>
      </c>
      <c r="H407" s="16" t="n">
        <v>2.6614</v>
      </c>
      <c r="I407" s="16" t="n">
        <v>2.9159</v>
      </c>
      <c r="J407" s="16" t="n">
        <v>2.6279</v>
      </c>
      <c r="K407" s="16" t="n">
        <v>3.925</v>
      </c>
      <c r="L407" s="16" t="n">
        <v>3.58</v>
      </c>
      <c r="M407" s="9">
        <f>($C407-$B407)*100</f>
        <v/>
      </c>
      <c r="N407" s="9">
        <f>($D407-$C407)*100</f>
        <v/>
      </c>
      <c r="O407" s="9">
        <f>($F407-$E407)*100</f>
        <v/>
      </c>
      <c r="P407" s="9">
        <f>($J407-$I407)*100</f>
        <v/>
      </c>
    </row>
    <row r="408">
      <c r="A408" s="17" t="n">
        <v>45177</v>
      </c>
      <c r="B408" s="16" t="n">
        <v>0.007</v>
      </c>
      <c r="C408" s="16" t="n">
        <v>0.658</v>
      </c>
      <c r="D408" s="16" t="n">
        <v>1.593</v>
      </c>
      <c r="E408" s="16" t="n">
        <v>4.98</v>
      </c>
      <c r="F408" s="16" t="n">
        <v>4.26</v>
      </c>
      <c r="G408" s="16" t="n">
        <v>3.949</v>
      </c>
      <c r="H408" s="16" t="n">
        <v>2.6614</v>
      </c>
      <c r="I408" s="16" t="n">
        <v>3.0298</v>
      </c>
      <c r="J408" s="16" t="n">
        <v>2.6848</v>
      </c>
      <c r="K408" s="16" t="n">
        <v>4.038</v>
      </c>
      <c r="L408" s="16" t="n">
        <v>3.86</v>
      </c>
      <c r="M408" s="9">
        <f>($C408-$B408)*100</f>
        <v/>
      </c>
      <c r="N408" s="9">
        <f>($D408-$C408)*100</f>
        <v/>
      </c>
      <c r="O408" s="9">
        <f>($F408-$E408)*100</f>
        <v/>
      </c>
      <c r="P408" s="9">
        <f>($J408-$I408)*100</f>
        <v/>
      </c>
    </row>
    <row r="409">
      <c r="A409" s="17" t="n">
        <v>45184</v>
      </c>
      <c r="B409" s="16" t="n">
        <v>0.03</v>
      </c>
      <c r="C409" s="16" t="n">
        <v>0.715</v>
      </c>
      <c r="D409" s="16" t="n">
        <v>1.598</v>
      </c>
      <c r="E409" s="16" t="n">
        <v>5.02</v>
      </c>
      <c r="F409" s="16" t="n">
        <v>4.33</v>
      </c>
      <c r="G409" s="16" t="n">
        <v>3.949</v>
      </c>
      <c r="H409" s="16" t="n">
        <v>2.6614</v>
      </c>
      <c r="I409" s="16" t="n">
        <v>3.1409</v>
      </c>
      <c r="J409" s="16" t="n">
        <v>2.7349</v>
      </c>
      <c r="K409" s="16" t="n">
        <v>4.153</v>
      </c>
      <c r="L409" s="16" t="n">
        <v>4.35</v>
      </c>
      <c r="M409" s="9">
        <f>($C409-$B409)*100</f>
        <v/>
      </c>
      <c r="N409" s="9">
        <f>($D409-$C409)*100</f>
        <v/>
      </c>
      <c r="O409" s="9">
        <f>($F409-$E409)*100</f>
        <v/>
      </c>
      <c r="P409" s="9">
        <f>($J409-$I409)*100</f>
        <v/>
      </c>
    </row>
    <row r="410">
      <c r="A410" s="17" t="n">
        <v>45191</v>
      </c>
      <c r="B410" s="16" t="n">
        <v>0.035</v>
      </c>
      <c r="C410" s="16" t="n">
        <v>0.754</v>
      </c>
      <c r="D410" s="16" t="n">
        <v>1.611</v>
      </c>
      <c r="E410" s="16" t="n">
        <v>5.1</v>
      </c>
      <c r="F410" s="16" t="n">
        <v>4.44</v>
      </c>
      <c r="G410" s="16" t="n">
        <v>3.949</v>
      </c>
      <c r="H410" s="16" t="n">
        <v>2.6614</v>
      </c>
      <c r="I410" s="16" t="n">
        <v>3.1858</v>
      </c>
      <c r="J410" s="16" t="n">
        <v>2.8196</v>
      </c>
      <c r="K410" s="16" t="n">
        <v>4.327</v>
      </c>
      <c r="L410" s="16" t="n">
        <v>4.5</v>
      </c>
      <c r="M410" s="9">
        <f>($C410-$B410)*100</f>
        <v/>
      </c>
      <c r="N410" s="9">
        <f>($D410-$C410)*100</f>
        <v/>
      </c>
      <c r="O410" s="9">
        <f>($F410-$E410)*100</f>
        <v/>
      </c>
      <c r="P410" s="9">
        <f>($J410-$I410)*100</f>
        <v/>
      </c>
    </row>
    <row r="411">
      <c r="A411" s="17" t="n">
        <v>45198</v>
      </c>
      <c r="B411" s="16" t="n">
        <v>0.044</v>
      </c>
      <c r="C411" s="16" t="n">
        <v>0.774</v>
      </c>
      <c r="D411" s="16" t="n">
        <v>1.649</v>
      </c>
      <c r="E411" s="16" t="n">
        <v>5.03</v>
      </c>
      <c r="F411" s="16" t="n">
        <v>4.59</v>
      </c>
      <c r="G411" s="16" t="n">
        <v>3.949</v>
      </c>
      <c r="H411" s="16" t="n">
        <v>2.6614</v>
      </c>
      <c r="I411" s="16" t="n">
        <v>3.1572</v>
      </c>
      <c r="J411" s="16" t="n">
        <v>2.8763</v>
      </c>
      <c r="K411" s="16" t="n">
        <v>4.223</v>
      </c>
      <c r="L411" s="16" t="n">
        <v>4.72</v>
      </c>
      <c r="M411" s="9">
        <f>($C411-$B411)*100</f>
        <v/>
      </c>
      <c r="N411" s="9">
        <f>($D411-$C411)*100</f>
        <v/>
      </c>
      <c r="O411" s="9">
        <f>($F411-$E411)*100</f>
        <v/>
      </c>
      <c r="P411" s="9">
        <f>($J411-$I411)*100</f>
        <v/>
      </c>
    </row>
    <row r="412">
      <c r="A412" s="17" t="n">
        <v>45205</v>
      </c>
      <c r="B412" s="16" t="n">
        <v>0.061</v>
      </c>
      <c r="C412" s="16" t="n">
        <v>0.802</v>
      </c>
      <c r="D412" s="16" t="n">
        <v>1.75</v>
      </c>
      <c r="E412" s="16" t="n">
        <v>5.08</v>
      </c>
      <c r="F412" s="16" t="n">
        <v>4.78</v>
      </c>
      <c r="G412" s="16" t="n">
        <v>4.272</v>
      </c>
      <c r="H412" s="16" t="n">
        <v>2.8232</v>
      </c>
      <c r="I412" s="16" t="n">
        <v>3.1029</v>
      </c>
      <c r="J412" s="16" t="n">
        <v>2.9604</v>
      </c>
      <c r="K412" s="16" t="n">
        <v>4.156</v>
      </c>
      <c r="L412" s="16" t="n">
        <v>4.66</v>
      </c>
      <c r="M412" s="9">
        <f>($C412-$B412)*100</f>
        <v/>
      </c>
      <c r="N412" s="9">
        <f>($D412-$C412)*100</f>
        <v/>
      </c>
      <c r="O412" s="9">
        <f>($F412-$E412)*100</f>
        <v/>
      </c>
      <c r="P412" s="9">
        <f>($J412-$I412)*100</f>
        <v/>
      </c>
    </row>
    <row r="413">
      <c r="A413" s="17" t="n">
        <v>45212</v>
      </c>
      <c r="B413" s="16" t="n">
        <v>0.044</v>
      </c>
      <c r="C413" s="16" t="n">
        <v>0.765</v>
      </c>
      <c r="D413" s="16" t="n">
        <v>1.699</v>
      </c>
      <c r="E413" s="16" t="n">
        <v>5.04</v>
      </c>
      <c r="F413" s="16" t="n">
        <v>4.63</v>
      </c>
      <c r="G413" s="16" t="n">
        <v>4.272</v>
      </c>
      <c r="H413" s="16" t="n">
        <v>2.8232</v>
      </c>
      <c r="I413" s="16" t="n">
        <v>3.0527</v>
      </c>
      <c r="J413" s="16" t="n">
        <v>2.8836</v>
      </c>
      <c r="K413" s="16" t="n">
        <v>4.226</v>
      </c>
      <c r="L413" s="16" t="n">
        <v>4.7</v>
      </c>
      <c r="M413" s="9">
        <f>($C413-$B413)*100</f>
        <v/>
      </c>
      <c r="N413" s="9">
        <f>($D413-$C413)*100</f>
        <v/>
      </c>
      <c r="O413" s="9">
        <f>($F413-$E413)*100</f>
        <v/>
      </c>
      <c r="P413" s="9">
        <f>($J413-$I413)*100</f>
        <v/>
      </c>
    </row>
    <row r="414">
      <c r="A414" s="17" t="n">
        <v>45219</v>
      </c>
      <c r="B414" s="16" t="n">
        <v>0.075</v>
      </c>
      <c r="C414" s="16" t="n">
        <v>0.841</v>
      </c>
      <c r="D414" s="16" t="n">
        <v>1.817</v>
      </c>
      <c r="E414" s="16" t="n">
        <v>5.07</v>
      </c>
      <c r="F414" s="16" t="n">
        <v>4.93</v>
      </c>
      <c r="G414" s="16" t="n">
        <v>4.272</v>
      </c>
      <c r="H414" s="16" t="n">
        <v>2.8232</v>
      </c>
      <c r="I414" s="16" t="n">
        <v>3.1165</v>
      </c>
      <c r="J414" s="16" t="n">
        <v>2.9495</v>
      </c>
      <c r="K414" s="16" t="n">
        <v>4.35</v>
      </c>
      <c r="L414" s="16" t="n">
        <v>4.76</v>
      </c>
      <c r="M414" s="9">
        <f>($C414-$B414)*100</f>
        <v/>
      </c>
      <c r="N414" s="9">
        <f>($D414-$C414)*100</f>
        <v/>
      </c>
      <c r="O414" s="9">
        <f>($F414-$E414)*100</f>
        <v/>
      </c>
      <c r="P414" s="9">
        <f>($J414-$I414)*100</f>
        <v/>
      </c>
    </row>
    <row r="415">
      <c r="A415" s="17" t="n">
        <v>45226</v>
      </c>
      <c r="B415" s="16" t="n">
        <v>0.094</v>
      </c>
      <c r="C415" s="16" t="n">
        <v>0.875</v>
      </c>
      <c r="D415" s="16" t="n">
        <v>1.831</v>
      </c>
      <c r="E415" s="16" t="n">
        <v>4.99</v>
      </c>
      <c r="F415" s="16" t="n">
        <v>4.84</v>
      </c>
      <c r="G415" s="16" t="n">
        <v>4.272</v>
      </c>
      <c r="H415" s="16" t="n">
        <v>2.8232</v>
      </c>
      <c r="I415" s="16" t="n">
        <v>3.0393</v>
      </c>
      <c r="J415" s="16" t="n">
        <v>2.8985</v>
      </c>
      <c r="K415" s="16" t="n">
        <v>4.289</v>
      </c>
      <c r="L415" s="16" t="n">
        <v>4.87</v>
      </c>
      <c r="M415" s="9">
        <f>($C415-$B415)*100</f>
        <v/>
      </c>
      <c r="N415" s="9">
        <f>($D415-$C415)*100</f>
        <v/>
      </c>
      <c r="O415" s="9">
        <f>($F415-$E415)*100</f>
        <v/>
      </c>
      <c r="P415" s="9">
        <f>($J415-$I415)*100</f>
        <v/>
      </c>
    </row>
    <row r="416">
      <c r="A416" s="17" t="n">
        <v>45233</v>
      </c>
      <c r="B416" s="16" t="n">
        <v>0.135</v>
      </c>
      <c r="C416" s="16" t="n">
        <v>0.92</v>
      </c>
      <c r="D416" s="16" t="n">
        <v>1.851</v>
      </c>
      <c r="E416" s="16" t="n">
        <v>4.83</v>
      </c>
      <c r="F416" s="16" t="n">
        <v>4.57</v>
      </c>
      <c r="G416" s="16" t="n">
        <v>3.89</v>
      </c>
      <c r="H416" s="16" t="n">
        <v>2.6014</v>
      </c>
      <c r="I416" s="16" t="n">
        <v>2.9533</v>
      </c>
      <c r="J416" s="16" t="n">
        <v>2.7006</v>
      </c>
      <c r="K416" s="16" t="n">
        <v>4.22</v>
      </c>
      <c r="L416" s="16" t="n">
        <v>4.83</v>
      </c>
      <c r="M416" s="9">
        <f>($C416-$B416)*100</f>
        <v/>
      </c>
      <c r="N416" s="9">
        <f>($D416-$C416)*100</f>
        <v/>
      </c>
      <c r="O416" s="9">
        <f>($F416-$E416)*100</f>
        <v/>
      </c>
      <c r="P416" s="9">
        <f>($J416-$I416)*100</f>
        <v/>
      </c>
    </row>
    <row r="417">
      <c r="A417" s="17" t="n">
        <v>45240</v>
      </c>
      <c r="B417" s="16" t="n">
        <v>0.108</v>
      </c>
      <c r="C417" s="16" t="n">
        <v>0.859</v>
      </c>
      <c r="D417" s="16" t="n">
        <v>1.743</v>
      </c>
      <c r="E417" s="16" t="n">
        <v>5.04</v>
      </c>
      <c r="F417" s="16" t="n">
        <v>4.61</v>
      </c>
      <c r="G417" s="16" t="n">
        <v>3.89</v>
      </c>
      <c r="H417" s="16" t="n">
        <v>2.6014</v>
      </c>
      <c r="I417" s="16" t="n">
        <v>3.0472</v>
      </c>
      <c r="J417" s="16" t="n">
        <v>2.7552</v>
      </c>
      <c r="K417" s="16" t="n">
        <v>4.294</v>
      </c>
      <c r="L417" s="16" t="n">
        <v>4.98</v>
      </c>
      <c r="M417" s="9">
        <f>($C417-$B417)*100</f>
        <v/>
      </c>
      <c r="N417" s="9">
        <f>($D417-$C417)*100</f>
        <v/>
      </c>
      <c r="O417" s="9">
        <f>($F417-$E417)*100</f>
        <v/>
      </c>
      <c r="P417" s="9">
        <f>($J417-$I417)*100</f>
        <v/>
      </c>
    </row>
    <row r="418">
      <c r="A418" s="17" t="n">
        <v>45247</v>
      </c>
      <c r="B418" s="16" t="n">
        <v>0.046</v>
      </c>
      <c r="C418" s="16" t="n">
        <v>0.765</v>
      </c>
      <c r="D418" s="16" t="n">
        <v>1.694</v>
      </c>
      <c r="E418" s="16" t="n">
        <v>4.88</v>
      </c>
      <c r="F418" s="16" t="n">
        <v>4.44</v>
      </c>
      <c r="G418" s="16" t="n">
        <v>3.89</v>
      </c>
      <c r="H418" s="16" t="n">
        <v>2.6014</v>
      </c>
      <c r="I418" s="16" t="n">
        <v>2.9253</v>
      </c>
      <c r="J418" s="16" t="n">
        <v>2.6413</v>
      </c>
      <c r="K418" s="16" t="n">
        <v>4.134</v>
      </c>
      <c r="L418" s="16" t="n">
        <v>5.02</v>
      </c>
      <c r="M418" s="9">
        <f>($C418-$B418)*100</f>
        <v/>
      </c>
      <c r="N418" s="9">
        <f>($D418-$C418)*100</f>
        <v/>
      </c>
      <c r="O418" s="9">
        <f>($F418-$E418)*100</f>
        <v/>
      </c>
      <c r="P418" s="9">
        <f>($J418-$I418)*100</f>
        <v/>
      </c>
    </row>
    <row r="419">
      <c r="A419" s="17" t="n">
        <v>45254</v>
      </c>
      <c r="B419" s="16" t="n">
        <v>0.068</v>
      </c>
      <c r="C419" s="16" t="n">
        <v>0.786</v>
      </c>
      <c r="D419" s="16" t="n">
        <v>1.699</v>
      </c>
      <c r="E419" s="16" t="n">
        <v>4.92</v>
      </c>
      <c r="F419" s="16" t="n">
        <v>4.47</v>
      </c>
      <c r="G419" s="16" t="n">
        <v>3.89</v>
      </c>
      <c r="H419" s="16" t="n">
        <v>2.6014</v>
      </c>
      <c r="I419" s="16" t="n">
        <v>3.0207</v>
      </c>
      <c r="J419" s="16" t="n">
        <v>2.6869</v>
      </c>
      <c r="K419" s="16" t="n">
        <v>4.213</v>
      </c>
      <c r="L419" s="16" t="n">
        <v>5.17</v>
      </c>
      <c r="M419" s="9">
        <f>($C419-$B419)*100</f>
        <v/>
      </c>
      <c r="N419" s="9">
        <f>($D419-$C419)*100</f>
        <v/>
      </c>
      <c r="O419" s="9">
        <f>($F419-$E419)*100</f>
        <v/>
      </c>
      <c r="P419" s="9">
        <f>($J419-$I419)*100</f>
        <v/>
      </c>
    </row>
    <row r="420">
      <c r="A420" s="17" t="n">
        <v>45261</v>
      </c>
      <c r="B420" s="16" t="n">
        <v>0.04</v>
      </c>
      <c r="C420" s="16" t="n">
        <v>0.72</v>
      </c>
      <c r="D420" s="16" t="n">
        <v>1.683</v>
      </c>
      <c r="E420" s="16" t="n">
        <v>4.56</v>
      </c>
      <c r="F420" s="16" t="n">
        <v>4.22</v>
      </c>
      <c r="G420" s="16" t="n">
        <v>3.415</v>
      </c>
      <c r="H420" s="16" t="n">
        <v>2.1021</v>
      </c>
      <c r="I420" s="16" t="n">
        <v>2.7018</v>
      </c>
      <c r="J420" s="16" t="n">
        <v>2.4798</v>
      </c>
      <c r="K420" s="16" t="n">
        <v>3.914</v>
      </c>
      <c r="L420" s="16" t="n">
        <v>5</v>
      </c>
      <c r="M420" s="9">
        <f>($C420-$B420)*100</f>
        <v/>
      </c>
      <c r="N420" s="9">
        <f>($D420-$C420)*100</f>
        <v/>
      </c>
      <c r="O420" s="9">
        <f>($F420-$E420)*100</f>
        <v/>
      </c>
      <c r="P420" s="9">
        <f>($J420-$I420)*100</f>
        <v/>
      </c>
    </row>
    <row r="421">
      <c r="A421" s="17" t="n">
        <v>45268</v>
      </c>
      <c r="B421" s="16" t="n">
        <v>0.092</v>
      </c>
      <c r="C421" s="16" t="n">
        <v>0.791</v>
      </c>
      <c r="D421" s="16" t="n">
        <v>1.759</v>
      </c>
      <c r="E421" s="16" t="n">
        <v>4.71</v>
      </c>
      <c r="F421" s="16" t="n">
        <v>4.23</v>
      </c>
      <c r="G421" s="16" t="n">
        <v>3.415</v>
      </c>
      <c r="H421" s="16" t="n">
        <v>2.1021</v>
      </c>
      <c r="I421" s="16" t="n">
        <v>2.687</v>
      </c>
      <c r="J421" s="16" t="n">
        <v>2.3534</v>
      </c>
      <c r="K421" s="16" t="n">
        <v>3.787</v>
      </c>
      <c r="L421" s="16" t="n">
        <v>4.7</v>
      </c>
      <c r="M421" s="9">
        <f>($C421-$B421)*100</f>
        <v/>
      </c>
      <c r="N421" s="9">
        <f>($D421-$C421)*100</f>
        <v/>
      </c>
      <c r="O421" s="9">
        <f>($F421-$E421)*100</f>
        <v/>
      </c>
      <c r="P421" s="9">
        <f>($J421-$I421)*100</f>
        <v/>
      </c>
    </row>
    <row r="422">
      <c r="A422" s="17" t="n">
        <v>45275</v>
      </c>
      <c r="B422" s="16" t="n">
        <v>0.08699999999999999</v>
      </c>
      <c r="C422" s="16" t="n">
        <v>0.728</v>
      </c>
      <c r="D422" s="16" t="n">
        <v>1.652</v>
      </c>
      <c r="E422" s="16" t="n">
        <v>4.44</v>
      </c>
      <c r="F422" s="16" t="n">
        <v>3.91</v>
      </c>
      <c r="G422" s="16" t="n">
        <v>3.415</v>
      </c>
      <c r="H422" s="16" t="n">
        <v>2.1021</v>
      </c>
      <c r="I422" s="16" t="n">
        <v>2.5667</v>
      </c>
      <c r="J422" s="16" t="n">
        <v>2.1148</v>
      </c>
      <c r="K422" s="16" t="n">
        <v>3.587</v>
      </c>
      <c r="L422" s="16" t="n">
        <v>4.49</v>
      </c>
      <c r="M422" s="9">
        <f>($C422-$B422)*100</f>
        <v/>
      </c>
      <c r="N422" s="9">
        <f>($D422-$C422)*100</f>
        <v/>
      </c>
      <c r="O422" s="9">
        <f>($F422-$E422)*100</f>
        <v/>
      </c>
      <c r="P422" s="9">
        <f>($J422-$I422)*100</f>
        <v/>
      </c>
    </row>
    <row r="423">
      <c r="A423" s="17" t="n">
        <v>45282</v>
      </c>
      <c r="B423" s="16" t="n">
        <v>0.046</v>
      </c>
      <c r="C423" s="16" t="n">
        <v>0.651</v>
      </c>
      <c r="D423" s="16" t="n">
        <v>1.619</v>
      </c>
      <c r="E423" s="16" t="n">
        <v>4.31</v>
      </c>
      <c r="F423" s="16" t="n">
        <v>3.9</v>
      </c>
      <c r="G423" s="16" t="n">
        <v>3.415</v>
      </c>
      <c r="H423" s="16" t="n">
        <v>2.1021</v>
      </c>
      <c r="I423" s="16" t="n">
        <v>2.4244</v>
      </c>
      <c r="J423" s="16" t="n">
        <v>2.0193</v>
      </c>
      <c r="K423" s="16" t="n">
        <v>3.45</v>
      </c>
      <c r="L423" s="16" t="n">
        <v>4.49</v>
      </c>
      <c r="M423" s="9">
        <f>($C423-$B423)*100</f>
        <v/>
      </c>
      <c r="N423" s="9">
        <f>($D423-$C423)*100</f>
        <v/>
      </c>
      <c r="O423" s="9">
        <f>($F423-$E423)*100</f>
        <v/>
      </c>
      <c r="P423" s="9">
        <f>($J423-$I423)*100</f>
        <v/>
      </c>
    </row>
    <row r="424">
      <c r="A424" s="17" t="n">
        <v>45289</v>
      </c>
      <c r="B424" s="16" t="n">
        <v>0.048</v>
      </c>
      <c r="C424" s="16" t="n">
        <v>0.647</v>
      </c>
      <c r="D424" s="16" t="n">
        <v>1.662</v>
      </c>
      <c r="E424" s="16" t="n">
        <v>4.23</v>
      </c>
      <c r="F424" s="16" t="n">
        <v>3.88</v>
      </c>
      <c r="G424" s="16" t="n">
        <v>3.415</v>
      </c>
      <c r="H424" s="16" t="n">
        <v>2.1021</v>
      </c>
      <c r="I424" s="16" t="n">
        <v>2.4363</v>
      </c>
      <c r="J424" s="16" t="n">
        <v>2.0809</v>
      </c>
      <c r="K424" s="16" t="n">
        <v>3.388</v>
      </c>
      <c r="L424" s="16" t="n">
        <v>4.47</v>
      </c>
      <c r="M424" s="9">
        <f>($C424-$B424)*100</f>
        <v/>
      </c>
      <c r="N424" s="9">
        <f>($D424-$C424)*100</f>
        <v/>
      </c>
      <c r="O424" s="9">
        <f>($F424-$E424)*100</f>
        <v/>
      </c>
      <c r="P424" s="9">
        <f>($J424-$I424)*100</f>
        <v/>
      </c>
    </row>
    <row r="425">
      <c r="A425" s="17" t="n">
        <v>45296</v>
      </c>
      <c r="B425" s="16" t="n">
        <v>0.035</v>
      </c>
      <c r="C425" s="16" t="n">
        <v>0.634</v>
      </c>
      <c r="D425" s="16" t="n">
        <v>1.64</v>
      </c>
      <c r="E425" s="16" t="n">
        <v>4.4</v>
      </c>
      <c r="F425" s="16" t="n">
        <v>4.05</v>
      </c>
      <c r="G425" s="16" t="n">
        <v>3.353</v>
      </c>
      <c r="H425" s="16" t="n">
        <v>2.1745</v>
      </c>
      <c r="I425" s="16" t="n">
        <v>2.5775</v>
      </c>
      <c r="J425" s="16" t="n">
        <v>2.2469</v>
      </c>
      <c r="K425" s="16" t="n">
        <v>3.537</v>
      </c>
      <c r="L425" s="16" t="n">
        <v>4.45</v>
      </c>
      <c r="M425" s="9">
        <f>($C425-$B425)*100</f>
        <v/>
      </c>
      <c r="N425" s="9">
        <f>($D425-$C425)*100</f>
        <v/>
      </c>
      <c r="O425" s="9">
        <f>($F425-$E425)*100</f>
        <v/>
      </c>
      <c r="P425" s="9">
        <f>($J425-$I425)*100</f>
        <v/>
      </c>
    </row>
    <row r="426">
      <c r="A426" s="17" t="n">
        <v>45303</v>
      </c>
      <c r="B426" s="16" t="n">
        <v>0.005</v>
      </c>
      <c r="C426" s="16" t="n">
        <v>0.591</v>
      </c>
      <c r="D426" s="16" t="n">
        <v>1.61</v>
      </c>
      <c r="E426" s="16" t="n">
        <v>4.14</v>
      </c>
      <c r="F426" s="16" t="n">
        <v>3.96</v>
      </c>
      <c r="G426" s="16" t="n">
        <v>3.353</v>
      </c>
      <c r="H426" s="16" t="n">
        <v>2.1745</v>
      </c>
      <c r="I426" s="16" t="n">
        <v>2.5252</v>
      </c>
      <c r="J426" s="16" t="n">
        <v>2.2262</v>
      </c>
      <c r="K426" s="16" t="n">
        <v>3.379</v>
      </c>
      <c r="L426" s="16" t="n">
        <v>4.4</v>
      </c>
      <c r="M426" s="9">
        <f>($C426-$B426)*100</f>
        <v/>
      </c>
      <c r="N426" s="9">
        <f>($D426-$C426)*100</f>
        <v/>
      </c>
      <c r="O426" s="9">
        <f>($F426-$E426)*100</f>
        <v/>
      </c>
      <c r="P426" s="9">
        <f>($J426-$I426)*100</f>
        <v/>
      </c>
    </row>
    <row r="427">
      <c r="A427" s="17" t="n">
        <v>45310</v>
      </c>
      <c r="B427" s="16" t="n">
        <v>0.031</v>
      </c>
      <c r="C427" s="16" t="n">
        <v>0.671</v>
      </c>
      <c r="D427" s="16" t="n">
        <v>1.745</v>
      </c>
      <c r="E427" s="16" t="n">
        <v>4.39</v>
      </c>
      <c r="F427" s="16" t="n">
        <v>4.15</v>
      </c>
      <c r="G427" s="16" t="n">
        <v>3.353</v>
      </c>
      <c r="H427" s="16" t="n">
        <v>2.1745</v>
      </c>
      <c r="I427" s="16" t="n">
        <v>2.6601</v>
      </c>
      <c r="J427" s="16" t="n">
        <v>2.3846</v>
      </c>
      <c r="K427" s="16" t="n">
        <v>3.451</v>
      </c>
      <c r="L427" s="16" t="n">
        <v>4.31</v>
      </c>
      <c r="M427" s="9">
        <f>($C427-$B427)*100</f>
        <v/>
      </c>
      <c r="N427" s="9">
        <f>($D427-$C427)*100</f>
        <v/>
      </c>
      <c r="O427" s="9">
        <f>($F427-$E427)*100</f>
        <v/>
      </c>
      <c r="P427" s="9">
        <f>($J427-$I427)*100</f>
        <v/>
      </c>
    </row>
    <row r="428">
      <c r="A428" s="17" t="n">
        <v>45317</v>
      </c>
      <c r="B428" s="16" t="n">
        <v>0.052</v>
      </c>
      <c r="C428" s="16" t="n">
        <v>0.721</v>
      </c>
      <c r="D428" s="16" t="n">
        <v>1.782</v>
      </c>
      <c r="E428" s="16" t="n">
        <v>4.34</v>
      </c>
      <c r="F428" s="16" t="n">
        <v>4.15</v>
      </c>
      <c r="G428" s="16" t="n">
        <v>3.353</v>
      </c>
      <c r="H428" s="16" t="n">
        <v>2.1745</v>
      </c>
      <c r="I428" s="16" t="n">
        <v>2.5874</v>
      </c>
      <c r="J428" s="16" t="n">
        <v>2.3883</v>
      </c>
      <c r="K428" s="16" t="n">
        <v>3.358</v>
      </c>
      <c r="L428" s="16" t="n">
        <v>4.01</v>
      </c>
      <c r="M428" s="9">
        <f>($C428-$B428)*100</f>
        <v/>
      </c>
      <c r="N428" s="9">
        <f>($D428-$C428)*100</f>
        <v/>
      </c>
      <c r="O428" s="9">
        <f>($F428-$E428)*100</f>
        <v/>
      </c>
      <c r="P428" s="9">
        <f>($J428-$I428)*100</f>
        <v/>
      </c>
    </row>
    <row r="429">
      <c r="A429" s="17" t="n">
        <v>45324</v>
      </c>
      <c r="B429" s="16" t="n">
        <v>0.1</v>
      </c>
      <c r="C429" s="16" t="n">
        <v>0.667</v>
      </c>
      <c r="D429" s="16" t="n">
        <v>1.723</v>
      </c>
      <c r="E429" s="16" t="n">
        <v>4.36</v>
      </c>
      <c r="F429" s="16" t="n">
        <v>4.03</v>
      </c>
      <c r="G429" s="16" t="n">
        <v>3.429</v>
      </c>
      <c r="H429" s="16" t="n">
        <v>2.3319</v>
      </c>
      <c r="I429" s="16" t="n">
        <v>2.5666</v>
      </c>
      <c r="J429" s="16" t="n">
        <v>2.2752</v>
      </c>
      <c r="K429" s="16" t="n">
        <v>3.258</v>
      </c>
      <c r="L429" s="16" t="n">
        <v>4</v>
      </c>
      <c r="M429" s="9">
        <f>($C429-$B429)*100</f>
        <v/>
      </c>
      <c r="N429" s="9">
        <f>($D429-$C429)*100</f>
        <v/>
      </c>
      <c r="O429" s="9">
        <f>($F429-$E429)*100</f>
        <v/>
      </c>
      <c r="P429" s="9">
        <f>($J429-$I429)*100</f>
        <v/>
      </c>
    </row>
    <row r="430">
      <c r="A430" s="17" t="n">
        <v>45331</v>
      </c>
      <c r="B430" s="16" t="n">
        <v>0.116</v>
      </c>
      <c r="C430" s="16" t="n">
        <v>0.731</v>
      </c>
      <c r="D430" s="16" t="n">
        <v>1.758</v>
      </c>
      <c r="E430" s="16" t="n">
        <v>4.48</v>
      </c>
      <c r="F430" s="16" t="n">
        <v>4.17</v>
      </c>
      <c r="G430" s="16" t="n">
        <v>3.429</v>
      </c>
      <c r="H430" s="16" t="n">
        <v>2.3319</v>
      </c>
      <c r="I430" s="16" t="n">
        <v>2.7201</v>
      </c>
      <c r="J430" s="16" t="n">
        <v>2.4612</v>
      </c>
      <c r="K430" s="16" t="n">
        <v>3.489</v>
      </c>
      <c r="L430" s="16" t="n">
        <v>4.05</v>
      </c>
      <c r="M430" s="9">
        <f>($C430-$B430)*100</f>
        <v/>
      </c>
      <c r="N430" s="9">
        <f>($D430-$C430)*100</f>
        <v/>
      </c>
      <c r="O430" s="9">
        <f>($F430-$E430)*100</f>
        <v/>
      </c>
      <c r="P430" s="9">
        <f>($J430-$I430)*100</f>
        <v/>
      </c>
    </row>
    <row r="431">
      <c r="A431" s="17" t="n">
        <v>45338</v>
      </c>
      <c r="B431" s="16" t="n">
        <v>0.143</v>
      </c>
      <c r="C431" s="16" t="n">
        <v>0.737</v>
      </c>
      <c r="D431" s="16" t="n">
        <v>1.75</v>
      </c>
      <c r="E431" s="16" t="n">
        <v>4.64</v>
      </c>
      <c r="F431" s="16" t="n">
        <v>4.3</v>
      </c>
      <c r="G431" s="16" t="n">
        <v>3.429</v>
      </c>
      <c r="H431" s="16" t="n">
        <v>2.3319</v>
      </c>
      <c r="I431" s="16" t="n">
        <v>2.834</v>
      </c>
      <c r="J431" s="16" t="n">
        <v>2.4712</v>
      </c>
      <c r="K431" s="16" t="n">
        <v>3.678</v>
      </c>
      <c r="L431" s="16" t="n">
        <v>4.04</v>
      </c>
      <c r="M431" s="9">
        <f>($C431-$B431)*100</f>
        <v/>
      </c>
      <c r="N431" s="9">
        <f>($D431-$C431)*100</f>
        <v/>
      </c>
      <c r="O431" s="9">
        <f>($F431-$E431)*100</f>
        <v/>
      </c>
      <c r="P431" s="9">
        <f>($J431-$I431)*100</f>
        <v/>
      </c>
    </row>
    <row r="432">
      <c r="A432" s="17" t="n">
        <v>45345</v>
      </c>
      <c r="B432" s="16" t="n">
        <v>0.158</v>
      </c>
      <c r="C432" s="16" t="n">
        <v>0.727</v>
      </c>
      <c r="D432" s="16" t="n">
        <v>1.699</v>
      </c>
      <c r="E432" s="16" t="n">
        <v>4.67</v>
      </c>
      <c r="F432" s="16" t="n">
        <v>4.26</v>
      </c>
      <c r="G432" s="16" t="n">
        <v>3.429</v>
      </c>
      <c r="H432" s="16" t="n">
        <v>2.3319</v>
      </c>
      <c r="I432" s="16" t="n">
        <v>2.8509</v>
      </c>
      <c r="J432" s="16" t="n">
        <v>2.4384</v>
      </c>
      <c r="K432" s="16" t="n">
        <v>3.696</v>
      </c>
      <c r="L432" s="16" t="n">
        <v>4.09</v>
      </c>
      <c r="M432" s="9">
        <f>($C432-$B432)*100</f>
        <v/>
      </c>
      <c r="N432" s="9">
        <f>($D432-$C432)*100</f>
        <v/>
      </c>
      <c r="O432" s="9">
        <f>($F432-$E432)*100</f>
        <v/>
      </c>
      <c r="P432" s="9">
        <f>($J432-$I432)*100</f>
        <v/>
      </c>
    </row>
    <row r="433">
      <c r="A433" s="17" t="n">
        <v>45352</v>
      </c>
      <c r="B433" s="16" t="n">
        <v>0.18</v>
      </c>
      <c r="C433" s="16" t="n">
        <v>0.728</v>
      </c>
      <c r="D433" s="16" t="n">
        <v>1.722</v>
      </c>
      <c r="E433" s="16" t="n">
        <v>4.54</v>
      </c>
      <c r="F433" s="16" t="n">
        <v>4.19</v>
      </c>
      <c r="G433" s="16" t="n">
        <v>3.39</v>
      </c>
      <c r="H433" s="16" t="n">
        <v>2.3495</v>
      </c>
      <c r="I433" s="16" t="n">
        <v>2.8997</v>
      </c>
      <c r="J433" s="16" t="n">
        <v>2.5035</v>
      </c>
      <c r="K433" s="16" t="n">
        <v>3.647</v>
      </c>
      <c r="L433" s="16" t="n">
        <v>4</v>
      </c>
      <c r="M433" s="9">
        <f>($C433-$B433)*100</f>
        <v/>
      </c>
      <c r="N433" s="9">
        <f>($D433-$C433)*100</f>
        <v/>
      </c>
      <c r="O433" s="9">
        <f>($F433-$E433)*100</f>
        <v/>
      </c>
      <c r="P433" s="9">
        <f>($J433-$I433)*100</f>
        <v/>
      </c>
    </row>
    <row r="434">
      <c r="A434" s="17" t="n">
        <v>45359</v>
      </c>
      <c r="B434" s="16" t="n">
        <v>0.202</v>
      </c>
      <c r="C434" s="16" t="n">
        <v>0.746</v>
      </c>
      <c r="D434" s="16" t="n">
        <v>1.759</v>
      </c>
      <c r="E434" s="16" t="n">
        <v>4.48</v>
      </c>
      <c r="F434" s="16" t="n">
        <v>4.09</v>
      </c>
      <c r="G434" s="16" t="n">
        <v>3.39</v>
      </c>
      <c r="H434" s="16" t="n">
        <v>2.3495</v>
      </c>
      <c r="I434" s="16" t="n">
        <v>2.7745</v>
      </c>
      <c r="J434" s="16" t="n">
        <v>2.3032</v>
      </c>
      <c r="K434" s="16" t="n">
        <v>3.568</v>
      </c>
      <c r="L434" s="16" t="n">
        <v>4.09</v>
      </c>
      <c r="M434" s="9">
        <f>($C434-$B434)*100</f>
        <v/>
      </c>
      <c r="N434" s="9">
        <f>($D434-$C434)*100</f>
        <v/>
      </c>
      <c r="O434" s="9">
        <f>($F434-$E434)*100</f>
        <v/>
      </c>
      <c r="P434" s="9">
        <f>($J434-$I434)*100</f>
        <v/>
      </c>
    </row>
    <row r="435">
      <c r="A435" s="17" t="n">
        <v>45366</v>
      </c>
      <c r="B435" s="16" t="n">
        <v>0.193</v>
      </c>
      <c r="C435" s="16" t="n">
        <v>0.802</v>
      </c>
      <c r="D435" s="16" t="n">
        <v>1.812</v>
      </c>
      <c r="E435" s="16" t="n">
        <v>4.72</v>
      </c>
      <c r="F435" s="16" t="n">
        <v>4.31</v>
      </c>
      <c r="G435" s="16" t="n">
        <v>3.39</v>
      </c>
      <c r="H435" s="16" t="n">
        <v>2.3495</v>
      </c>
      <c r="I435" s="16" t="n">
        <v>2.9044</v>
      </c>
      <c r="J435" s="16" t="n">
        <v>2.4946</v>
      </c>
      <c r="K435" s="16" t="n">
        <v>3.729</v>
      </c>
      <c r="L435" s="16" t="n">
        <v>4.16</v>
      </c>
      <c r="M435" s="9">
        <f>($C435-$B435)*100</f>
        <v/>
      </c>
      <c r="N435" s="9">
        <f>($D435-$C435)*100</f>
        <v/>
      </c>
      <c r="O435" s="9">
        <f>($F435-$E435)*100</f>
        <v/>
      </c>
      <c r="P435" s="9">
        <f>($J435-$I435)*100</f>
        <v/>
      </c>
    </row>
    <row r="436">
      <c r="A436" s="17" t="n">
        <v>45373</v>
      </c>
      <c r="B436" s="16" t="n">
        <v>0.206</v>
      </c>
      <c r="C436" s="16" t="n">
        <v>0.762</v>
      </c>
      <c r="D436" s="16" t="n">
        <v>1.786</v>
      </c>
      <c r="E436" s="16" t="n">
        <v>4.59</v>
      </c>
      <c r="F436" s="16" t="n">
        <v>4.22</v>
      </c>
      <c r="G436" s="16" t="n">
        <v>3.39</v>
      </c>
      <c r="H436" s="16" t="n">
        <v>2.3495</v>
      </c>
      <c r="I436" s="16" t="n">
        <v>2.8142</v>
      </c>
      <c r="J436" s="16" t="n">
        <v>2.3779</v>
      </c>
      <c r="K436" s="16" t="n">
        <v>3.671</v>
      </c>
      <c r="L436" s="16" t="n">
        <v>4.3</v>
      </c>
      <c r="M436" s="9">
        <f>($C436-$B436)*100</f>
        <v/>
      </c>
      <c r="N436" s="9">
        <f>($D436-$C436)*100</f>
        <v/>
      </c>
      <c r="O436" s="9">
        <f>($F436-$E436)*100</f>
        <v/>
      </c>
      <c r="P436" s="9">
        <f>($J436-$I436)*100</f>
        <v/>
      </c>
    </row>
    <row r="437">
      <c r="A437" s="17" t="n">
        <v>45380</v>
      </c>
      <c r="B437" s="16" t="n">
        <v>0.189</v>
      </c>
      <c r="C437" s="16" t="n">
        <v>0.75</v>
      </c>
      <c r="D437" s="16" t="n">
        <v>1.789</v>
      </c>
      <c r="E437" s="16" t="n">
        <v>4.59</v>
      </c>
      <c r="F437" s="16" t="n">
        <v>4.2</v>
      </c>
      <c r="G437" s="16" t="n">
        <v>3.39</v>
      </c>
      <c r="H437" s="16" t="n">
        <v>2.3495</v>
      </c>
      <c r="I437" s="16" t="n">
        <v>2.7982</v>
      </c>
      <c r="J437" s="16" t="n">
        <v>2.3599</v>
      </c>
      <c r="K437" s="16" t="n">
        <v>3.701</v>
      </c>
      <c r="L437" s="16" t="n">
        <v>4.27</v>
      </c>
      <c r="M437" s="9">
        <f>($C437-$B437)*100</f>
        <v/>
      </c>
      <c r="N437" s="9">
        <f>($D437-$C437)*100</f>
        <v/>
      </c>
      <c r="O437" s="9">
        <f>($F437-$E437)*100</f>
        <v/>
      </c>
      <c r="P437" s="9">
        <f>($J437-$I437)*100</f>
        <v/>
      </c>
    </row>
    <row r="438">
      <c r="A438" s="17" t="n">
        <v>45387</v>
      </c>
      <c r="B438" s="16" t="n">
        <v>0.211</v>
      </c>
      <c r="C438" s="16" t="n">
        <v>0.771</v>
      </c>
      <c r="D438" s="16" t="n">
        <v>1.806</v>
      </c>
      <c r="E438" s="16" t="n">
        <v>4.73</v>
      </c>
      <c r="F438" s="16" t="n">
        <v>4.39</v>
      </c>
      <c r="G438" s="16" t="n">
        <v>3.567</v>
      </c>
      <c r="H438" s="16" t="n">
        <v>2.4457</v>
      </c>
      <c r="I438" s="16" t="n">
        <v>2.8304</v>
      </c>
      <c r="J438" s="16" t="n">
        <v>2.4362</v>
      </c>
      <c r="K438" s="16" t="n">
        <v>3.738</v>
      </c>
      <c r="L438" s="16" t="n">
        <v>4.31</v>
      </c>
      <c r="M438" s="9">
        <f>($C438-$B438)*100</f>
        <v/>
      </c>
      <c r="N438" s="9">
        <f>($D438-$C438)*100</f>
        <v/>
      </c>
      <c r="O438" s="9">
        <f>($F438-$E438)*100</f>
        <v/>
      </c>
      <c r="P438" s="9">
        <f>($J438-$I438)*100</f>
        <v/>
      </c>
    </row>
    <row r="439">
      <c r="A439" s="17" t="n">
        <v>45394</v>
      </c>
      <c r="B439" s="16" t="n">
        <v>0.281</v>
      </c>
      <c r="C439" s="16" t="n">
        <v>0.864</v>
      </c>
      <c r="D439" s="16" t="n">
        <v>1.894</v>
      </c>
      <c r="E439" s="16" t="n">
        <v>4.88</v>
      </c>
      <c r="F439" s="16" t="n">
        <v>4.5</v>
      </c>
      <c r="G439" s="16" t="n">
        <v>3.567</v>
      </c>
      <c r="H439" s="16" t="n">
        <v>2.4457</v>
      </c>
      <c r="I439" s="16" t="n">
        <v>2.8092</v>
      </c>
      <c r="J439" s="16" t="n">
        <v>2.4069</v>
      </c>
      <c r="K439" s="16" t="n">
        <v>3.937</v>
      </c>
      <c r="L439" s="16" t="n">
        <v>4.17</v>
      </c>
      <c r="M439" s="9">
        <f>($C439-$B439)*100</f>
        <v/>
      </c>
      <c r="N439" s="9">
        <f>($D439-$C439)*100</f>
        <v/>
      </c>
      <c r="O439" s="9">
        <f>($F439-$E439)*100</f>
        <v/>
      </c>
      <c r="P439" s="9">
        <f>($J439-$I439)*100</f>
        <v/>
      </c>
    </row>
    <row r="440">
      <c r="A440" s="17" t="n">
        <v>45401</v>
      </c>
      <c r="B440" s="16" t="n">
        <v>0.263</v>
      </c>
      <c r="C440" s="16" t="n">
        <v>0.837</v>
      </c>
      <c r="D440" s="16" t="n">
        <v>1.869</v>
      </c>
      <c r="E440" s="16" t="n">
        <v>4.97</v>
      </c>
      <c r="F440" s="16" t="n">
        <v>4.62</v>
      </c>
      <c r="G440" s="16" t="n">
        <v>3.567</v>
      </c>
      <c r="H440" s="16" t="n">
        <v>2.4457</v>
      </c>
      <c r="I440" s="16" t="n">
        <v>2.921</v>
      </c>
      <c r="J440" s="16" t="n">
        <v>2.5773</v>
      </c>
      <c r="K440" s="16" t="n">
        <v>3.896</v>
      </c>
      <c r="L440" s="16" t="n">
        <v>4.04</v>
      </c>
      <c r="M440" s="9">
        <f>($C440-$B440)*100</f>
        <v/>
      </c>
      <c r="N440" s="9">
        <f>($D440-$C440)*100</f>
        <v/>
      </c>
      <c r="O440" s="9">
        <f>($F440-$E440)*100</f>
        <v/>
      </c>
      <c r="P440" s="9">
        <f>($J440-$I440)*100</f>
        <v/>
      </c>
    </row>
    <row r="441">
      <c r="A441" s="17" t="n">
        <v>45408</v>
      </c>
      <c r="B441" s="16" t="n">
        <v>0.298</v>
      </c>
      <c r="C441" s="16" t="n">
        <v>0.925</v>
      </c>
      <c r="D441" s="16" t="n">
        <v>1.936</v>
      </c>
      <c r="E441" s="16" t="n">
        <v>4.96</v>
      </c>
      <c r="F441" s="16" t="n">
        <v>4.67</v>
      </c>
      <c r="G441" s="16" t="n">
        <v>3.567</v>
      </c>
      <c r="H441" s="16" t="n">
        <v>2.4457</v>
      </c>
      <c r="I441" s="16" t="n">
        <v>2.9517</v>
      </c>
      <c r="J441" s="16" t="n">
        <v>2.6235</v>
      </c>
      <c r="K441" s="16" t="n">
        <v>3.995</v>
      </c>
      <c r="L441" s="16" t="n">
        <v>4.12</v>
      </c>
      <c r="M441" s="9">
        <f>($C441-$B441)*100</f>
        <v/>
      </c>
      <c r="N441" s="9">
        <f>($D441-$C441)*100</f>
        <v/>
      </c>
      <c r="O441" s="9">
        <f>($F441-$E441)*100</f>
        <v/>
      </c>
      <c r="P441" s="9">
        <f>($J441-$I441)*100</f>
        <v/>
      </c>
    </row>
    <row r="442">
      <c r="A442" s="17" t="n">
        <v>45415</v>
      </c>
      <c r="B442" s="16" t="n">
        <v>0.29</v>
      </c>
      <c r="C442" s="16" t="n">
        <v>0.908</v>
      </c>
      <c r="D442" s="16" t="n">
        <v>1.952</v>
      </c>
      <c r="E442" s="16" t="n">
        <v>4.81</v>
      </c>
      <c r="F442" s="16" t="n">
        <v>4.5</v>
      </c>
      <c r="G442" s="16" t="n">
        <v>3.527</v>
      </c>
      <c r="H442" s="16" t="n">
        <v>2.5195</v>
      </c>
      <c r="I442" s="16" t="n">
        <v>2.9053</v>
      </c>
      <c r="J442" s="16" t="n">
        <v>2.546</v>
      </c>
      <c r="K442" s="16" t="n">
        <v>3.959</v>
      </c>
      <c r="L442" s="16" t="n">
        <v>4.25</v>
      </c>
      <c r="M442" s="9">
        <f>($C442-$B442)*100</f>
        <v/>
      </c>
      <c r="N442" s="9">
        <f>($D442-$C442)*100</f>
        <v/>
      </c>
      <c r="O442" s="9">
        <f>($F442-$E442)*100</f>
        <v/>
      </c>
      <c r="P442" s="9">
        <f>($J442-$I442)*100</f>
        <v/>
      </c>
    </row>
    <row r="443">
      <c r="A443" s="17" t="n">
        <v>45422</v>
      </c>
      <c r="B443" s="16" t="n">
        <v>0.319</v>
      </c>
      <c r="C443" s="16" t="n">
        <v>0.917</v>
      </c>
      <c r="D443" s="16" t="n">
        <v>1.965</v>
      </c>
      <c r="E443" s="16" t="n">
        <v>4.87</v>
      </c>
      <c r="F443" s="16" t="n">
        <v>4.5</v>
      </c>
      <c r="G443" s="16" t="n">
        <v>3.527</v>
      </c>
      <c r="H443" s="16" t="n">
        <v>2.5195</v>
      </c>
      <c r="I443" s="16" t="n">
        <v>2.9442</v>
      </c>
      <c r="J443" s="16" t="n">
        <v>2.5608</v>
      </c>
      <c r="K443" s="16" t="n">
        <v>3.875</v>
      </c>
      <c r="L443" s="16" t="n">
        <v>4.14</v>
      </c>
      <c r="M443" s="9">
        <f>($C443-$B443)*100</f>
        <v/>
      </c>
      <c r="N443" s="9">
        <f>($D443-$C443)*100</f>
        <v/>
      </c>
      <c r="O443" s="9">
        <f>($F443-$E443)*100</f>
        <v/>
      </c>
      <c r="P443" s="9">
        <f>($J443-$I443)*100</f>
        <v/>
      </c>
    </row>
    <row r="444">
      <c r="A444" s="17" t="n">
        <v>45429</v>
      </c>
      <c r="B444" s="16" t="n">
        <v>0.337</v>
      </c>
      <c r="C444" s="16" t="n">
        <v>0.957</v>
      </c>
      <c r="D444" s="16" t="n">
        <v>2.011</v>
      </c>
      <c r="E444" s="16" t="n">
        <v>4.83</v>
      </c>
      <c r="F444" s="16" t="n">
        <v>4.42</v>
      </c>
      <c r="G444" s="16" t="n">
        <v>3.527</v>
      </c>
      <c r="H444" s="16" t="n">
        <v>2.5195</v>
      </c>
      <c r="I444" s="16" t="n">
        <v>2.9387</v>
      </c>
      <c r="J444" s="16" t="n">
        <v>2.5736</v>
      </c>
      <c r="K444" s="16" t="n">
        <v>3.887</v>
      </c>
      <c r="L444" s="16" t="n">
        <v>4.21</v>
      </c>
      <c r="M444" s="9">
        <f>($C444-$B444)*100</f>
        <v/>
      </c>
      <c r="N444" s="9">
        <f>($D444-$C444)*100</f>
        <v/>
      </c>
      <c r="O444" s="9">
        <f>($F444-$E444)*100</f>
        <v/>
      </c>
      <c r="P444" s="9">
        <f>($J444-$I444)*100</f>
        <v/>
      </c>
    </row>
    <row r="445">
      <c r="A445" s="17" t="n">
        <v>45436</v>
      </c>
      <c r="B445" s="16" t="n">
        <v>0.345</v>
      </c>
      <c r="C445" s="16" t="n">
        <v>1.016</v>
      </c>
      <c r="D445" s="16" t="n">
        <v>2.104</v>
      </c>
      <c r="E445" s="16" t="n">
        <v>4.93</v>
      </c>
      <c r="F445" s="16" t="n">
        <v>4.46</v>
      </c>
      <c r="G445" s="16" t="n">
        <v>3.527</v>
      </c>
      <c r="H445" s="16" t="n">
        <v>2.5195</v>
      </c>
      <c r="I445" s="16" t="n">
        <v>3.0331</v>
      </c>
      <c r="J445" s="16" t="n">
        <v>2.6524</v>
      </c>
      <c r="K445" s="16" t="n">
        <v>3.918</v>
      </c>
      <c r="L445" s="16" t="n">
        <v>4.38</v>
      </c>
      <c r="M445" s="9">
        <f>($C445-$B445)*100</f>
        <v/>
      </c>
      <c r="N445" s="9">
        <f>($D445-$C445)*100</f>
        <v/>
      </c>
      <c r="O445" s="9">
        <f>($F445-$E445)*100</f>
        <v/>
      </c>
      <c r="P445" s="9">
        <f>($J445-$I445)*100</f>
        <v/>
      </c>
    </row>
    <row r="446">
      <c r="A446" s="17" t="n">
        <v>45443</v>
      </c>
      <c r="B446" s="16" t="n">
        <v>0.399</v>
      </c>
      <c r="C446" s="16" t="n">
        <v>1.08</v>
      </c>
      <c r="D446" s="16" t="n">
        <v>2.155</v>
      </c>
      <c r="E446" s="16" t="n">
        <v>4.89</v>
      </c>
      <c r="F446" s="16" t="n">
        <v>4.51</v>
      </c>
      <c r="G446" s="16" t="n">
        <v>3.527</v>
      </c>
      <c r="H446" s="16" t="n">
        <v>2.5195</v>
      </c>
      <c r="I446" s="16" t="n">
        <v>3.0193</v>
      </c>
      <c r="J446" s="16" t="n">
        <v>2.7016</v>
      </c>
      <c r="K446" s="16" t="n">
        <v>3.835</v>
      </c>
      <c r="L446" s="16" t="n">
        <v>4.32</v>
      </c>
      <c r="M446" s="9">
        <f>($C446-$B446)*100</f>
        <v/>
      </c>
      <c r="N446" s="9">
        <f>($D446-$C446)*100</f>
        <v/>
      </c>
      <c r="O446" s="9">
        <f>($F446-$E446)*100</f>
        <v/>
      </c>
      <c r="P446" s="9">
        <f>($J446-$I446)*100</f>
        <v/>
      </c>
    </row>
    <row r="447">
      <c r="A447" s="17" t="n">
        <v>45450</v>
      </c>
      <c r="B447" s="16" t="n">
        <v>0.351</v>
      </c>
      <c r="C447" s="16" t="n">
        <v>0.986</v>
      </c>
      <c r="D447" s="16" t="n">
        <v>2.043</v>
      </c>
      <c r="E447" s="16" t="n">
        <v>4.87</v>
      </c>
      <c r="F447" s="16" t="n">
        <v>4.43</v>
      </c>
      <c r="G447" s="16" t="n">
        <v>3.337</v>
      </c>
      <c r="H447" s="16" t="n">
        <v>2.4845</v>
      </c>
      <c r="I447" s="16" t="n">
        <v>3.0231</v>
      </c>
      <c r="J447" s="16" t="n">
        <v>2.6868</v>
      </c>
      <c r="K447" s="16" t="n">
        <v>3.667</v>
      </c>
      <c r="L447" s="16" t="n">
        <v>4.33</v>
      </c>
      <c r="M447" s="9">
        <f>($C447-$B447)*100</f>
        <v/>
      </c>
      <c r="N447" s="9">
        <f>($D447-$C447)*100</f>
        <v/>
      </c>
      <c r="O447" s="9">
        <f>($F447-$E447)*100</f>
        <v/>
      </c>
      <c r="P447" s="9">
        <f>($J447-$I447)*100</f>
        <v/>
      </c>
    </row>
    <row r="448">
      <c r="A448" s="17" t="n">
        <v>45457</v>
      </c>
      <c r="B448" s="16" t="n">
        <v>0.302</v>
      </c>
      <c r="C448" s="16" t="n">
        <v>0.95</v>
      </c>
      <c r="D448" s="16" t="n">
        <v>2.044</v>
      </c>
      <c r="E448" s="16" t="n">
        <v>4.67</v>
      </c>
      <c r="F448" s="16" t="n">
        <v>4.2</v>
      </c>
      <c r="G448" s="16" t="n">
        <v>3.337</v>
      </c>
      <c r="H448" s="16" t="n">
        <v>2.4845</v>
      </c>
      <c r="I448" s="16" t="n">
        <v>2.7627</v>
      </c>
      <c r="J448" s="16" t="n">
        <v>2.4087</v>
      </c>
      <c r="K448" s="16" t="n">
        <v>3.639</v>
      </c>
      <c r="L448" s="16" t="n">
        <v>4.3</v>
      </c>
      <c r="M448" s="9">
        <f>($C448-$B448)*100</f>
        <v/>
      </c>
      <c r="N448" s="9">
        <f>($D448-$C448)*100</f>
        <v/>
      </c>
      <c r="O448" s="9">
        <f>($F448-$E448)*100</f>
        <v/>
      </c>
      <c r="P448" s="9">
        <f>($J448-$I448)*100</f>
        <v/>
      </c>
    </row>
    <row r="449">
      <c r="A449" s="17" t="n">
        <v>45464</v>
      </c>
      <c r="B449" s="16" t="n">
        <v>0.313</v>
      </c>
      <c r="C449" s="16" t="n">
        <v>0.999</v>
      </c>
      <c r="D449" s="16" t="n">
        <v>2.086</v>
      </c>
      <c r="E449" s="16" t="n">
        <v>4.7</v>
      </c>
      <c r="F449" s="16" t="n">
        <v>4.25</v>
      </c>
      <c r="G449" s="16" t="n">
        <v>3.337</v>
      </c>
      <c r="H449" s="16" t="n">
        <v>2.4845</v>
      </c>
      <c r="I449" s="16" t="n">
        <v>2.7675</v>
      </c>
      <c r="J449" s="16" t="n">
        <v>2.4502</v>
      </c>
      <c r="K449" s="16" t="n">
        <v>3.67</v>
      </c>
      <c r="L449" s="16" t="n">
        <v>4.35</v>
      </c>
      <c r="M449" s="9">
        <f>($C449-$B449)*100</f>
        <v/>
      </c>
      <c r="N449" s="9">
        <f>($D449-$C449)*100</f>
        <v/>
      </c>
      <c r="O449" s="9">
        <f>($F449-$E449)*100</f>
        <v/>
      </c>
      <c r="P449" s="9">
        <f>($J449-$I449)*100</f>
        <v/>
      </c>
    </row>
    <row r="450">
      <c r="A450" s="17" t="n">
        <v>45471</v>
      </c>
      <c r="B450" s="16" t="n">
        <v>0.353</v>
      </c>
      <c r="C450" s="16" t="n">
        <v>1.062</v>
      </c>
      <c r="D450" s="16" t="n">
        <v>2.153</v>
      </c>
      <c r="E450" s="16" t="n">
        <v>4.71</v>
      </c>
      <c r="F450" s="16" t="n">
        <v>4.36</v>
      </c>
      <c r="G450" s="16" t="n">
        <v>3.337</v>
      </c>
      <c r="H450" s="16" t="n">
        <v>2.4845</v>
      </c>
      <c r="I450" s="16" t="n">
        <v>2.7994</v>
      </c>
      <c r="J450" s="16" t="n">
        <v>2.5019</v>
      </c>
      <c r="K450" s="16" t="n">
        <v>3.674</v>
      </c>
      <c r="L450" s="16" t="n">
        <v>4.4</v>
      </c>
      <c r="M450" s="9">
        <f>($C450-$B450)*100</f>
        <v/>
      </c>
      <c r="N450" s="9">
        <f>($D450-$C450)*100</f>
        <v/>
      </c>
      <c r="O450" s="9">
        <f>($F450-$E450)*100</f>
        <v/>
      </c>
      <c r="P450" s="9">
        <f>($J450-$I450)*100</f>
        <v/>
      </c>
    </row>
    <row r="451">
      <c r="A451" s="17" t="n">
        <v>45478</v>
      </c>
      <c r="B451" s="16" t="n">
        <v>0.346</v>
      </c>
      <c r="C451" s="16" t="n">
        <v>1.072</v>
      </c>
      <c r="D451" s="16" t="n">
        <v>2.2</v>
      </c>
      <c r="E451" s="16" t="n">
        <v>4.6</v>
      </c>
      <c r="F451" s="16" t="n">
        <v>4.28</v>
      </c>
      <c r="G451" s="16" t="n">
        <v>3.171</v>
      </c>
      <c r="H451" s="16" t="n">
        <v>2.4583</v>
      </c>
      <c r="I451" s="16" t="n">
        <v>2.8742</v>
      </c>
      <c r="J451" s="16" t="n">
        <v>2.5997</v>
      </c>
      <c r="K451" s="16" t="n">
        <v>3.605</v>
      </c>
      <c r="L451" s="16" t="n">
        <v>4.38</v>
      </c>
      <c r="M451" s="9">
        <f>($C451-$B451)*100</f>
        <v/>
      </c>
      <c r="N451" s="9">
        <f>($D451-$C451)*100</f>
        <v/>
      </c>
      <c r="O451" s="9">
        <f>($F451-$E451)*100</f>
        <v/>
      </c>
      <c r="P451" s="9">
        <f>($J451-$I451)*100</f>
        <v/>
      </c>
    </row>
    <row r="452">
      <c r="A452" s="17" t="n">
        <v>45485</v>
      </c>
      <c r="B452" s="16" t="n">
        <v>0.333</v>
      </c>
      <c r="C452" s="16" t="n">
        <v>1.055</v>
      </c>
      <c r="D452" s="16" t="n">
        <v>2.177</v>
      </c>
      <c r="E452" s="16" t="n">
        <v>4.45</v>
      </c>
      <c r="F452" s="16" t="n">
        <v>4.18</v>
      </c>
      <c r="G452" s="16" t="n">
        <v>3.171</v>
      </c>
      <c r="H452" s="16" t="n">
        <v>2.4583</v>
      </c>
      <c r="I452" s="16" t="n">
        <v>2.831</v>
      </c>
      <c r="J452" s="16" t="n">
        <v>2.5168</v>
      </c>
      <c r="K452" s="16" t="n">
        <v>3.434</v>
      </c>
      <c r="L452" s="16" t="n">
        <v>4.4</v>
      </c>
      <c r="M452" s="9">
        <f>($C452-$B452)*100</f>
        <v/>
      </c>
      <c r="N452" s="9">
        <f>($D452-$C452)*100</f>
        <v/>
      </c>
      <c r="O452" s="9">
        <f>($F452-$E452)*100</f>
        <v/>
      </c>
      <c r="P452" s="9">
        <f>($J452-$I452)*100</f>
        <v/>
      </c>
    </row>
    <row r="453">
      <c r="A453" s="17" t="n">
        <v>45492</v>
      </c>
      <c r="B453" s="16" t="n">
        <v>0.352</v>
      </c>
      <c r="C453" s="16" t="n">
        <v>1.053</v>
      </c>
      <c r="D453" s="16" t="n">
        <v>2.148</v>
      </c>
      <c r="E453" s="16" t="n">
        <v>4.49</v>
      </c>
      <c r="F453" s="16" t="n">
        <v>4.25</v>
      </c>
      <c r="G453" s="16" t="n">
        <v>3.171</v>
      </c>
      <c r="H453" s="16" t="n">
        <v>2.4583</v>
      </c>
      <c r="I453" s="16" t="n">
        <v>2.7681</v>
      </c>
      <c r="J453" s="16" t="n">
        <v>2.4966</v>
      </c>
      <c r="K453" s="16" t="n">
        <v>3.362</v>
      </c>
      <c r="L453" s="16" t="n">
        <v>4.36</v>
      </c>
      <c r="M453" s="9">
        <f>($C453-$B453)*100</f>
        <v/>
      </c>
      <c r="N453" s="9">
        <f>($D453-$C453)*100</f>
        <v/>
      </c>
      <c r="O453" s="9">
        <f>($F453-$E453)*100</f>
        <v/>
      </c>
      <c r="P453" s="9">
        <f>($J453-$I453)*100</f>
        <v/>
      </c>
    </row>
    <row r="454">
      <c r="A454" s="17" t="n">
        <v>45499</v>
      </c>
      <c r="B454" s="16" t="n">
        <v>0.408</v>
      </c>
      <c r="C454" s="16" t="n">
        <v>1.068</v>
      </c>
      <c r="D454" s="16" t="n">
        <v>2.154</v>
      </c>
      <c r="E454" s="16" t="n">
        <v>4.36</v>
      </c>
      <c r="F454" s="16" t="n">
        <v>4.2</v>
      </c>
      <c r="G454" s="16" t="n">
        <v>3.171</v>
      </c>
      <c r="H454" s="16" t="n">
        <v>2.4583</v>
      </c>
      <c r="I454" s="16" t="n">
        <v>2.6906</v>
      </c>
      <c r="J454" s="16" t="n">
        <v>2.4245</v>
      </c>
      <c r="K454" s="16" t="n">
        <v>3.352</v>
      </c>
      <c r="L454" s="16" t="n">
        <v>4.36</v>
      </c>
      <c r="M454" s="9">
        <f>($C454-$B454)*100</f>
        <v/>
      </c>
      <c r="N454" s="9">
        <f>($D454-$C454)*100</f>
        <v/>
      </c>
      <c r="O454" s="9">
        <f>($F454-$E454)*100</f>
        <v/>
      </c>
      <c r="P454" s="9">
        <f>($J454-$I454)*100</f>
        <v/>
      </c>
    </row>
    <row r="455">
      <c r="A455" s="17" t="n">
        <v>45506</v>
      </c>
      <c r="B455" s="16" t="n">
        <v>0.41</v>
      </c>
      <c r="C455" s="16" t="n">
        <v>0.974</v>
      </c>
      <c r="D455" s="16" t="n">
        <v>2.098</v>
      </c>
      <c r="E455" s="16" t="n">
        <v>3.88</v>
      </c>
      <c r="F455" s="16" t="n">
        <v>3.8</v>
      </c>
      <c r="G455" s="16" t="n">
        <v>2.999</v>
      </c>
      <c r="H455" s="16" t="n">
        <v>2.2077</v>
      </c>
      <c r="I455" s="16" t="n">
        <v>2.4706</v>
      </c>
      <c r="J455" s="16" t="n">
        <v>2.197</v>
      </c>
      <c r="K455" s="16" t="n">
        <v>3.013</v>
      </c>
      <c r="L455" s="16" t="n">
        <v>4.1</v>
      </c>
      <c r="M455" s="9">
        <f>($C455-$B455)*100</f>
        <v/>
      </c>
      <c r="N455" s="9">
        <f>($D455-$C455)*100</f>
        <v/>
      </c>
      <c r="O455" s="9">
        <f>($F455-$E455)*100</f>
        <v/>
      </c>
      <c r="P455" s="9">
        <f>($J455-$I455)*100</f>
        <v/>
      </c>
    </row>
    <row r="456">
      <c r="A456" s="17" t="n">
        <v>45513</v>
      </c>
      <c r="B456" s="16" t="n">
        <v>0.301</v>
      </c>
      <c r="C456" s="16" t="n">
        <v>0.881</v>
      </c>
      <c r="D456" s="16" t="n">
        <v>2.081</v>
      </c>
      <c r="E456" s="16" t="n">
        <v>4.05</v>
      </c>
      <c r="F456" s="16" t="n">
        <v>3.94</v>
      </c>
      <c r="G456" s="16" t="n">
        <v>2.999</v>
      </c>
      <c r="H456" s="16" t="n">
        <v>2.2077</v>
      </c>
      <c r="I456" s="16" t="n">
        <v>2.4002</v>
      </c>
      <c r="J456" s="16" t="n">
        <v>2.318</v>
      </c>
      <c r="K456" s="16" t="n">
        <v>2.872</v>
      </c>
      <c r="L456" s="16" t="n">
        <v>3.88</v>
      </c>
      <c r="M456" s="9">
        <f>($C456-$B456)*100</f>
        <v/>
      </c>
      <c r="N456" s="9">
        <f>($D456-$C456)*100</f>
        <v/>
      </c>
      <c r="O456" s="9">
        <f>($F456-$E456)*100</f>
        <v/>
      </c>
      <c r="P456" s="9">
        <f>($J456-$I456)*100</f>
        <v/>
      </c>
    </row>
    <row r="457">
      <c r="A457" s="17" t="n">
        <v>45520</v>
      </c>
      <c r="B457" s="16" t="n">
        <v>0.357</v>
      </c>
      <c r="C457" s="16" t="n">
        <v>0.898</v>
      </c>
      <c r="D457" s="16" t="n">
        <v>2.068</v>
      </c>
      <c r="E457" s="16" t="n">
        <v>4.06</v>
      </c>
      <c r="F457" s="16" t="n">
        <v>3.89</v>
      </c>
      <c r="G457" s="16" t="n">
        <v>2.999</v>
      </c>
      <c r="H457" s="16" t="n">
        <v>2.2077</v>
      </c>
      <c r="I457" s="16" t="n">
        <v>2.4217</v>
      </c>
      <c r="J457" s="16" t="n">
        <v>2.335</v>
      </c>
      <c r="K457" s="16" t="n">
        <v>2.95</v>
      </c>
      <c r="L457" s="16" t="n">
        <v>3.87</v>
      </c>
      <c r="M457" s="9">
        <f>($C457-$B457)*100</f>
        <v/>
      </c>
      <c r="N457" s="9">
        <f>($D457-$C457)*100</f>
        <v/>
      </c>
      <c r="O457" s="9">
        <f>($F457-$E457)*100</f>
        <v/>
      </c>
      <c r="P457" s="9">
        <f>($J457-$I457)*100</f>
        <v/>
      </c>
    </row>
    <row r="458">
      <c r="A458" s="17" t="n">
        <v>45527</v>
      </c>
      <c r="B458" s="16" t="n">
        <v>0.372</v>
      </c>
      <c r="C458" s="16" t="n">
        <v>0.919</v>
      </c>
      <c r="D458" s="16" t="n">
        <v>2.086</v>
      </c>
      <c r="E458" s="16" t="n">
        <v>3.9</v>
      </c>
      <c r="F458" s="16" t="n">
        <v>3.81</v>
      </c>
      <c r="G458" s="16" t="n">
        <v>2.999</v>
      </c>
      <c r="H458" s="16" t="n">
        <v>2.2077</v>
      </c>
      <c r="I458" s="16" t="n">
        <v>2.3812</v>
      </c>
      <c r="J458" s="16" t="n">
        <v>2.3546</v>
      </c>
      <c r="K458" s="16" t="n">
        <v>2.826</v>
      </c>
      <c r="L458" s="16" t="n">
        <v>3.8</v>
      </c>
      <c r="M458" s="9">
        <f>($C458-$B458)*100</f>
        <v/>
      </c>
      <c r="N458" s="9">
        <f>($D458-$C458)*100</f>
        <v/>
      </c>
      <c r="O458" s="9">
        <f>($F458-$E458)*100</f>
        <v/>
      </c>
      <c r="P458" s="9">
        <f>($J458-$I458)*100</f>
        <v/>
      </c>
    </row>
    <row r="459">
      <c r="A459" s="17" t="n">
        <v>45534</v>
      </c>
      <c r="B459" s="16" t="n">
        <v>0.363</v>
      </c>
      <c r="C459" s="16" t="n">
        <v>0.922</v>
      </c>
      <c r="D459" s="16" t="n">
        <v>2.111</v>
      </c>
      <c r="E459" s="16" t="n">
        <v>3.91</v>
      </c>
      <c r="F459" s="16" t="n">
        <v>3.91</v>
      </c>
      <c r="G459" s="16" t="n">
        <v>2.999</v>
      </c>
      <c r="H459" s="16" t="n">
        <v>2.2077</v>
      </c>
      <c r="I459" s="16" t="n">
        <v>2.3591</v>
      </c>
      <c r="J459" s="16" t="n">
        <v>2.3888</v>
      </c>
      <c r="K459" s="16" t="n">
        <v>2.741</v>
      </c>
      <c r="L459" s="16" t="n">
        <v>3.68</v>
      </c>
      <c r="M459" s="9">
        <f>($C459-$B459)*100</f>
        <v/>
      </c>
      <c r="N459" s="9">
        <f>($D459-$C459)*100</f>
        <v/>
      </c>
      <c r="O459" s="9">
        <f>($F459-$E459)*100</f>
        <v/>
      </c>
      <c r="P459" s="9">
        <f>($J459-$I459)*100</f>
        <v/>
      </c>
    </row>
    <row r="460">
      <c r="A460" s="17" t="n">
        <v>45541</v>
      </c>
      <c r="B460" s="16" t="n">
        <v>0.38</v>
      </c>
      <c r="C460" s="16" t="n">
        <v>0.88</v>
      </c>
      <c r="D460" s="16" t="n">
        <v>2.045</v>
      </c>
      <c r="E460" s="16" t="n">
        <v>3.66</v>
      </c>
      <c r="F460" s="16" t="n">
        <v>3.72</v>
      </c>
      <c r="G460" s="16" t="n">
        <v>3.011</v>
      </c>
      <c r="H460" s="16" t="n">
        <v>2.1671</v>
      </c>
      <c r="I460" s="16" t="n">
        <v>2.2812</v>
      </c>
      <c r="J460" s="16" t="n">
        <v>2.3114</v>
      </c>
      <c r="K460" s="16" t="n">
        <v>2.693</v>
      </c>
      <c r="L460" s="16" t="n">
        <v>3.58</v>
      </c>
      <c r="M460" s="9">
        <f>($C460-$B460)*100</f>
        <v/>
      </c>
      <c r="N460" s="9">
        <f>($D460-$C460)*100</f>
        <v/>
      </c>
      <c r="O460" s="9">
        <f>($F460-$E460)*100</f>
        <v/>
      </c>
      <c r="P460" s="9">
        <f>($J460-$I460)*100</f>
        <v/>
      </c>
    </row>
    <row r="461">
      <c r="A461" s="17" t="n">
        <v>45548</v>
      </c>
      <c r="B461" s="16" t="n">
        <v>0.392</v>
      </c>
      <c r="C461" s="16" t="n">
        <v>0.878</v>
      </c>
      <c r="D461" s="16" t="n">
        <v>2.045</v>
      </c>
      <c r="E461" s="16" t="n">
        <v>3.57</v>
      </c>
      <c r="F461" s="16" t="n">
        <v>3.66</v>
      </c>
      <c r="G461" s="16" t="n">
        <v>3.011</v>
      </c>
      <c r="H461" s="16" t="n">
        <v>2.1671</v>
      </c>
      <c r="I461" s="16" t="n">
        <v>2.1629</v>
      </c>
      <c r="J461" s="16" t="n">
        <v>2.2602</v>
      </c>
      <c r="K461" s="16" t="n">
        <v>2.526</v>
      </c>
      <c r="L461" s="16" t="n">
        <v>3.35</v>
      </c>
      <c r="M461" s="9">
        <f>($C461-$B461)*100</f>
        <v/>
      </c>
      <c r="N461" s="9">
        <f>($D461-$C461)*100</f>
        <v/>
      </c>
      <c r="O461" s="9">
        <f>($F461-$E461)*100</f>
        <v/>
      </c>
      <c r="P461" s="9">
        <f>($J461-$I461)*100</f>
        <v/>
      </c>
    </row>
    <row r="462">
      <c r="A462" s="17" t="n">
        <v>45555</v>
      </c>
      <c r="B462" s="16" t="n">
        <v>0.395</v>
      </c>
      <c r="C462" s="16" t="n">
        <v>0.898</v>
      </c>
      <c r="D462" s="16" t="n">
        <v>2.103</v>
      </c>
      <c r="E462" s="16" t="n">
        <v>3.55</v>
      </c>
      <c r="F462" s="16" t="n">
        <v>3.73</v>
      </c>
      <c r="G462" s="16" t="n">
        <v>3.011</v>
      </c>
      <c r="H462" s="16" t="n">
        <v>2.1671</v>
      </c>
      <c r="I462" s="16" t="n">
        <v>2.21</v>
      </c>
      <c r="J462" s="16" t="n">
        <v>2.3288</v>
      </c>
      <c r="K462" s="16" t="n">
        <v>2.523</v>
      </c>
      <c r="L462" s="16" t="n">
        <v>3.24</v>
      </c>
      <c r="M462" s="9">
        <f>($C462-$B462)*100</f>
        <v/>
      </c>
      <c r="N462" s="9">
        <f>($D462-$C462)*100</f>
        <v/>
      </c>
      <c r="O462" s="9">
        <f>($F462-$E462)*100</f>
        <v/>
      </c>
      <c r="P462" s="9">
        <f>($J462-$I462)*100</f>
        <v/>
      </c>
    </row>
    <row r="463">
      <c r="A463" s="17" t="n">
        <v>45562</v>
      </c>
      <c r="B463" s="16" t="n">
        <v>0.323</v>
      </c>
      <c r="C463" s="16" t="n">
        <v>0.849</v>
      </c>
      <c r="D463" s="16" t="n">
        <v>2.122</v>
      </c>
      <c r="E463" s="16" t="n">
        <v>3.55</v>
      </c>
      <c r="F463" s="16" t="n">
        <v>3.75</v>
      </c>
      <c r="G463" s="16" t="n">
        <v>3.011</v>
      </c>
      <c r="H463" s="16" t="n">
        <v>2.1671</v>
      </c>
      <c r="I463" s="16" t="n">
        <v>2.012</v>
      </c>
      <c r="J463" s="16" t="n">
        <v>2.2521</v>
      </c>
      <c r="K463" s="16" t="n">
        <v>2.58</v>
      </c>
      <c r="L463" s="16" t="n">
        <v>3.48</v>
      </c>
      <c r="M463" s="9">
        <f>($C463-$B463)*100</f>
        <v/>
      </c>
      <c r="N463" s="9">
        <f>($D463-$C463)*100</f>
        <v/>
      </c>
      <c r="O463" s="9">
        <f>($F463-$E463)*100</f>
        <v/>
      </c>
      <c r="P463" s="9">
        <f>($J463-$I463)*100</f>
        <v/>
      </c>
    </row>
    <row r="464">
      <c r="A464" s="17" t="n">
        <v>45569</v>
      </c>
      <c r="B464" s="16" t="n">
        <v>0.37</v>
      </c>
      <c r="C464" s="16" t="n">
        <v>0.886</v>
      </c>
      <c r="D464" s="16" t="n">
        <v>2.1</v>
      </c>
      <c r="E464" s="16" t="n">
        <v>3.93</v>
      </c>
      <c r="F464" s="16" t="n">
        <v>3.98</v>
      </c>
      <c r="G464" s="16" t="n">
        <v>3.07</v>
      </c>
      <c r="H464" s="16" t="n">
        <v>2.2296</v>
      </c>
      <c r="I464" s="16" t="n">
        <v>2.1022</v>
      </c>
      <c r="J464" s="16" t="n">
        <v>2.3213</v>
      </c>
      <c r="K464" s="16" t="n">
        <v>2.688</v>
      </c>
      <c r="L464" s="16" t="n">
        <v>3.66</v>
      </c>
      <c r="M464" s="9">
        <f>($C464-$B464)*100</f>
        <v/>
      </c>
      <c r="N464" s="9">
        <f>($D464-$C464)*100</f>
        <v/>
      </c>
      <c r="O464" s="9">
        <f>($F464-$E464)*100</f>
        <v/>
      </c>
      <c r="P464" s="9">
        <f>($J464-$I464)*100</f>
        <v/>
      </c>
    </row>
    <row r="465">
      <c r="A465" s="17" t="n">
        <v>45576</v>
      </c>
      <c r="B465" s="16" t="n">
        <v>0.412</v>
      </c>
      <c r="C465" s="16" t="n">
        <v>0.95</v>
      </c>
      <c r="D465" s="16" t="n">
        <v>2.154</v>
      </c>
      <c r="E465" s="16" t="n">
        <v>3.95</v>
      </c>
      <c r="F465" s="16" t="n">
        <v>4.08</v>
      </c>
      <c r="G465" s="16" t="n">
        <v>3.07</v>
      </c>
      <c r="H465" s="16" t="n">
        <v>2.2296</v>
      </c>
      <c r="I465" s="16" t="n">
        <v>2.192</v>
      </c>
      <c r="J465" s="16" t="n">
        <v>2.4091</v>
      </c>
      <c r="K465" s="16" t="n">
        <v>2.883</v>
      </c>
      <c r="L465" s="16" t="n">
        <v>3.81</v>
      </c>
      <c r="M465" s="9">
        <f>($C465-$B465)*100</f>
        <v/>
      </c>
      <c r="N465" s="9">
        <f>($D465-$C465)*100</f>
        <v/>
      </c>
      <c r="O465" s="9">
        <f>($F465-$E465)*100</f>
        <v/>
      </c>
      <c r="P465" s="9">
        <f>($J465-$I465)*100</f>
        <v/>
      </c>
    </row>
    <row r="466">
      <c r="A466" s="17" t="n">
        <v>45583</v>
      </c>
      <c r="B466" s="16" t="n">
        <v>0.438</v>
      </c>
      <c r="C466" s="16" t="n">
        <v>0.972</v>
      </c>
      <c r="D466" s="16" t="n">
        <v>2.139</v>
      </c>
      <c r="E466" s="16" t="n">
        <v>3.95</v>
      </c>
      <c r="F466" s="16" t="n">
        <v>4.08</v>
      </c>
      <c r="G466" s="16" t="n">
        <v>3.07</v>
      </c>
      <c r="H466" s="16" t="n">
        <v>2.2296</v>
      </c>
      <c r="I466" s="16" t="n">
        <v>2.0329</v>
      </c>
      <c r="J466" s="16" t="n">
        <v>2.2941</v>
      </c>
      <c r="K466" s="16" t="n">
        <v>2.821</v>
      </c>
      <c r="L466" s="16" t="n">
        <v>3.72</v>
      </c>
      <c r="M466" s="9">
        <f>($C466-$B466)*100</f>
        <v/>
      </c>
      <c r="N466" s="9">
        <f>($D466-$C466)*100</f>
        <v/>
      </c>
      <c r="O466" s="9">
        <f>($F466-$E466)*100</f>
        <v/>
      </c>
      <c r="P466" s="9">
        <f>($J466-$I466)*100</f>
        <v/>
      </c>
    </row>
    <row r="467">
      <c r="A467" s="17" t="n">
        <v>45590</v>
      </c>
      <c r="B467" s="16" t="n">
        <v>0.449</v>
      </c>
      <c r="C467" s="16" t="n">
        <v>0.955</v>
      </c>
      <c r="D467" s="16" t="n">
        <v>2.159</v>
      </c>
      <c r="E467" s="16" t="n">
        <v>4.11</v>
      </c>
      <c r="F467" s="16" t="n">
        <v>4.25</v>
      </c>
      <c r="G467" s="16" t="n">
        <v>3.07</v>
      </c>
      <c r="H467" s="16" t="n">
        <v>2.2296</v>
      </c>
      <c r="I467" s="16" t="n">
        <v>2.0891</v>
      </c>
      <c r="J467" s="16" t="n">
        <v>2.3974</v>
      </c>
      <c r="K467" s="16" t="n">
        <v>2.936</v>
      </c>
      <c r="L467" s="16" t="n">
        <v>3.8</v>
      </c>
      <c r="M467" s="9">
        <f>($C467-$B467)*100</f>
        <v/>
      </c>
      <c r="N467" s="9">
        <f>($D467-$C467)*100</f>
        <v/>
      </c>
      <c r="O467" s="9">
        <f>($F467-$E467)*100</f>
        <v/>
      </c>
      <c r="P467" s="9">
        <f>($J467-$I467)*100</f>
        <v/>
      </c>
    </row>
    <row r="468">
      <c r="A468" s="17" t="n">
        <v>45597</v>
      </c>
      <c r="B468" s="16" t="n">
        <v>0.465</v>
      </c>
      <c r="C468" s="16" t="n">
        <v>0.952</v>
      </c>
      <c r="D468" s="16" t="n">
        <v>2.189</v>
      </c>
      <c r="E468" s="16" t="n">
        <v>4.21</v>
      </c>
      <c r="F468" s="16" t="n">
        <v>4.37</v>
      </c>
      <c r="G468" s="16" t="n">
        <v>3.006</v>
      </c>
      <c r="H468" s="16" t="n">
        <v>2.3057</v>
      </c>
      <c r="I468" s="16" t="n">
        <v>2.1953</v>
      </c>
      <c r="J468" s="16" t="n">
        <v>2.4895</v>
      </c>
      <c r="K468" s="16" t="n">
        <v>3.053</v>
      </c>
      <c r="L468" s="16" t="n">
        <v>3.88</v>
      </c>
      <c r="M468" s="9">
        <f>($C468-$B468)*100</f>
        <v/>
      </c>
      <c r="N468" s="9">
        <f>($D468-$C468)*100</f>
        <v/>
      </c>
      <c r="O468" s="9">
        <f>($F468-$E468)*100</f>
        <v/>
      </c>
      <c r="P468" s="9">
        <f>($J468-$I468)*100</f>
        <v/>
      </c>
    </row>
    <row r="469">
      <c r="A469" s="17" t="n">
        <v>45604</v>
      </c>
      <c r="B469" s="16" t="n">
        <v>0.501</v>
      </c>
      <c r="C469" s="16" t="n">
        <v>1.011</v>
      </c>
      <c r="D469" s="16" t="n">
        <v>2.218</v>
      </c>
      <c r="E469" s="16" t="n">
        <v>4.26</v>
      </c>
      <c r="F469" s="16" t="n">
        <v>4.3</v>
      </c>
      <c r="G469" s="16" t="n">
        <v>3.006</v>
      </c>
      <c r="H469" s="16" t="n">
        <v>2.3057</v>
      </c>
      <c r="I469" s="16" t="n">
        <v>2.1486</v>
      </c>
      <c r="J469" s="16" t="n">
        <v>2.4701</v>
      </c>
      <c r="K469" s="16" t="n">
        <v>3.162</v>
      </c>
      <c r="L469" s="16" t="n">
        <v>3.89</v>
      </c>
      <c r="M469" s="9">
        <f>($C469-$B469)*100</f>
        <v/>
      </c>
      <c r="N469" s="9">
        <f>($D469-$C469)*100</f>
        <v/>
      </c>
      <c r="O469" s="9">
        <f>($F469-$E469)*100</f>
        <v/>
      </c>
      <c r="P469" s="9">
        <f>($J469-$I469)*100</f>
        <v/>
      </c>
    </row>
    <row r="470">
      <c r="A470" s="17" t="n">
        <v>45611</v>
      </c>
      <c r="B470" s="16" t="n">
        <v>0.552</v>
      </c>
      <c r="C470" s="16" t="n">
        <v>1.082</v>
      </c>
      <c r="D470" s="16" t="n">
        <v>2.264</v>
      </c>
      <c r="E470" s="16" t="n">
        <v>4.31</v>
      </c>
      <c r="F470" s="16" t="n">
        <v>4.43</v>
      </c>
      <c r="G470" s="16" t="n">
        <v>3.006</v>
      </c>
      <c r="H470" s="16" t="n">
        <v>2.3057</v>
      </c>
      <c r="I470" s="16" t="n">
        <v>2.088</v>
      </c>
      <c r="J470" s="16" t="n">
        <v>2.4576</v>
      </c>
      <c r="K470" s="16" t="n">
        <v>3.279</v>
      </c>
      <c r="L470" s="16" t="n">
        <v>3.99</v>
      </c>
      <c r="M470" s="9">
        <f>($C470-$B470)*100</f>
        <v/>
      </c>
      <c r="N470" s="9">
        <f>($D470-$C470)*100</f>
        <v/>
      </c>
      <c r="O470" s="9">
        <f>($F470-$E470)*100</f>
        <v/>
      </c>
      <c r="P470" s="9">
        <f>($J470-$I470)*100</f>
        <v/>
      </c>
    </row>
    <row r="471">
      <c r="A471" s="17" t="n">
        <v>45618</v>
      </c>
      <c r="B471" s="16" t="n">
        <v>0.59</v>
      </c>
      <c r="C471" s="16" t="n">
        <v>1.092</v>
      </c>
      <c r="D471" s="16" t="n">
        <v>2.255</v>
      </c>
      <c r="E471" s="16" t="n">
        <v>4.37</v>
      </c>
      <c r="F471" s="16" t="n">
        <v>4.41</v>
      </c>
      <c r="G471" s="16" t="n">
        <v>3.006</v>
      </c>
      <c r="H471" s="16" t="n">
        <v>2.3057</v>
      </c>
      <c r="I471" s="16" t="n">
        <v>1.9917</v>
      </c>
      <c r="J471" s="16" t="n">
        <v>2.3562</v>
      </c>
      <c r="K471" s="16" t="n">
        <v>3.212</v>
      </c>
      <c r="L471" s="16" t="n">
        <v>3.93</v>
      </c>
      <c r="M471" s="9">
        <f>($C471-$B471)*100</f>
        <v/>
      </c>
      <c r="N471" s="9">
        <f>($D471-$C471)*100</f>
        <v/>
      </c>
      <c r="O471" s="9">
        <f>($F471-$E471)*100</f>
        <v/>
      </c>
      <c r="P471" s="9">
        <f>($J471-$I471)*100</f>
        <v/>
      </c>
    </row>
    <row r="472">
      <c r="A472" s="17" t="n">
        <v>45625</v>
      </c>
      <c r="B472" s="16" t="n">
        <v>0.599</v>
      </c>
      <c r="C472" s="16" t="n">
        <v>1.064</v>
      </c>
      <c r="D472" s="16" t="n">
        <v>2.252</v>
      </c>
      <c r="E472" s="16" t="n">
        <v>4.13</v>
      </c>
      <c r="F472" s="16" t="n">
        <v>4.18</v>
      </c>
      <c r="G472" s="16" t="n">
        <v>3.006</v>
      </c>
      <c r="H472" s="16" t="n">
        <v>2.3057</v>
      </c>
      <c r="I472" s="16" t="n">
        <v>1.912</v>
      </c>
      <c r="J472" s="16" t="n">
        <v>2.1852</v>
      </c>
      <c r="K472" s="16" t="n">
        <v>3.201</v>
      </c>
      <c r="L472" s="16" t="n">
        <v>3.93</v>
      </c>
      <c r="M472" s="9">
        <f>($C472-$B472)*100</f>
        <v/>
      </c>
      <c r="N472" s="9">
        <f>($D472-$C472)*100</f>
        <v/>
      </c>
      <c r="O472" s="9">
        <f>($F472-$E472)*100</f>
        <v/>
      </c>
      <c r="P472" s="9">
        <f>($J472-$I472)*100</f>
        <v/>
      </c>
    </row>
    <row r="473">
      <c r="A473" s="17" t="n">
        <v>45632</v>
      </c>
      <c r="B473" s="16" t="n">
        <v>0.59</v>
      </c>
      <c r="C473" s="16" t="n">
        <v>1.068</v>
      </c>
      <c r="D473" s="16" t="n">
        <v>2.236</v>
      </c>
      <c r="E473" s="16" t="n">
        <v>4.1</v>
      </c>
      <c r="F473" s="16" t="n">
        <v>4.15</v>
      </c>
      <c r="G473" s="16" t="n">
        <v>2.771</v>
      </c>
      <c r="H473" s="16" t="n">
        <v>2.1789</v>
      </c>
      <c r="I473" s="16" t="n">
        <v>1.9623</v>
      </c>
      <c r="J473" s="16" t="n">
        <v>2.164</v>
      </c>
      <c r="K473" s="16" t="n">
        <v>3.168</v>
      </c>
      <c r="L473" s="16" t="n">
        <v>3.87</v>
      </c>
      <c r="M473" s="9">
        <f>($C473-$B473)*100</f>
        <v/>
      </c>
      <c r="N473" s="9">
        <f>($D473-$C473)*100</f>
        <v/>
      </c>
      <c r="O473" s="9">
        <f>($F473-$E473)*100</f>
        <v/>
      </c>
      <c r="P473" s="9">
        <f>($J473-$I473)*100</f>
        <v/>
      </c>
    </row>
    <row r="474">
      <c r="A474" s="17" t="n">
        <v>45639</v>
      </c>
      <c r="B474" s="16" t="n">
        <v>0.5639999999999999</v>
      </c>
      <c r="C474" s="16" t="n">
        <v>1.055</v>
      </c>
      <c r="D474" s="16" t="n">
        <v>2.22</v>
      </c>
      <c r="E474" s="16" t="n">
        <v>4.25</v>
      </c>
      <c r="F474" s="16" t="n">
        <v>4.4</v>
      </c>
      <c r="G474" s="16" t="n">
        <v>2.771</v>
      </c>
      <c r="H474" s="16" t="n">
        <v>2.1789</v>
      </c>
      <c r="I474" s="16" t="n">
        <v>1.9997</v>
      </c>
      <c r="J474" s="16" t="n">
        <v>2.3307</v>
      </c>
      <c r="K474" s="16" t="n">
        <v>3.211</v>
      </c>
      <c r="L474" s="16" t="n">
        <v>3.9</v>
      </c>
      <c r="M474" s="9">
        <f>($C474-$B474)*100</f>
        <v/>
      </c>
      <c r="N474" s="9">
        <f>($D474-$C474)*100</f>
        <v/>
      </c>
      <c r="O474" s="9">
        <f>($F474-$E474)*100</f>
        <v/>
      </c>
      <c r="P474" s="9">
        <f>($J474-$I474)*100</f>
        <v/>
      </c>
    </row>
    <row r="475">
      <c r="A475" s="17" t="n">
        <v>45646</v>
      </c>
      <c r="B475" s="16" t="n">
        <v>0.576</v>
      </c>
      <c r="C475" s="16" t="n">
        <v>1.07</v>
      </c>
      <c r="D475" s="16" t="n">
        <v>2.229</v>
      </c>
      <c r="E475" s="16" t="n">
        <v>4.3</v>
      </c>
      <c r="F475" s="16" t="n">
        <v>4.52</v>
      </c>
      <c r="G475" s="16" t="n">
        <v>2.771</v>
      </c>
      <c r="H475" s="16" t="n">
        <v>2.1789</v>
      </c>
      <c r="I475" s="16" t="n">
        <v>1.9607</v>
      </c>
      <c r="J475" s="16" t="n">
        <v>2.3747</v>
      </c>
      <c r="K475" s="16" t="n">
        <v>3.381</v>
      </c>
      <c r="L475" s="16" t="n">
        <v>3.85</v>
      </c>
      <c r="M475" s="9">
        <f>($C475-$B475)*100</f>
        <v/>
      </c>
      <c r="N475" s="9">
        <f>($D475-$C475)*100</f>
        <v/>
      </c>
      <c r="O475" s="9">
        <f>($F475-$E475)*100</f>
        <v/>
      </c>
      <c r="P475" s="9">
        <f>($J475-$I475)*100</f>
        <v/>
      </c>
    </row>
    <row r="476">
      <c r="A476" s="17" t="n">
        <v>45653</v>
      </c>
      <c r="B476" s="16" t="n">
        <v>0.602</v>
      </c>
      <c r="C476" s="16" t="n">
        <v>1.119</v>
      </c>
      <c r="D476" s="16" t="n">
        <v>2.259</v>
      </c>
      <c r="E476" s="16" t="n">
        <v>4.31</v>
      </c>
      <c r="F476" s="16" t="n">
        <v>4.62</v>
      </c>
      <c r="G476" s="16" t="n">
        <v>2.771</v>
      </c>
      <c r="H476" s="16" t="n">
        <v>2.1789</v>
      </c>
      <c r="I476" s="16" t="n">
        <v>2.0077</v>
      </c>
      <c r="J476" s="16" t="n">
        <v>2.4318</v>
      </c>
      <c r="K476" s="16" t="n">
        <v>3.404</v>
      </c>
      <c r="L476" s="16" t="n">
        <v>3.9</v>
      </c>
      <c r="M476" s="9">
        <f>($C476-$B476)*100</f>
        <v/>
      </c>
      <c r="N476" s="9">
        <f>($D476-$C476)*100</f>
        <v/>
      </c>
      <c r="O476" s="9">
        <f>($F476-$E476)*100</f>
        <v/>
      </c>
      <c r="P476" s="9">
        <f>($J476-$I476)*100</f>
        <v/>
      </c>
    </row>
    <row r="477">
      <c r="A477" s="17" t="n">
        <v>45660</v>
      </c>
      <c r="B477" s="16" t="n">
        <v>0.599</v>
      </c>
      <c r="C477" s="16" t="n">
        <v>1.111</v>
      </c>
      <c r="D477" s="16" t="n">
        <v>2.252</v>
      </c>
      <c r="E477" s="16" t="n">
        <v>4.28</v>
      </c>
      <c r="F477" s="16" t="n">
        <v>4.6</v>
      </c>
      <c r="G477" s="16" t="n">
        <v>2.821</v>
      </c>
      <c r="H477" s="16" t="n">
        <v>2.4836</v>
      </c>
      <c r="I477" s="16" t="n">
        <v>2.0887</v>
      </c>
      <c r="J477" s="16" t="n">
        <v>2.4896</v>
      </c>
      <c r="K477" s="16" t="n">
        <v>3.361</v>
      </c>
      <c r="L477" s="16" t="n">
        <v>3.82</v>
      </c>
      <c r="M477" s="9">
        <f>($C477-$B477)*100</f>
        <v/>
      </c>
      <c r="N477" s="9">
        <f>($D477-$C477)*100</f>
        <v/>
      </c>
      <c r="O477" s="9">
        <f>($F477-$E477)*100</f>
        <v/>
      </c>
      <c r="P477" s="9">
        <f>($J477-$I477)*100</f>
        <v/>
      </c>
    </row>
    <row r="478">
      <c r="A478" s="17" t="n">
        <v>45667</v>
      </c>
      <c r="B478" s="16" t="n">
        <v>0.649</v>
      </c>
      <c r="C478" s="16" t="n">
        <v>1.202</v>
      </c>
      <c r="D478" s="16" t="n">
        <v>2.301</v>
      </c>
      <c r="E478" s="16" t="n">
        <v>4.4</v>
      </c>
      <c r="F478" s="16" t="n">
        <v>4.77</v>
      </c>
      <c r="G478" s="16" t="n">
        <v>2.821</v>
      </c>
      <c r="H478" s="16" t="n">
        <v>2.4836</v>
      </c>
      <c r="I478" s="16" t="n">
        <v>2.2202</v>
      </c>
      <c r="J478" s="16" t="n">
        <v>2.6562</v>
      </c>
      <c r="K478" s="16" t="n">
        <v>3.379</v>
      </c>
      <c r="L478" s="16" t="n">
        <v>3.73</v>
      </c>
      <c r="M478" s="9">
        <f>($C478-$B478)*100</f>
        <v/>
      </c>
      <c r="N478" s="9">
        <f>($D478-$C478)*100</f>
        <v/>
      </c>
      <c r="O478" s="9">
        <f>($F478-$E478)*100</f>
        <v/>
      </c>
      <c r="P478" s="9">
        <f>($J478-$I478)*100</f>
        <v/>
      </c>
    </row>
    <row r="479">
      <c r="A479" s="17" t="n">
        <v>45674</v>
      </c>
      <c r="B479" s="16" t="n">
        <v>0.6929999999999999</v>
      </c>
      <c r="C479" s="16" t="n">
        <v>1.207</v>
      </c>
      <c r="D479" s="16" t="n">
        <v>2.29</v>
      </c>
      <c r="E479" s="16" t="n">
        <v>4.27</v>
      </c>
      <c r="F479" s="16" t="n">
        <v>4.61</v>
      </c>
      <c r="G479" s="16" t="n">
        <v>2.821</v>
      </c>
      <c r="H479" s="16" t="n">
        <v>2.4836</v>
      </c>
      <c r="I479" s="16" t="n">
        <v>2.2064</v>
      </c>
      <c r="J479" s="16" t="n">
        <v>2.601</v>
      </c>
      <c r="K479" s="16" t="n">
        <v>3.352</v>
      </c>
      <c r="L479" s="16" t="n">
        <v>3.59</v>
      </c>
      <c r="M479" s="9">
        <f>($C479-$B479)*100</f>
        <v/>
      </c>
      <c r="N479" s="9">
        <f>($D479-$C479)*100</f>
        <v/>
      </c>
      <c r="O479" s="9">
        <f>($F479-$E479)*100</f>
        <v/>
      </c>
      <c r="P479" s="9">
        <f>($J479-$I479)*100</f>
        <v/>
      </c>
    </row>
    <row r="480">
      <c r="A480" s="17" t="n">
        <v>45681</v>
      </c>
      <c r="B480" s="16" t="n">
        <v>0.718</v>
      </c>
      <c r="C480" s="16" t="n">
        <v>1.238</v>
      </c>
      <c r="D480" s="16" t="n">
        <v>2.277</v>
      </c>
      <c r="E480" s="16" t="n">
        <v>4.27</v>
      </c>
      <c r="F480" s="16" t="n">
        <v>4.63</v>
      </c>
      <c r="G480" s="16" t="n">
        <v>2.821</v>
      </c>
      <c r="H480" s="16" t="n">
        <v>2.4836</v>
      </c>
      <c r="I480" s="16" t="n">
        <v>2.2401</v>
      </c>
      <c r="J480" s="16" t="n">
        <v>2.6525</v>
      </c>
      <c r="K480" s="16" t="n">
        <v>3.325</v>
      </c>
      <c r="L480" s="16" t="n">
        <v>3.5</v>
      </c>
      <c r="M480" s="9">
        <f>($C480-$B480)*100</f>
        <v/>
      </c>
      <c r="N480" s="9">
        <f>($D480-$C480)*100</f>
        <v/>
      </c>
      <c r="O480" s="9">
        <f>($F480-$E480)*100</f>
        <v/>
      </c>
      <c r="P480" s="9">
        <f>($J480-$I480)*100</f>
        <v/>
      </c>
    </row>
    <row r="481">
      <c r="A481" s="17" t="n">
        <v>45688</v>
      </c>
      <c r="B481" s="16" t="n">
        <v>0.729</v>
      </c>
      <c r="C481" s="16" t="n">
        <v>1.25</v>
      </c>
      <c r="D481" s="16" t="n">
        <v>2.29</v>
      </c>
      <c r="E481" s="16" t="n">
        <v>4.22</v>
      </c>
      <c r="F481" s="16" t="n">
        <v>4.58</v>
      </c>
      <c r="G481" s="16" t="n">
        <v>2.821</v>
      </c>
      <c r="H481" s="16" t="n">
        <v>2.4836</v>
      </c>
      <c r="I481" s="16" t="n">
        <v>2.0552</v>
      </c>
      <c r="J481" s="16" t="n">
        <v>2.5304</v>
      </c>
      <c r="K481" s="16" t="n">
        <v>3.325</v>
      </c>
      <c r="L481" s="16" t="n">
        <v>3.52</v>
      </c>
      <c r="M481" s="9">
        <f>($C481-$B481)*100</f>
        <v/>
      </c>
      <c r="N481" s="9">
        <f>($D481-$C481)*100</f>
        <v/>
      </c>
      <c r="O481" s="9">
        <f>($F481-$E481)*100</f>
        <v/>
      </c>
      <c r="P481" s="9">
        <f>($J481-$I481)*100</f>
        <v/>
      </c>
    </row>
    <row r="482">
      <c r="A482" s="17" t="n">
        <v>45695</v>
      </c>
      <c r="B482" s="16" t="n">
        <v>0.798</v>
      </c>
      <c r="C482" s="16" t="n">
        <v>1.307</v>
      </c>
      <c r="D482" s="16" t="n">
        <v>2.29</v>
      </c>
      <c r="E482" s="16" t="n">
        <v>4.29</v>
      </c>
      <c r="F482" s="16" t="n">
        <v>4.49</v>
      </c>
      <c r="G482" s="16" t="n">
        <v>2.83</v>
      </c>
      <c r="H482" s="16" t="n">
        <v>2.4055</v>
      </c>
      <c r="I482" s="16" t="n">
        <v>2.0136</v>
      </c>
      <c r="J482" s="16" t="n">
        <v>2.4628</v>
      </c>
      <c r="K482" s="16" t="n">
        <v>3.292</v>
      </c>
      <c r="L482" s="16" t="n">
        <v>3.32</v>
      </c>
      <c r="M482" s="9">
        <f>($C482-$B482)*100</f>
        <v/>
      </c>
      <c r="N482" s="9">
        <f>($D482-$C482)*100</f>
        <v/>
      </c>
      <c r="O482" s="9">
        <f>($F482-$E482)*100</f>
        <v/>
      </c>
      <c r="P482" s="9">
        <f>($J482-$I482)*100</f>
        <v/>
      </c>
    </row>
    <row r="483">
      <c r="A483" s="17" t="n">
        <v>45702</v>
      </c>
      <c r="B483" s="16" t="n">
        <v>0.794</v>
      </c>
      <c r="C483" s="16" t="n">
        <v>1.357</v>
      </c>
      <c r="D483" s="16" t="n">
        <v>2.31</v>
      </c>
      <c r="E483" s="16" t="n">
        <v>4.26</v>
      </c>
      <c r="F483" s="16" t="n">
        <v>4.47</v>
      </c>
      <c r="G483" s="16" t="n">
        <v>2.83</v>
      </c>
      <c r="H483" s="16" t="n">
        <v>2.4055</v>
      </c>
      <c r="I483" s="16" t="n">
        <v>2.0625</v>
      </c>
      <c r="J483" s="16" t="n">
        <v>2.5005</v>
      </c>
      <c r="K483" s="16" t="n">
        <v>3.358</v>
      </c>
      <c r="L483" s="16" t="n">
        <v>3.34</v>
      </c>
      <c r="M483" s="9">
        <f>($C483-$B483)*100</f>
        <v/>
      </c>
      <c r="N483" s="9">
        <f>($D483-$C483)*100</f>
        <v/>
      </c>
      <c r="O483" s="9">
        <f>($F483-$E483)*100</f>
        <v/>
      </c>
      <c r="P483" s="9">
        <f>($J483-$I483)*100</f>
        <v/>
      </c>
    </row>
    <row r="484">
      <c r="A484" s="17" t="n">
        <v>45709</v>
      </c>
      <c r="B484" s="16" t="n">
        <v>0.8179999999999999</v>
      </c>
      <c r="C484" s="16" t="n">
        <v>1.427</v>
      </c>
      <c r="D484" s="16" t="n">
        <v>2.335</v>
      </c>
      <c r="E484" s="16" t="n">
        <v>4.19</v>
      </c>
      <c r="F484" s="16" t="n">
        <v>4.42</v>
      </c>
      <c r="G484" s="16" t="n">
        <v>2.83</v>
      </c>
      <c r="H484" s="16" t="n">
        <v>2.4055</v>
      </c>
      <c r="I484" s="16" t="n">
        <v>2.0427</v>
      </c>
      <c r="J484" s="16" t="n">
        <v>2.5384</v>
      </c>
      <c r="K484" s="16" t="n">
        <v>3.293</v>
      </c>
      <c r="L484" s="16" t="n">
        <v>3.44</v>
      </c>
      <c r="M484" s="9">
        <f>($C484-$B484)*100</f>
        <v/>
      </c>
      <c r="N484" s="9">
        <f>($D484-$C484)*100</f>
        <v/>
      </c>
      <c r="O484" s="9">
        <f>($F484-$E484)*100</f>
        <v/>
      </c>
      <c r="P484" s="9">
        <f>($J484-$I484)*100</f>
        <v/>
      </c>
    </row>
    <row r="485">
      <c r="A485" s="17" t="n">
        <v>45716</v>
      </c>
      <c r="B485" s="16" t="n">
        <v>0.806</v>
      </c>
      <c r="C485" s="16" t="n">
        <v>1.378</v>
      </c>
      <c r="D485" s="16" t="n">
        <v>2.35</v>
      </c>
      <c r="E485" s="16" t="n">
        <v>3.99</v>
      </c>
      <c r="F485" s="16" t="n">
        <v>4.24</v>
      </c>
      <c r="G485" s="16" t="n">
        <v>2.83</v>
      </c>
      <c r="H485" s="16" t="n">
        <v>2.4055</v>
      </c>
      <c r="I485" s="16" t="n">
        <v>1.9745</v>
      </c>
      <c r="J485" s="16" t="n">
        <v>2.4693</v>
      </c>
      <c r="K485" s="16" t="n">
        <v>3.125</v>
      </c>
      <c r="L485" s="16" t="n">
        <v>3.42</v>
      </c>
      <c r="M485" s="9">
        <f>($C485-$B485)*100</f>
        <v/>
      </c>
      <c r="N485" s="9">
        <f>($D485-$C485)*100</f>
        <v/>
      </c>
      <c r="O485" s="9">
        <f>($F485-$E485)*100</f>
        <v/>
      </c>
      <c r="P485" s="9">
        <f>($J485-$I485)*100</f>
        <v/>
      </c>
    </row>
    <row r="486">
      <c r="A486" s="17" t="n">
        <v>45723</v>
      </c>
      <c r="B486" s="16" t="n">
        <v>0.848</v>
      </c>
      <c r="C486" s="16" t="n">
        <v>1.523</v>
      </c>
      <c r="D486" s="16" t="n">
        <v>2.496</v>
      </c>
      <c r="E486" s="16" t="n">
        <v>3.99</v>
      </c>
      <c r="F486" s="16" t="n">
        <v>4.32</v>
      </c>
      <c r="G486" s="16" t="n">
        <v>2.795</v>
      </c>
      <c r="H486" s="16" t="n">
        <v>2.7414</v>
      </c>
      <c r="I486" s="16" t="n">
        <v>2.1802</v>
      </c>
      <c r="J486" s="16" t="n">
        <v>2.8731</v>
      </c>
      <c r="K486" s="16" t="n">
        <v>3.058</v>
      </c>
      <c r="L486" s="16" t="n">
        <v>3.27</v>
      </c>
      <c r="M486" s="9">
        <f>($C486-$B486)*100</f>
        <v/>
      </c>
      <c r="N486" s="9">
        <f>($D486-$C486)*100</f>
        <v/>
      </c>
      <c r="O486" s="9">
        <f>($F486-$E486)*100</f>
        <v/>
      </c>
      <c r="P486" s="9">
        <f>($J486-$I486)*100</f>
        <v/>
      </c>
    </row>
    <row r="487">
      <c r="A487" s="17" t="n">
        <v>45730</v>
      </c>
      <c r="B487" s="16" t="n">
        <v>0.84</v>
      </c>
      <c r="C487" s="16" t="n">
        <v>1.522</v>
      </c>
      <c r="D487" s="16" t="n">
        <v>2.535</v>
      </c>
      <c r="E487" s="16" t="n">
        <v>4.02</v>
      </c>
      <c r="F487" s="16" t="n">
        <v>4.31</v>
      </c>
      <c r="G487" s="16" t="n">
        <v>2.795</v>
      </c>
      <c r="H487" s="16" t="n">
        <v>2.7414</v>
      </c>
      <c r="I487" s="16" t="n">
        <v>2.172</v>
      </c>
      <c r="J487" s="16" t="n">
        <v>2.9462</v>
      </c>
      <c r="K487" s="16" t="n">
        <v>3.098</v>
      </c>
      <c r="L487" s="16" t="n">
        <v>3.32</v>
      </c>
      <c r="M487" s="9">
        <f>($C487-$B487)*100</f>
        <v/>
      </c>
      <c r="N487" s="9">
        <f>($D487-$C487)*100</f>
        <v/>
      </c>
      <c r="O487" s="9">
        <f>($F487-$E487)*100</f>
        <v/>
      </c>
      <c r="P487" s="9">
        <f>($J487-$I487)*100</f>
        <v/>
      </c>
    </row>
    <row r="488">
      <c r="A488" s="17" t="n">
        <v>45737</v>
      </c>
      <c r="B488" s="16" t="n">
        <v>0.854</v>
      </c>
      <c r="C488" s="16" t="n">
        <v>1.527</v>
      </c>
      <c r="D488" s="16" t="n">
        <v>2.539</v>
      </c>
      <c r="E488" s="16" t="n">
        <v>3.94</v>
      </c>
      <c r="F488" s="16" t="n">
        <v>4.25</v>
      </c>
      <c r="G488" s="16" t="n">
        <v>2.795</v>
      </c>
      <c r="H488" s="16" t="n">
        <v>2.7414</v>
      </c>
      <c r="I488" s="16" t="n">
        <v>2.1078</v>
      </c>
      <c r="J488" s="16" t="n">
        <v>2.8459</v>
      </c>
      <c r="K488" s="16" t="n">
        <v>3.041</v>
      </c>
      <c r="L488" s="16" t="n">
        <v>3.3</v>
      </c>
      <c r="M488" s="9">
        <f>($C488-$B488)*100</f>
        <v/>
      </c>
      <c r="N488" s="9">
        <f>($D488-$C488)*100</f>
        <v/>
      </c>
      <c r="O488" s="9">
        <f>($F488-$E488)*100</f>
        <v/>
      </c>
      <c r="P488" s="9">
        <f>($J488-$I488)*100</f>
        <v/>
      </c>
    </row>
    <row r="489">
      <c r="A489" s="17" t="n">
        <v>45744</v>
      </c>
      <c r="B489" s="16" t="n">
        <v>0.877</v>
      </c>
      <c r="C489" s="16" t="n">
        <v>1.551</v>
      </c>
      <c r="D489" s="16" t="n">
        <v>2.486</v>
      </c>
      <c r="E489" s="16" t="n">
        <v>3.89</v>
      </c>
      <c r="F489" s="16" t="n">
        <v>4.27</v>
      </c>
      <c r="G489" s="16" t="n">
        <v>2.795</v>
      </c>
      <c r="H489" s="16" t="n">
        <v>2.7414</v>
      </c>
      <c r="I489" s="16" t="n">
        <v>2.0213</v>
      </c>
      <c r="J489" s="16" t="n">
        <v>2.8121</v>
      </c>
      <c r="K489" s="16" t="n">
        <v>2.972</v>
      </c>
      <c r="L489" s="16" t="n">
        <v>3.18</v>
      </c>
      <c r="M489" s="9">
        <f>($C489-$B489)*100</f>
        <v/>
      </c>
      <c r="N489" s="9">
        <f>($D489-$C489)*100</f>
        <v/>
      </c>
      <c r="O489" s="9">
        <f>($F489-$E489)*100</f>
        <v/>
      </c>
      <c r="P489" s="9">
        <f>($J489-$I489)*100</f>
        <v/>
      </c>
    </row>
    <row r="490">
      <c r="A490" s="17" t="n">
        <v>45751</v>
      </c>
      <c r="B490" s="16" t="n">
        <v>0.612</v>
      </c>
      <c r="C490" s="16" t="n">
        <v>1.176</v>
      </c>
      <c r="D490" s="16" t="n">
        <v>2.303</v>
      </c>
      <c r="E490" s="16" t="n">
        <v>3.68</v>
      </c>
      <c r="F490" s="16" t="n">
        <v>4.01</v>
      </c>
      <c r="G490" s="16" t="n">
        <v>2.658</v>
      </c>
      <c r="H490" s="16" t="n">
        <v>2.5105</v>
      </c>
      <c r="I490" s="16" t="n">
        <v>1.8215</v>
      </c>
      <c r="J490" s="16" t="n">
        <v>2.6476</v>
      </c>
      <c r="K490" s="16" t="n">
        <v>2.803</v>
      </c>
      <c r="L490" s="16" t="n">
        <v>3.05</v>
      </c>
      <c r="M490" s="9">
        <f>($C490-$B490)*100</f>
        <v/>
      </c>
      <c r="N490" s="9">
        <f>($D490-$C490)*100</f>
        <v/>
      </c>
      <c r="O490" s="9">
        <f>($F490-$E490)*100</f>
        <v/>
      </c>
      <c r="P490" s="9">
        <f>($J490-$I490)*100</f>
        <v/>
      </c>
    </row>
    <row r="491">
      <c r="A491" s="17" t="n">
        <v>45758</v>
      </c>
      <c r="B491" s="16" t="n">
        <v>0.611</v>
      </c>
      <c r="C491" s="16" t="n">
        <v>1.357</v>
      </c>
      <c r="D491" s="16" t="n">
        <v>2.661</v>
      </c>
      <c r="E491" s="16" t="n">
        <v>3.96</v>
      </c>
      <c r="F491" s="16" t="n">
        <v>4.48</v>
      </c>
      <c r="G491" s="16" t="n">
        <v>2.658</v>
      </c>
      <c r="H491" s="16" t="n">
        <v>2.5105</v>
      </c>
      <c r="I491" s="16" t="n">
        <v>1.73</v>
      </c>
      <c r="J491" s="16" t="n">
        <v>2.6037</v>
      </c>
      <c r="K491" s="16" t="n">
        <v>2.685</v>
      </c>
      <c r="L491" s="16" t="n">
        <v>3.01</v>
      </c>
      <c r="M491" s="9">
        <f>($C491-$B491)*100</f>
        <v/>
      </c>
      <c r="N491" s="9">
        <f>($D491-$C491)*100</f>
        <v/>
      </c>
      <c r="O491" s="9">
        <f>($F491-$E491)*100</f>
        <v/>
      </c>
      <c r="P491" s="9">
        <f>($J491-$I491)*100</f>
        <v/>
      </c>
    </row>
    <row r="492">
      <c r="A492" s="17" t="n">
        <v>45765</v>
      </c>
      <c r="B492" s="16" t="n">
        <v>0.636</v>
      </c>
      <c r="C492" s="16" t="n">
        <v>1.302</v>
      </c>
      <c r="D492" s="16" t="n">
        <v>2.65</v>
      </c>
      <c r="E492" s="16" t="n">
        <v>3.81</v>
      </c>
      <c r="F492" s="16" t="n">
        <v>4.34</v>
      </c>
      <c r="G492" s="16" t="n">
        <v>2.658</v>
      </c>
      <c r="H492" s="16" t="n">
        <v>2.5105</v>
      </c>
      <c r="I492" s="16" t="n">
        <v>1.7046</v>
      </c>
      <c r="J492" s="16" t="n">
        <v>2.5747</v>
      </c>
      <c r="K492" s="16" t="n">
        <v>2.685</v>
      </c>
      <c r="L492" s="16" t="n">
        <v>3.12</v>
      </c>
      <c r="M492" s="9">
        <f>($C492-$B492)*100</f>
        <v/>
      </c>
      <c r="N492" s="9">
        <f>($D492-$C492)*100</f>
        <v/>
      </c>
      <c r="O492" s="9">
        <f>($F492-$E492)*100</f>
        <v/>
      </c>
      <c r="P492" s="9">
        <f>($J492-$I492)*100</f>
        <v/>
      </c>
    </row>
    <row r="493">
      <c r="A493" s="17" t="n">
        <v>45772</v>
      </c>
      <c r="B493" s="16" t="n">
        <v>0.6889999999999999</v>
      </c>
      <c r="C493" s="16" t="n">
        <v>1.347</v>
      </c>
      <c r="D493" s="16" t="n">
        <v>2.639</v>
      </c>
      <c r="E493" s="16" t="n">
        <v>3.74</v>
      </c>
      <c r="F493" s="16" t="n">
        <v>4.29</v>
      </c>
      <c r="G493" s="16" t="n">
        <v>2.658</v>
      </c>
      <c r="H493" s="16" t="n">
        <v>2.5105</v>
      </c>
      <c r="I493" s="16" t="n">
        <v>1.7158</v>
      </c>
      <c r="J493" s="16" t="n">
        <v>2.5626</v>
      </c>
      <c r="K493" s="16" t="n">
        <v>2.688</v>
      </c>
      <c r="L493" s="16" t="n">
        <v>3.19</v>
      </c>
      <c r="M493" s="9">
        <f>($C493-$B493)*100</f>
        <v/>
      </c>
      <c r="N493" s="9">
        <f>($D493-$C493)*100</f>
        <v/>
      </c>
      <c r="O493" s="9">
        <f>($F493-$E493)*100</f>
        <v/>
      </c>
      <c r="P493" s="9">
        <f>($J493-$I493)*100</f>
        <v/>
      </c>
    </row>
    <row r="494">
      <c r="A494" s="17" t="n">
        <v>45779</v>
      </c>
      <c r="B494" s="16" t="n">
        <v>0.609</v>
      </c>
      <c r="C494" s="16" t="n">
        <v>1.283</v>
      </c>
      <c r="D494" s="16" t="n">
        <v>2.693</v>
      </c>
      <c r="E494" s="16" t="n">
        <v>3.83</v>
      </c>
      <c r="F494" s="16" t="n">
        <v>4.33</v>
      </c>
      <c r="G494" s="16" t="n">
        <v>2.71</v>
      </c>
      <c r="H494" s="16" t="n">
        <v>2.5629</v>
      </c>
      <c r="I494" s="16" t="n">
        <v>1.7504</v>
      </c>
      <c r="J494" s="16" t="n">
        <v>2.596</v>
      </c>
      <c r="K494" s="16" t="n">
        <v>2.681</v>
      </c>
      <c r="L494" s="16" t="n">
        <v>3.38</v>
      </c>
      <c r="M494" s="9">
        <f>($C494-$B494)*100</f>
        <v/>
      </c>
      <c r="N494" s="9">
        <f>($D494-$C494)*100</f>
        <v/>
      </c>
      <c r="O494" s="9">
        <f>($F494-$E494)*100</f>
        <v/>
      </c>
      <c r="P494" s="9">
        <f>($J494-$I494)*100</f>
        <v/>
      </c>
    </row>
    <row r="495">
      <c r="A495" s="17" t="n">
        <v>45786</v>
      </c>
      <c r="B495" s="16" t="n">
        <v>0.634</v>
      </c>
      <c r="C495" s="16" t="n">
        <v>1.37</v>
      </c>
      <c r="D495" s="16" t="n">
        <v>2.802</v>
      </c>
      <c r="E495" s="16" t="n">
        <v>3.88</v>
      </c>
      <c r="F495" s="16" t="n">
        <v>4.37</v>
      </c>
      <c r="G495" s="16" t="n">
        <v>2.71</v>
      </c>
      <c r="H495" s="16" t="n">
        <v>2.5629</v>
      </c>
      <c r="I495" s="16" t="n">
        <v>1.7736</v>
      </c>
      <c r="J495" s="16" t="n">
        <v>2.6665</v>
      </c>
      <c r="K495" s="16" t="n">
        <v>2.181</v>
      </c>
      <c r="L495" s="16" t="n">
        <v>1.86</v>
      </c>
      <c r="M495" s="9">
        <f>($C495-$B495)*100</f>
        <v/>
      </c>
      <c r="N495" s="9">
        <f>($D495-$C495)*100</f>
        <v/>
      </c>
      <c r="O495" s="9">
        <f>($F495-$E495)*100</f>
        <v/>
      </c>
      <c r="P495" s="9">
        <f>($J495-$I495)*100</f>
        <v/>
      </c>
    </row>
    <row r="496">
      <c r="A496" s="17" t="n">
        <v>45793</v>
      </c>
      <c r="B496" s="16" t="n">
        <v>0.707</v>
      </c>
      <c r="C496" s="16" t="n">
        <v>1.466</v>
      </c>
      <c r="D496" s="16" t="n">
        <v>2.84</v>
      </c>
      <c r="E496" s="16" t="n">
        <v>3.98</v>
      </c>
      <c r="F496" s="16" t="n">
        <v>4.43</v>
      </c>
      <c r="G496" s="16" t="n">
        <v>2.71</v>
      </c>
      <c r="H496" s="16" t="n">
        <v>2.5629</v>
      </c>
      <c r="I496" s="16" t="n">
        <v>1.8362</v>
      </c>
      <c r="J496" s="16" t="n">
        <v>2.6752</v>
      </c>
      <c r="K496" s="16" t="n">
        <v>1.973</v>
      </c>
      <c r="L496" s="16" t="n">
        <v>1.3</v>
      </c>
      <c r="M496" s="9">
        <f>($C496-$B496)*100</f>
        <v/>
      </c>
      <c r="N496" s="9">
        <f>($D496-$C496)*100</f>
        <v/>
      </c>
      <c r="O496" s="9">
        <f>($F496-$E496)*100</f>
        <v/>
      </c>
      <c r="P496" s="9">
        <f>($J496-$I496)*100</f>
        <v/>
      </c>
    </row>
    <row r="497">
      <c r="A497" s="17" t="n">
        <v>45800</v>
      </c>
      <c r="B497" s="16" t="n">
        <v>0.731</v>
      </c>
      <c r="C497" s="16" t="n">
        <v>1.559</v>
      </c>
      <c r="D497" s="16" t="n">
        <v>2.925</v>
      </c>
      <c r="E497" s="16" t="n">
        <v>4</v>
      </c>
      <c r="F497" s="16" t="n">
        <v>4.51</v>
      </c>
      <c r="G497" s="16" t="n">
        <v>2.71</v>
      </c>
      <c r="H497" s="16" t="n">
        <v>2.5629</v>
      </c>
      <c r="I497" s="16" t="n">
        <v>1.7387</v>
      </c>
      <c r="J497" s="16" t="n">
        <v>2.6682</v>
      </c>
      <c r="K497" s="16" t="n">
        <v>1.82</v>
      </c>
      <c r="L497" s="16" t="n">
        <v>0.62</v>
      </c>
      <c r="M497" s="9">
        <f>($C497-$B497)*100</f>
        <v/>
      </c>
      <c r="N497" s="9">
        <f>($D497-$C497)*100</f>
        <v/>
      </c>
      <c r="O497" s="9">
        <f>($F497-$E497)*100</f>
        <v/>
      </c>
      <c r="P497" s="9">
        <f>($J497-$I497)*100</f>
        <v/>
      </c>
    </row>
    <row r="498">
      <c r="A498" s="17" t="n">
        <v>45807</v>
      </c>
      <c r="B498" s="16" t="n">
        <v>0.75</v>
      </c>
      <c r="C498" s="16" t="n">
        <v>1.518</v>
      </c>
      <c r="D498" s="16" t="n">
        <v>2.846</v>
      </c>
      <c r="E498" s="16" t="n">
        <v>3.89</v>
      </c>
      <c r="F498" s="16" t="n">
        <v>4.41</v>
      </c>
      <c r="G498" s="16" t="n">
        <v>2.71</v>
      </c>
      <c r="H498" s="16" t="n">
        <v>2.5629</v>
      </c>
      <c r="I498" s="16" t="n">
        <v>1.7806</v>
      </c>
      <c r="J498" s="16" t="n">
        <v>2.6101</v>
      </c>
      <c r="K498" s="16" t="n">
        <v>1.738</v>
      </c>
      <c r="L498" s="16" t="n">
        <v>0.5</v>
      </c>
      <c r="M498" s="9">
        <f>($C498-$B498)*100</f>
        <v/>
      </c>
      <c r="N498" s="9">
        <f>($D498-$C498)*100</f>
        <v/>
      </c>
      <c r="O498" s="9">
        <f>($F498-$E498)*100</f>
        <v/>
      </c>
      <c r="P498" s="9">
        <f>($J498-$I498)*100</f>
        <v/>
      </c>
    </row>
    <row r="499">
      <c r="A499" s="17" t="n">
        <v>45814</v>
      </c>
      <c r="B499" s="16" t="n">
        <v>0.76</v>
      </c>
      <c r="C499" s="16" t="n">
        <v>1.477</v>
      </c>
      <c r="D499" s="16" t="n">
        <v>2.78</v>
      </c>
      <c r="E499" s="16" t="n">
        <v>4.04</v>
      </c>
      <c r="F499" s="16" t="n">
        <v>4.51</v>
      </c>
      <c r="G499" s="16" t="n">
        <v>2.842</v>
      </c>
      <c r="H499" s="16" t="n">
        <v>2.519</v>
      </c>
      <c r="I499" s="16" t="n">
        <v>1.8622</v>
      </c>
      <c r="J499" s="16" t="n">
        <v>2.6594</v>
      </c>
      <c r="K499" s="16" t="n">
        <v>1.858</v>
      </c>
      <c r="L499" s="16" t="n">
        <v>0.85</v>
      </c>
      <c r="M499" s="9">
        <f>($C499-$B499)*100</f>
        <v/>
      </c>
      <c r="N499" s="9">
        <f>($D499-$C499)*100</f>
        <v/>
      </c>
      <c r="O499" s="9">
        <f>($F499-$E499)*100</f>
        <v/>
      </c>
      <c r="P499" s="9">
        <f>($J499-$I499)*100</f>
        <v/>
      </c>
    </row>
    <row r="500">
      <c r="A500" s="17" t="n">
        <v>45821</v>
      </c>
      <c r="B500" s="16" t="n">
        <v>0.736</v>
      </c>
      <c r="C500" s="16" t="n">
        <v>1.429</v>
      </c>
      <c r="D500" s="16" t="n">
        <v>2.781</v>
      </c>
      <c r="E500" s="16" t="n">
        <v>3.96</v>
      </c>
      <c r="F500" s="16" t="n">
        <v>4.41</v>
      </c>
      <c r="G500" s="16" t="n">
        <v>2.842</v>
      </c>
      <c r="H500" s="16" t="n">
        <v>2.519</v>
      </c>
      <c r="I500" s="16" t="n">
        <v>1.8343</v>
      </c>
      <c r="J500" s="16" t="n">
        <v>2.6032</v>
      </c>
      <c r="K500" s="16" t="n">
        <v>1.834</v>
      </c>
      <c r="L500" s="16" t="n">
        <v>0.82</v>
      </c>
      <c r="M500" s="9">
        <f>($C500-$B500)*100</f>
        <v/>
      </c>
      <c r="N500" s="9">
        <f>($D500-$C500)*100</f>
        <v/>
      </c>
      <c r="O500" s="9">
        <f>($F500-$E500)*100</f>
        <v/>
      </c>
      <c r="P500" s="9">
        <f>($J500-$I500)*100</f>
        <v/>
      </c>
    </row>
    <row r="501">
      <c r="A501" s="17" t="n">
        <v>45828</v>
      </c>
      <c r="B501" s="16" t="n">
        <v>0.728</v>
      </c>
      <c r="C501" s="16" t="n">
        <v>1.424</v>
      </c>
      <c r="D501" s="16" t="n">
        <v>2.798</v>
      </c>
      <c r="E501" s="16" t="n">
        <v>3.9</v>
      </c>
      <c r="F501" s="16" t="n">
        <v>4.38</v>
      </c>
      <c r="G501" s="16" t="n">
        <v>2.842</v>
      </c>
      <c r="H501" s="16" t="n">
        <v>2.519</v>
      </c>
      <c r="I501" s="16" t="n">
        <v>1.8361</v>
      </c>
      <c r="J501" s="16" t="n">
        <v>2.6143</v>
      </c>
      <c r="K501" s="16" t="n">
        <v>1.836</v>
      </c>
      <c r="L501" s="16" t="n">
        <v>0.65</v>
      </c>
      <c r="M501" s="9">
        <f>($C501-$B501)*100</f>
        <v/>
      </c>
      <c r="N501" s="9">
        <f>($D501-$C501)*100</f>
        <v/>
      </c>
      <c r="O501" s="9">
        <f>($F501-$E501)*100</f>
        <v/>
      </c>
      <c r="P501" s="9">
        <f>($J501-$I501)*100</f>
        <v/>
      </c>
    </row>
    <row r="502">
      <c r="A502" s="17" t="n">
        <v>45835</v>
      </c>
      <c r="B502" s="16" t="n">
        <v>0.74</v>
      </c>
      <c r="C502" s="16" t="n">
        <v>1.459</v>
      </c>
      <c r="D502" s="16" t="n">
        <v>2.8</v>
      </c>
      <c r="E502" s="16" t="n">
        <v>3.73</v>
      </c>
      <c r="F502" s="16" t="n">
        <v>4.29</v>
      </c>
      <c r="G502" s="16" t="n">
        <v>2.842</v>
      </c>
      <c r="H502" s="16" t="n">
        <v>2.519</v>
      </c>
      <c r="I502" s="16" t="n">
        <v>1.8455</v>
      </c>
      <c r="J502" s="16" t="n">
        <v>2.6868</v>
      </c>
      <c r="K502" s="16" t="n">
        <v>1.763</v>
      </c>
      <c r="L502" s="16" t="n">
        <v>0.63</v>
      </c>
      <c r="M502" s="9">
        <f>($C502-$B502)*100</f>
        <v/>
      </c>
      <c r="N502" s="9">
        <f>($D502-$C502)*100</f>
        <v/>
      </c>
      <c r="O502" s="9">
        <f>($F502-$E502)*100</f>
        <v/>
      </c>
      <c r="P502" s="9">
        <f>($J502-$I502)*100</f>
        <v/>
      </c>
    </row>
    <row r="503">
      <c r="A503" s="17" t="n">
        <v>45842</v>
      </c>
      <c r="B503" s="16" t="n">
        <v>0.736</v>
      </c>
      <c r="C503" s="16" t="n">
        <v>1.444</v>
      </c>
      <c r="D503" s="16" t="n">
        <v>2.852</v>
      </c>
      <c r="E503" s="16" t="n">
        <v>3.88</v>
      </c>
      <c r="F503" s="16" t="n">
        <v>4.35</v>
      </c>
      <c r="G503" s="16" t="n">
        <v>2.84</v>
      </c>
      <c r="H503" s="16" t="n">
        <v>2.6313</v>
      </c>
      <c r="I503" s="16" t="n">
        <v>1.8059</v>
      </c>
      <c r="J503" s="16" t="n">
        <v>2.6527</v>
      </c>
      <c r="K503" s="16" t="n">
        <v>1.786</v>
      </c>
      <c r="L503" s="16" t="n">
        <v>0.6899999999999999</v>
      </c>
      <c r="M503" s="9">
        <f>($C503-$B503)*100</f>
        <v/>
      </c>
      <c r="N503" s="9">
        <f>($D503-$C503)*100</f>
        <v/>
      </c>
      <c r="O503" s="9">
        <f>($F503-$E503)*100</f>
        <v/>
      </c>
      <c r="P503" s="9">
        <f>($J503-$I503)*100</f>
        <v/>
      </c>
    </row>
    <row r="504">
      <c r="A504" s="17" t="n">
        <v>45849</v>
      </c>
      <c r="B504" s="16" t="n">
        <v>0.764</v>
      </c>
      <c r="C504" s="16" t="n">
        <v>1.507</v>
      </c>
      <c r="D504" s="16" t="n">
        <v>2.992</v>
      </c>
      <c r="E504" s="16" t="n">
        <v>3.9</v>
      </c>
      <c r="F504" s="16" t="n">
        <v>4.43</v>
      </c>
      <c r="G504" s="16" t="n">
        <v>2.84</v>
      </c>
      <c r="H504" s="16" t="n">
        <v>2.6313</v>
      </c>
      <c r="I504" s="16" t="n">
        <v>1.9032</v>
      </c>
      <c r="J504" s="16" t="n">
        <v>2.7877</v>
      </c>
      <c r="K504" s="16" t="n">
        <v>1.848</v>
      </c>
      <c r="L504" s="16" t="n">
        <v>0.86</v>
      </c>
      <c r="M504" s="9">
        <f>($C504-$B504)*100</f>
        <v/>
      </c>
      <c r="N504" s="9">
        <f>($D504-$C504)*100</f>
        <v/>
      </c>
      <c r="O504" s="9">
        <f>($F504-$E504)*100</f>
        <v/>
      </c>
      <c r="P504" s="9">
        <f>($J504-$I504)*100</f>
        <v/>
      </c>
    </row>
    <row r="505">
      <c r="A505" s="17" t="n">
        <v>45856</v>
      </c>
      <c r="B505" s="16" t="n">
        <v>0.772</v>
      </c>
      <c r="C505" s="16" t="n">
        <v>1.528</v>
      </c>
      <c r="D505" s="16" t="n">
        <v>3.014</v>
      </c>
      <c r="E505" s="16" t="n">
        <v>3.88</v>
      </c>
      <c r="F505" s="16" t="n">
        <v>4.44</v>
      </c>
      <c r="G505" s="16" t="n">
        <v>2.84</v>
      </c>
      <c r="H505" s="16" t="n">
        <v>2.6313</v>
      </c>
      <c r="I505" s="16" t="n">
        <v>1.8421</v>
      </c>
      <c r="J505" s="16" t="n">
        <v>2.757</v>
      </c>
      <c r="K505" s="16" t="n">
        <v>1.972</v>
      </c>
      <c r="L505" s="16" t="n">
        <v>0.97</v>
      </c>
      <c r="M505" s="9">
        <f>($C505-$B505)*100</f>
        <v/>
      </c>
      <c r="N505" s="9">
        <f>($D505-$C505)*100</f>
        <v/>
      </c>
      <c r="O505" s="9">
        <f>($F505-$E505)*100</f>
        <v/>
      </c>
      <c r="P505" s="9">
        <f>($J505-$I505)*100</f>
        <v/>
      </c>
    </row>
    <row r="506">
      <c r="A506" s="17" t="n">
        <v>45863</v>
      </c>
      <c r="B506" s="16" t="n">
        <v>0.863</v>
      </c>
      <c r="C506" s="16" t="n">
        <v>1.605</v>
      </c>
      <c r="D506" s="16" t="n">
        <v>3.006</v>
      </c>
      <c r="E506" s="16" t="n">
        <v>3.91</v>
      </c>
      <c r="F506" s="16" t="n">
        <v>4.4</v>
      </c>
      <c r="G506" s="16" t="n">
        <v>2.84</v>
      </c>
      <c r="H506" s="16" t="n">
        <v>2.6313</v>
      </c>
      <c r="I506" s="16" t="n">
        <v>1.9268</v>
      </c>
      <c r="J506" s="16" t="n">
        <v>2.7933</v>
      </c>
      <c r="K506" s="16" t="n">
        <v>1.953</v>
      </c>
      <c r="L506" s="16" t="n">
        <v>1</v>
      </c>
      <c r="M506" s="9">
        <f>($C506-$B506)*100</f>
        <v/>
      </c>
      <c r="N506" s="9">
        <f>($D506-$C506)*100</f>
        <v/>
      </c>
      <c r="O506" s="9">
        <f>($F506-$E506)*100</f>
        <v/>
      </c>
      <c r="P506" s="9">
        <f>($J506-$I506)*100</f>
        <v/>
      </c>
    </row>
    <row r="507">
      <c r="A507" s="17" t="n">
        <v>45870</v>
      </c>
      <c r="B507" s="16" t="n">
        <v>0.8139999999999999</v>
      </c>
      <c r="C507" s="16" t="n">
        <v>1.56</v>
      </c>
      <c r="D507" s="16" t="n">
        <v>3.037</v>
      </c>
      <c r="E507" s="16" t="n">
        <v>3.69</v>
      </c>
      <c r="F507" s="16" t="n">
        <v>4.23</v>
      </c>
      <c r="G507" s="16" t="n">
        <v>2.815</v>
      </c>
      <c r="H507" s="16" t="n">
        <v>2.6733</v>
      </c>
      <c r="I507" s="16" t="n">
        <v>1.8823</v>
      </c>
      <c r="J507" s="16" t="n">
        <v>2.7295</v>
      </c>
      <c r="K507" s="16" t="n">
        <v>1.933</v>
      </c>
      <c r="L507" s="16" t="n">
        <v>0.98</v>
      </c>
      <c r="M507" s="9">
        <f>($C507-$B507)*100</f>
        <v/>
      </c>
      <c r="N507" s="9">
        <f>($D507-$C507)*100</f>
        <v/>
      </c>
      <c r="O507" s="9">
        <f>($F507-$E507)*100</f>
        <v/>
      </c>
      <c r="P507" s="9">
        <f>($J507-$I507)*100</f>
        <v/>
      </c>
    </row>
    <row r="508">
      <c r="A508" s="17" t="n">
        <v>45877</v>
      </c>
      <c r="B508" s="16" t="n">
        <v>0.77</v>
      </c>
      <c r="C508" s="16" t="n">
        <v>1.502</v>
      </c>
      <c r="D508" s="16" t="n">
        <v>3.014</v>
      </c>
      <c r="E508" s="16" t="n">
        <v>3.76</v>
      </c>
      <c r="F508" s="16" t="n">
        <v>4.27</v>
      </c>
      <c r="G508" s="16" t="n">
        <v>2.815</v>
      </c>
      <c r="H508" s="16" t="n">
        <v>2.6733</v>
      </c>
      <c r="I508" s="16" t="n">
        <v>1.9354</v>
      </c>
      <c r="J508" s="16" t="n">
        <v>2.7574</v>
      </c>
      <c r="K508" s="16" t="n">
        <v>1.823</v>
      </c>
      <c r="L508" s="16" t="n">
        <v>1.1</v>
      </c>
      <c r="M508" s="9">
        <f>($C508-$B508)*100</f>
        <v/>
      </c>
      <c r="N508" s="9">
        <f>($D508-$C508)*100</f>
        <v/>
      </c>
      <c r="O508" s="9">
        <f>($F508-$E508)*100</f>
        <v/>
      </c>
      <c r="P508" s="9">
        <f>($J508-$I508)*100</f>
        <v/>
      </c>
    </row>
    <row r="509">
      <c r="A509" s="17" t="n">
        <v>45884</v>
      </c>
      <c r="B509" s="16" t="n">
        <v>0.826</v>
      </c>
      <c r="C509" s="16" t="n">
        <v>1.574</v>
      </c>
      <c r="D509" s="16" t="n">
        <v>3.032</v>
      </c>
      <c r="E509" s="16" t="n">
        <v>3.75</v>
      </c>
      <c r="F509" s="16" t="n">
        <v>4.33</v>
      </c>
      <c r="G509" s="16" t="n">
        <v>2.815</v>
      </c>
      <c r="H509" s="16" t="n">
        <v>2.6733</v>
      </c>
      <c r="I509" s="16" t="n">
        <v>1.9297</v>
      </c>
      <c r="J509" s="16" t="n">
        <v>2.8431</v>
      </c>
      <c r="K509" s="16" t="n">
        <v>1.963</v>
      </c>
      <c r="L509" s="16" t="n">
        <v>1.24</v>
      </c>
      <c r="M509" s="9">
        <f>($C509-$B509)*100</f>
        <v/>
      </c>
      <c r="N509" s="9">
        <f>($D509-$C509)*100</f>
        <v/>
      </c>
      <c r="O509" s="9">
        <f>($F509-$E509)*100</f>
        <v/>
      </c>
      <c r="P509" s="9">
        <f>($J509-$I509)*100</f>
        <v/>
      </c>
    </row>
    <row r="510">
      <c r="A510" s="17" t="n">
        <v>45891</v>
      </c>
      <c r="B510" s="16" t="n">
        <v>0.873</v>
      </c>
      <c r="C510" s="16" t="n">
        <v>1.626</v>
      </c>
      <c r="D510" s="16" t="n">
        <v>3.12</v>
      </c>
      <c r="E510" s="16" t="n">
        <v>3.68</v>
      </c>
      <c r="F510" s="16" t="n">
        <v>4.26</v>
      </c>
      <c r="G510" s="16" t="n">
        <v>2.815</v>
      </c>
      <c r="H510" s="16" t="n">
        <v>2.6733</v>
      </c>
      <c r="I510" s="16" t="n">
        <v>1.9473</v>
      </c>
      <c r="J510" s="16" t="n">
        <v>2.8081</v>
      </c>
      <c r="K510" s="16" t="n">
        <v>2.213</v>
      </c>
      <c r="L510" s="16" t="n">
        <v>2.21</v>
      </c>
      <c r="M510" s="9">
        <f>($C510-$B510)*100</f>
        <v/>
      </c>
      <c r="N510" s="9">
        <f>($D510-$C510)*100</f>
        <v/>
      </c>
      <c r="O510" s="9">
        <f>($F510-$E510)*100</f>
        <v/>
      </c>
      <c r="P510" s="9">
        <f>($J510-$I510)*100</f>
        <v/>
      </c>
    </row>
    <row r="511">
      <c r="A511" s="17" t="n">
        <v>45898</v>
      </c>
      <c r="B511" s="16" t="n">
        <v>0.871</v>
      </c>
      <c r="C511" s="16" t="n">
        <v>1.613</v>
      </c>
      <c r="D511" s="16" t="n">
        <v>3.096</v>
      </c>
      <c r="E511" s="16" t="n">
        <v>3.59</v>
      </c>
      <c r="F511" s="16" t="n">
        <v>4.23</v>
      </c>
      <c r="G511" s="16" t="n">
        <v>2.815</v>
      </c>
      <c r="H511" s="16" t="n">
        <v>2.6733</v>
      </c>
      <c r="I511" s="16" t="n">
        <v>1.9214</v>
      </c>
      <c r="J511" s="16" t="n">
        <v>2.7855</v>
      </c>
      <c r="K511" s="16" t="n">
        <v>2.209</v>
      </c>
      <c r="L511" s="16" t="n">
        <v>2.74</v>
      </c>
      <c r="M511" s="9">
        <f>($C511-$B511)*100</f>
        <v/>
      </c>
      <c r="N511" s="9">
        <f>($D511-$C511)*100</f>
        <v/>
      </c>
      <c r="O511" s="9">
        <f>($F511-$E511)*100</f>
        <v/>
      </c>
      <c r="P511" s="9">
        <f>($J511-$I511)*100</f>
        <v/>
      </c>
    </row>
    <row r="512">
      <c r="A512" s="17" t="n">
        <v>45905</v>
      </c>
      <c r="B512" s="16" t="n">
        <v>0.841</v>
      </c>
      <c r="C512" s="16" t="n">
        <v>1.59</v>
      </c>
      <c r="D512" s="16" t="n">
        <v>3.128</v>
      </c>
      <c r="E512" s="16" t="n">
        <v>3.51</v>
      </c>
      <c r="F512" s="16" t="n">
        <v>4.1</v>
      </c>
      <c r="G512" s="16" t="n">
        <v>2.849</v>
      </c>
      <c r="H512" s="16" t="n">
        <v>2.6932</v>
      </c>
      <c r="I512" s="16" t="n">
        <v>1.9033</v>
      </c>
      <c r="J512" s="16" t="n">
        <v>2.7458</v>
      </c>
      <c r="K512" s="16" t="n">
        <v>2.164</v>
      </c>
      <c r="L512" s="16" t="n">
        <v>2.72</v>
      </c>
      <c r="M512" s="9">
        <f>($C512-$B512)*100</f>
        <v/>
      </c>
      <c r="N512" s="9">
        <f>($D512-$C512)*100</f>
        <v/>
      </c>
      <c r="O512" s="9">
        <f>($F512-$E512)*100</f>
        <v/>
      </c>
      <c r="P512" s="9">
        <f>($J512-$I512)*100</f>
        <v/>
      </c>
    </row>
    <row r="513">
      <c r="A513" s="17" t="n">
        <v>45912</v>
      </c>
      <c r="B513" s="16" t="n">
        <v>0.873</v>
      </c>
      <c r="C513" s="16" t="n">
        <v>1.613</v>
      </c>
      <c r="D513" s="16" t="n">
        <v>3.103</v>
      </c>
      <c r="E513" s="16" t="n">
        <v>3.56</v>
      </c>
      <c r="F513" s="16" t="n">
        <v>4.06</v>
      </c>
      <c r="G513" s="16" t="n">
        <v>2.849</v>
      </c>
      <c r="H513" s="16" t="n">
        <v>2.6932</v>
      </c>
      <c r="I513" s="16" t="n">
        <v>1.9791</v>
      </c>
      <c r="J513" s="16" t="n">
        <v>2.7793</v>
      </c>
      <c r="K513" s="16" t="n">
        <v>2.221</v>
      </c>
      <c r="L513" s="16" t="n">
        <v>2.82</v>
      </c>
      <c r="M513" s="9">
        <f>($C513-$B513)*100</f>
        <v/>
      </c>
      <c r="N513" s="9">
        <f>($D513-$C513)*100</f>
        <v/>
      </c>
      <c r="O513" s="9">
        <f>($F513-$E513)*100</f>
        <v/>
      </c>
      <c r="P513" s="9">
        <f>($J513-$I513)*100</f>
        <v/>
      </c>
    </row>
    <row r="514">
      <c r="A514" s="17" t="n">
        <v>45919</v>
      </c>
      <c r="B514" s="16" t="n">
        <v>0.918</v>
      </c>
      <c r="C514" s="16" t="n">
        <v>1.655</v>
      </c>
      <c r="D514" s="16" t="n">
        <v>3.072</v>
      </c>
      <c r="E514" s="16" t="n">
        <v>3.57</v>
      </c>
      <c r="F514" s="16" t="n">
        <v>4.14</v>
      </c>
      <c r="G514" s="16" t="n">
        <v>2.849</v>
      </c>
      <c r="H514" s="16" t="n">
        <v>2.6932</v>
      </c>
      <c r="I514" s="16" t="n">
        <v>1.9896</v>
      </c>
      <c r="J514" s="16" t="n">
        <v>2.8111</v>
      </c>
      <c r="K514" s="16" t="n">
        <v>2.337</v>
      </c>
      <c r="L514" s="16" t="n">
        <v>2.99</v>
      </c>
      <c r="M514" s="9">
        <f>($C514-$B514)*100</f>
        <v/>
      </c>
      <c r="N514" s="9">
        <f>($D514-$C514)*100</f>
        <v/>
      </c>
      <c r="O514" s="9">
        <f>($F514-$E514)*100</f>
        <v/>
      </c>
      <c r="P514" s="9">
        <f>($J514-$I514)*100</f>
        <v/>
      </c>
    </row>
    <row r="515">
      <c r="A515" s="17" t="n">
        <v>45926</v>
      </c>
      <c r="B515" s="16" t="n">
        <v>0.931</v>
      </c>
      <c r="C515" s="16" t="n">
        <v>1.669</v>
      </c>
      <c r="D515" s="16" t="n">
        <v>3.084</v>
      </c>
      <c r="E515" s="16" t="n">
        <v>3.63</v>
      </c>
      <c r="F515" s="16" t="n">
        <v>4.2</v>
      </c>
      <c r="G515" s="16" t="n">
        <v>2.849</v>
      </c>
      <c r="H515" s="16" t="n">
        <v>2.6932</v>
      </c>
      <c r="I515" s="16" t="n">
        <v>1.9994</v>
      </c>
      <c r="J515" s="16" t="n">
        <v>2.8197</v>
      </c>
      <c r="K515" s="16" t="n">
        <v>2.479</v>
      </c>
      <c r="L515" s="16" t="n">
        <v>2.9</v>
      </c>
      <c r="M515" s="9">
        <f>($C515-$B515)*100</f>
        <v/>
      </c>
      <c r="N515" s="9">
        <f>($D515-$C515)*100</f>
        <v/>
      </c>
      <c r="O515" s="9">
        <f>($F515-$E515)*100</f>
        <v/>
      </c>
      <c r="P515" s="9">
        <f>($J515-$I515)*100</f>
        <v/>
      </c>
    </row>
    <row r="516">
      <c r="A516" s="17" t="n">
        <v>45933</v>
      </c>
      <c r="B516" s="16" t="n">
        <v>0.945</v>
      </c>
      <c r="C516" s="16" t="n">
        <v>1.667</v>
      </c>
      <c r="D516" s="16" t="n">
        <v>3.072</v>
      </c>
      <c r="E516" s="16" t="n">
        <v>3.58</v>
      </c>
      <c r="F516" s="16" t="n">
        <v>4.13</v>
      </c>
      <c r="G516" s="16" t="n">
        <v>2.933</v>
      </c>
      <c r="H516" s="16" t="n">
        <v>2.6178</v>
      </c>
      <c r="I516" s="16" t="n">
        <v>1.994</v>
      </c>
      <c r="J516" s="16" t="n">
        <v>2.7678</v>
      </c>
      <c r="K516" s="16" t="n">
        <v>2.413</v>
      </c>
      <c r="L516" s="16" t="n">
        <v>3.1</v>
      </c>
      <c r="M516" s="9">
        <f>($C516-$B516)*100</f>
        <v/>
      </c>
      <c r="N516" s="9">
        <f>($D516-$C516)*100</f>
        <v/>
      </c>
      <c r="O516" s="9">
        <f>($F516-$E516)*100</f>
        <v/>
      </c>
      <c r="P516" s="9">
        <f>($J516-$I516)*100</f>
        <v/>
      </c>
    </row>
    <row r="517">
      <c r="A517" s="17" t="n">
        <v>45940</v>
      </c>
      <c r="B517" s="16" t="n">
        <v>0.925</v>
      </c>
      <c r="C517" s="16" t="n">
        <v>1.697</v>
      </c>
      <c r="D517" s="16" t="n">
        <v>3.187</v>
      </c>
      <c r="E517" s="16" t="n">
        <v>3.52</v>
      </c>
      <c r="F517" s="16" t="n">
        <v>4.05</v>
      </c>
      <c r="G517" s="16" t="n">
        <v>2.933</v>
      </c>
      <c r="H517" s="16" t="n">
        <v>2.6178</v>
      </c>
      <c r="I517" s="16" t="n">
        <v>1.9587</v>
      </c>
      <c r="J517" s="16" t="n">
        <v>2.7418</v>
      </c>
      <c r="K517" s="16" t="n">
        <v>2.43</v>
      </c>
      <c r="L517" s="16" t="n">
        <v>3.24</v>
      </c>
      <c r="M517" s="9">
        <f>($C517-$B517)*100</f>
        <v/>
      </c>
      <c r="N517" s="9">
        <f>($D517-$C517)*100</f>
        <v/>
      </c>
      <c r="O517" s="9">
        <f>($F517-$E517)*100</f>
        <v/>
      </c>
      <c r="P517" s="9">
        <f>($J517-$I517)*100</f>
        <v/>
      </c>
    </row>
    <row r="518">
      <c r="A518" s="17" t="n">
        <v>45947</v>
      </c>
      <c r="B518" s="16" t="n">
        <v>0.909</v>
      </c>
      <c r="C518" s="16" t="n">
        <v>1.638</v>
      </c>
      <c r="D518" s="16" t="n">
        <v>3.134</v>
      </c>
      <c r="E518" s="16" t="n">
        <v>3.46</v>
      </c>
      <c r="F518" s="16" t="n">
        <v>4.02</v>
      </c>
      <c r="G518" s="16" t="n">
        <v>2.933</v>
      </c>
      <c r="H518" s="16" t="n">
        <v>2.6178</v>
      </c>
      <c r="I518" s="16" t="n">
        <v>1.8984</v>
      </c>
      <c r="J518" s="16" t="n">
        <v>2.6597</v>
      </c>
      <c r="K518" s="16" t="n">
        <v>2.312</v>
      </c>
      <c r="L518" s="16" t="n">
        <v>3.29</v>
      </c>
      <c r="M518" s="9">
        <f>($C518-$B518)*100</f>
        <v/>
      </c>
      <c r="N518" s="9">
        <f>($D518-$C518)*100</f>
        <v/>
      </c>
      <c r="O518" s="9">
        <f>($F518-$E518)*100</f>
        <v/>
      </c>
      <c r="P518" s="9">
        <f>($J518-$I518)*100</f>
        <v/>
      </c>
    </row>
    <row r="519">
      <c r="A519" s="17" t="n">
        <v>45954</v>
      </c>
      <c r="B519" s="16" t="n">
        <v>0.9320000000000001</v>
      </c>
      <c r="C519" s="16" t="n">
        <v>1.667</v>
      </c>
      <c r="D519" s="16" t="n">
        <v>3.081</v>
      </c>
      <c r="E519" s="16" t="n">
        <v>3.48</v>
      </c>
      <c r="F519" s="16" t="n">
        <v>4.02</v>
      </c>
      <c r="G519" s="16" t="n">
        <v>2.933</v>
      </c>
      <c r="H519" s="16" t="n">
        <v>2.6178</v>
      </c>
      <c r="I519" s="16" t="n">
        <v>1.9493</v>
      </c>
      <c r="J519" s="16" t="n">
        <v>2.7104</v>
      </c>
      <c r="K519" s="16" t="n">
        <v>2.333</v>
      </c>
      <c r="L519" s="16" t="n">
        <v>3.27</v>
      </c>
      <c r="M519" s="9">
        <f>($C519-$B519)*100</f>
        <v/>
      </c>
      <c r="N519" s="9">
        <f>($D519-$C519)*100</f>
        <v/>
      </c>
      <c r="O519" s="9">
        <f>($F519-$E519)*100</f>
        <v/>
      </c>
      <c r="P519" s="9">
        <f>($J519-$I519)*100</f>
        <v/>
      </c>
    </row>
    <row r="520">
      <c r="A520" s="17" t="n">
        <v>45961</v>
      </c>
      <c r="B520" s="16" t="n">
        <v>0.928</v>
      </c>
      <c r="C520" s="16" t="n">
        <v>1.67</v>
      </c>
      <c r="D520" s="16" t="n">
        <v>3.068</v>
      </c>
      <c r="E520" s="16" t="n">
        <v>3.6</v>
      </c>
      <c r="F520" s="16" t="n">
        <v>4.11</v>
      </c>
      <c r="G520" s="16" t="n">
        <v>2.933</v>
      </c>
      <c r="H520" s="16" t="n">
        <v>2.6178</v>
      </c>
      <c r="I520" s="16" t="n">
        <v>1.9496</v>
      </c>
      <c r="J520" s="16" t="n">
        <v>2.7216</v>
      </c>
      <c r="K520" s="16" t="n">
        <v>2.47</v>
      </c>
      <c r="L520" s="16" t="n">
        <v>3.29</v>
      </c>
      <c r="M520" s="9">
        <f>($C520-$B520)*100</f>
        <v/>
      </c>
      <c r="N520" s="9">
        <f>($D520-$C520)*100</f>
        <v/>
      </c>
      <c r="O520" s="9">
        <f>($F520-$E520)*100</f>
        <v/>
      </c>
      <c r="P520" s="9">
        <f>($J520-$I520)*100</f>
        <v/>
      </c>
    </row>
    <row r="521">
      <c r="A521" s="17" t="n">
        <v>45968</v>
      </c>
      <c r="B521" s="16" t="n">
        <v>0.9409999999999999</v>
      </c>
      <c r="C521" s="16" t="n">
        <v>1.688</v>
      </c>
      <c r="D521" s="16" t="n">
        <v>3.117</v>
      </c>
      <c r="E521" s="16" t="n">
        <v>3.55</v>
      </c>
      <c r="F521" s="16" t="n">
        <v>4.11</v>
      </c>
      <c r="G521" s="16" t="n">
        <v>3.248</v>
      </c>
      <c r="H521" s="16" t="n">
        <v>2.6575</v>
      </c>
      <c r="I521" s="16" t="n">
        <v>1.9723</v>
      </c>
      <c r="J521" s="16" t="n">
        <v>2.7519</v>
      </c>
      <c r="K521" s="16" t="n">
        <v>2.395</v>
      </c>
      <c r="L521" s="16" t="n">
        <v>2.98</v>
      </c>
      <c r="M521" s="9">
        <f>($C521-$B521)*100</f>
        <v/>
      </c>
      <c r="N521" s="9">
        <f>($D521-$C521)*100</f>
        <v/>
      </c>
      <c r="O521" s="9">
        <f>($F521-$E521)*100</f>
        <v/>
      </c>
      <c r="P521" s="9">
        <f>($J521-$I521)*100</f>
        <v/>
      </c>
    </row>
    <row r="522">
      <c r="A522" s="17" t="n">
        <v>45975</v>
      </c>
      <c r="B522" s="16" t="n">
        <v>0.9320000000000001</v>
      </c>
      <c r="C522" s="16" t="n">
        <v>1.714</v>
      </c>
      <c r="D522" s="16" t="n">
        <v>3.205</v>
      </c>
      <c r="E522" s="16" t="n">
        <v>3.62</v>
      </c>
      <c r="F522" s="16" t="n">
        <v>4.14</v>
      </c>
      <c r="G522" s="16" t="n">
        <v>3.248</v>
      </c>
      <c r="H522" s="16" t="n">
        <v>2.6575</v>
      </c>
      <c r="I522" s="16" t="n">
        <v>1.9898</v>
      </c>
      <c r="J522" s="16" t="n">
        <v>2.7812</v>
      </c>
      <c r="K522" s="16" t="n">
        <v>2.442</v>
      </c>
      <c r="L522" s="16" t="n">
        <v>3.02</v>
      </c>
      <c r="M522" s="9">
        <f>($C522-$B522)*100</f>
        <v/>
      </c>
      <c r="N522" s="9">
        <f>($D522-$C522)*100</f>
        <v/>
      </c>
      <c r="O522" s="9">
        <f>($F522-$E522)*100</f>
        <v/>
      </c>
      <c r="P522" s="9">
        <f>($J522-$I522)*100</f>
        <v/>
      </c>
    </row>
    <row r="523">
      <c r="A523" s="17" t="n">
        <v>45982</v>
      </c>
      <c r="B523" s="16" t="n">
        <v>0.959</v>
      </c>
      <c r="C523" s="16" t="n">
        <v>1.792</v>
      </c>
      <c r="D523" s="16" t="n">
        <v>3.291</v>
      </c>
      <c r="E523" s="16" t="n">
        <v>3.51</v>
      </c>
      <c r="F523" s="16" t="n">
        <v>4.06</v>
      </c>
      <c r="G523" s="16" t="n">
        <v>3.248</v>
      </c>
      <c r="H523" s="16" t="n">
        <v>2.6575</v>
      </c>
      <c r="I523" s="16" t="n">
        <v>1.9778</v>
      </c>
      <c r="J523" s="16" t="n">
        <v>2.7865</v>
      </c>
      <c r="K523" s="16" t="n">
        <v>2.288</v>
      </c>
      <c r="L523" s="16" t="n">
        <v>2.62</v>
      </c>
      <c r="M523" s="9">
        <f>($C523-$B523)*100</f>
        <v/>
      </c>
      <c r="N523" s="9">
        <f>($D523-$C523)*100</f>
        <v/>
      </c>
      <c r="O523" s="9">
        <f>($F523-$E523)*100</f>
        <v/>
      </c>
      <c r="P523" s="9">
        <f>($J523-$I523)*100</f>
        <v/>
      </c>
    </row>
    <row r="524">
      <c r="A524" s="17" t="n">
        <v>45989</v>
      </c>
      <c r="B524" s="16" t="n">
        <v>0.992</v>
      </c>
      <c r="C524" s="16" t="n">
        <v>1.812</v>
      </c>
      <c r="D524" s="16" t="n">
        <v>3.3</v>
      </c>
      <c r="E524" s="16" t="n">
        <v>3.47</v>
      </c>
      <c r="F524" s="16" t="n">
        <v>4.02</v>
      </c>
      <c r="G524" s="16" t="n">
        <v>3.248</v>
      </c>
      <c r="H524" s="16" t="n">
        <v>2.6575</v>
      </c>
      <c r="I524" s="16" t="n">
        <v>2.0086</v>
      </c>
      <c r="J524" s="16" t="n">
        <v>2.7738</v>
      </c>
      <c r="K524" s="16" t="n">
        <v>2.435</v>
      </c>
      <c r="L524" s="16" t="n">
        <v>2.7</v>
      </c>
      <c r="M524" s="9">
        <f>($C524-$B524)*100</f>
        <v/>
      </c>
      <c r="N524" s="9">
        <f>($D524-$C524)*100</f>
        <v/>
      </c>
      <c r="O524" s="9">
        <f>($F524-$E524)*100</f>
        <v/>
      </c>
      <c r="P524" s="9">
        <f>($J524-$I524)*100</f>
        <v/>
      </c>
    </row>
    <row r="525">
      <c r="A525" s="17" t="n">
        <v>45996</v>
      </c>
      <c r="B525" s="16" t="n">
        <v>1.052</v>
      </c>
      <c r="C525" s="16" t="n">
        <v>1.951</v>
      </c>
      <c r="D525" s="16" t="n">
        <v>3.315</v>
      </c>
      <c r="E525" s="16" t="n">
        <v>3.56</v>
      </c>
      <c r="F525" s="16" t="n">
        <v>4.14</v>
      </c>
      <c r="G525" s="16" t="n">
        <v>3.366</v>
      </c>
      <c r="H525" s="16" t="n">
        <v>2.8142</v>
      </c>
      <c r="I525" s="16" t="n">
        <v>2.0529</v>
      </c>
      <c r="J525" s="16" t="n">
        <v>2.872</v>
      </c>
      <c r="K525" s="16" t="n">
        <v>2.414</v>
      </c>
      <c r="L525" s="16" t="n">
        <v>2.53</v>
      </c>
      <c r="M525" s="9">
        <f>($C525-$B525)*100</f>
        <v/>
      </c>
      <c r="N525" s="9">
        <f>($D525-$C525)*100</f>
        <v/>
      </c>
      <c r="O525" s="9">
        <f>($F525-$E525)*100</f>
        <v/>
      </c>
      <c r="P525" s="9">
        <f>($J525-$I525)*100</f>
        <v/>
      </c>
    </row>
    <row r="526">
      <c r="A526" s="17" t="n">
        <v>46003</v>
      </c>
      <c r="B526" s="16" t="n">
        <v>1.07</v>
      </c>
      <c r="C526" s="16" t="n">
        <v>1.956</v>
      </c>
      <c r="D526" s="16" t="n">
        <v>3.309</v>
      </c>
      <c r="E526" s="16" t="n">
        <v>3.52</v>
      </c>
      <c r="F526" s="16" t="n">
        <v>4.19</v>
      </c>
      <c r="G526" s="16" t="n">
        <v>3.366</v>
      </c>
      <c r="H526" s="16" t="n">
        <v>2.8142</v>
      </c>
      <c r="I526" s="16" t="n">
        <v>2.126</v>
      </c>
      <c r="J526" s="16" t="n">
        <v>2.9548</v>
      </c>
      <c r="K526" s="16" t="n">
        <v>2.467</v>
      </c>
      <c r="L526" s="16" t="n">
        <v>2.49</v>
      </c>
      <c r="M526" s="9">
        <f>($C526-$B526)*100</f>
        <v/>
      </c>
      <c r="N526" s="9">
        <f>($D526-$C526)*100</f>
        <v/>
      </c>
      <c r="O526" s="9">
        <f>($F526-$E526)*100</f>
        <v/>
      </c>
      <c r="P526" s="9">
        <f>($J526-$I526)*100</f>
        <v/>
      </c>
    </row>
    <row r="527">
      <c r="A527" s="17" t="n">
        <v>46010</v>
      </c>
      <c r="B527" s="16" t="n">
        <v>1.101</v>
      </c>
      <c r="C527" s="16" t="n">
        <v>2.021</v>
      </c>
      <c r="D527" s="16" t="n">
        <v>3.362</v>
      </c>
      <c r="E527" s="16" t="n">
        <v>3.48</v>
      </c>
      <c r="F527" s="16" t="n">
        <v>4.16</v>
      </c>
      <c r="G527" s="16" t="n">
        <v>3.366</v>
      </c>
      <c r="H527" s="16" t="n">
        <v>2.8142</v>
      </c>
      <c r="I527" s="16" t="n">
        <v>2.1198</v>
      </c>
      <c r="J527" s="16" t="n">
        <v>2.9803</v>
      </c>
      <c r="K527" s="16" t="n">
        <v>2.408</v>
      </c>
      <c r="L527" s="16" t="n">
        <v>2.49</v>
      </c>
      <c r="M527" s="9">
        <f>($C527-$B527)*100</f>
        <v/>
      </c>
      <c r="N527" s="9">
        <f>($D527-$C527)*100</f>
        <v/>
      </c>
      <c r="O527" s="9">
        <f>($F527-$E527)*100</f>
        <v/>
      </c>
      <c r="P527" s="9">
        <f>($J527-$I527)*100</f>
        <v/>
      </c>
    </row>
    <row r="528">
      <c r="A528" s="17" t="n">
        <v>46017</v>
      </c>
      <c r="B528" s="16" t="n">
        <v>1.141</v>
      </c>
      <c r="C528" s="16" t="n">
        <v>2.039</v>
      </c>
      <c r="D528" s="16" t="n">
        <v>3.335</v>
      </c>
      <c r="E528" s="16" t="n">
        <v>3.46</v>
      </c>
      <c r="F528" s="16" t="n">
        <v>4.14</v>
      </c>
      <c r="G528" s="16" t="n">
        <v>3.366</v>
      </c>
      <c r="H528" s="16" t="n">
        <v>2.8142</v>
      </c>
      <c r="I528" s="16" t="n">
        <v>2.1215</v>
      </c>
      <c r="J528" s="16" t="n">
        <v>2.9641</v>
      </c>
      <c r="K528" s="16" t="n">
        <v>2.468</v>
      </c>
      <c r="L528" s="16" t="n">
        <v>2.35</v>
      </c>
      <c r="M528" s="9">
        <f>($C528-$B528)*100</f>
        <v/>
      </c>
      <c r="N528" s="9">
        <f>($D528-$C528)*100</f>
        <v/>
      </c>
      <c r="O528" s="9">
        <f>($F528-$E528)*100</f>
        <v/>
      </c>
      <c r="P528" s="9">
        <f>($J528-$I528)*100</f>
        <v/>
      </c>
    </row>
    <row r="529">
      <c r="A529" s="17" t="n">
        <v>46024</v>
      </c>
      <c r="B529" s="16" t="n">
        <v>1.167</v>
      </c>
      <c r="C529" s="16" t="n">
        <v>2.066</v>
      </c>
      <c r="D529" s="16" t="n">
        <v>3.354</v>
      </c>
      <c r="E529" s="16" t="n">
        <v>3.47</v>
      </c>
      <c r="F529" s="16" t="n">
        <v>4.19</v>
      </c>
      <c r="G529" s="16" t="n">
        <v>3.485</v>
      </c>
      <c r="H529" s="16" t="n">
        <v>2.8067</v>
      </c>
      <c r="I529" s="16" t="n">
        <v>2.1097</v>
      </c>
      <c r="J529" s="16" t="n">
        <v>2.975</v>
      </c>
      <c r="K529" s="16" t="n">
        <v>2.353</v>
      </c>
      <c r="L529" s="16" t="n">
        <v>2.27</v>
      </c>
      <c r="M529" s="9">
        <f>($C529-$B529)*100</f>
        <v/>
      </c>
      <c r="N529" s="9">
        <f>($D529-$C529)*100</f>
        <v/>
      </c>
      <c r="O529" s="9">
        <f>($F529-$E529)*100</f>
        <v/>
      </c>
      <c r="P529" s="9">
        <f>($J529-$I529)*100</f>
        <v/>
      </c>
    </row>
    <row r="530">
      <c r="A530" s="17" t="n">
        <v>46031</v>
      </c>
      <c r="B530" s="16" t="n">
        <v>1.151</v>
      </c>
      <c r="C530" s="16" t="n">
        <v>2.096</v>
      </c>
      <c r="D530" s="16" t="n">
        <v>3.399</v>
      </c>
      <c r="E530" s="16" t="n">
        <v>3.54</v>
      </c>
      <c r="F530" s="16" t="n">
        <v>4.18</v>
      </c>
      <c r="G530" s="16" t="n">
        <v>3.485</v>
      </c>
      <c r="H530" s="16" t="n">
        <v>2.8067</v>
      </c>
      <c r="I530" s="16" t="n">
        <v>2.0897</v>
      </c>
      <c r="J530" s="16" t="n">
        <v>2.9259</v>
      </c>
      <c r="K530" s="16" t="n">
        <v>2.413</v>
      </c>
      <c r="L530" s="16" t="n">
        <v>2.41</v>
      </c>
      <c r="M530" s="9">
        <f>($C530-$B530)*100</f>
        <v/>
      </c>
      <c r="N530" s="9">
        <f>($D530-$C530)*100</f>
        <v/>
      </c>
      <c r="O530" s="9">
        <f>($F530-$E530)*100</f>
        <v/>
      </c>
      <c r="P530" s="9">
        <f>($J530-$I530)*100</f>
        <v/>
      </c>
    </row>
    <row r="531">
      <c r="A531" s="17" t="n">
        <v>46038</v>
      </c>
      <c r="B531" s="16" t="n">
        <v>1.205</v>
      </c>
      <c r="C531" s="16" t="n">
        <v>2.182</v>
      </c>
      <c r="D531" s="16" t="n">
        <v>3.462</v>
      </c>
      <c r="E531" s="16" t="n">
        <v>3.59</v>
      </c>
      <c r="F531" s="16" t="n">
        <v>4.24</v>
      </c>
      <c r="G531" s="16" t="n">
        <v>3.485</v>
      </c>
      <c r="H531" s="16" t="n">
        <v>2.8067</v>
      </c>
      <c r="I531" s="16" t="n">
        <v>2.0876</v>
      </c>
      <c r="J531" s="16" t="n">
        <v>2.8938</v>
      </c>
      <c r="K531" s="16" t="n">
        <v>2.453</v>
      </c>
      <c r="L531" s="16" t="n">
        <v>2.25</v>
      </c>
      <c r="M531" s="9">
        <f>($C531-$B531)*100</f>
        <v/>
      </c>
      <c r="N531" s="9">
        <f>($D531-$C531)*100</f>
        <v/>
      </c>
      <c r="O531" s="9">
        <f>($F531-$E531)*100</f>
        <v/>
      </c>
      <c r="P531" s="9">
        <f>($J531-$I531)*100</f>
        <v/>
      </c>
    </row>
    <row r="532">
      <c r="A532" s="17" t="n">
        <v>46045</v>
      </c>
      <c r="B532" s="16" t="n">
        <v>1.262</v>
      </c>
      <c r="C532" s="16" t="n">
        <v>2.253</v>
      </c>
      <c r="D532" s="16" t="n">
        <v>3.585</v>
      </c>
      <c r="E532" s="16" t="n">
        <v>3.6</v>
      </c>
      <c r="F532" s="16" t="n">
        <v>4.24</v>
      </c>
      <c r="G532" s="16" t="n">
        <v>3.485</v>
      </c>
      <c r="H532" s="16" t="n">
        <v>2.8067</v>
      </c>
      <c r="I532" s="16" t="n">
        <v>2.1049</v>
      </c>
      <c r="J532" s="16" t="n">
        <v>2.9478</v>
      </c>
      <c r="K532" s="16" t="n">
        <v>2.368</v>
      </c>
      <c r="L532" s="16" t="n">
        <v>2.15</v>
      </c>
      <c r="M532" s="9">
        <f>($C532-$B532)*100</f>
        <v/>
      </c>
      <c r="N532" s="9">
        <f>($D532-$C532)*100</f>
        <v/>
      </c>
      <c r="O532" s="9">
        <f>($F532-$E532)*100</f>
        <v/>
      </c>
      <c r="P532" s="9">
        <f>($J532-$I532)*100</f>
        <v/>
      </c>
    </row>
    <row r="533">
      <c r="A533" s="17" t="n">
        <v>46052</v>
      </c>
      <c r="B533" s="16" t="n">
        <v>1.251</v>
      </c>
      <c r="C533" s="16" t="n">
        <v>2.247</v>
      </c>
      <c r="D533" s="16" t="n">
        <v>3.577</v>
      </c>
      <c r="E533" s="16" t="n">
        <v>3.52</v>
      </c>
      <c r="F533" s="16" t="n">
        <v>4.26</v>
      </c>
      <c r="G533" s="16" t="n">
        <v>3.485</v>
      </c>
      <c r="H533" s="16" t="n">
        <v>2.8067</v>
      </c>
      <c r="I533" s="16" t="n">
        <v>2.0496</v>
      </c>
      <c r="J533" s="16" t="n">
        <v>2.9034</v>
      </c>
      <c r="K533" s="16" t="n">
        <v>2.27</v>
      </c>
      <c r="L533" s="16" t="n">
        <v>2.12</v>
      </c>
      <c r="M533" s="9">
        <f>($C533-$B533)*100</f>
        <v/>
      </c>
      <c r="N533" s="9">
        <f>($D533-$C533)*100</f>
        <v/>
      </c>
      <c r="O533" s="9">
        <f>($F533-$E533)*100</f>
        <v/>
      </c>
      <c r="P533" s="9">
        <f>($J533-$I533)*100</f>
        <v/>
      </c>
    </row>
    <row r="534">
      <c r="A534" s="17" t="n">
        <v>46059</v>
      </c>
      <c r="B534" s="16" t="n">
        <v>1.281</v>
      </c>
      <c r="C534" s="16" t="n">
        <v>2.236</v>
      </c>
      <c r="D534" s="16" t="n">
        <v>3.513</v>
      </c>
      <c r="E534" s="16" t="n">
        <v>3.5</v>
      </c>
      <c r="F534" s="16" t="n">
        <v>4.22</v>
      </c>
      <c r="G534" s="16" t="n">
        <v>3.612</v>
      </c>
      <c r="H534" s="16" t="n">
        <v>2.745</v>
      </c>
      <c r="I534" s="16" t="n">
        <v>2.0431</v>
      </c>
      <c r="J534" s="16" t="n">
        <v>2.9032</v>
      </c>
      <c r="K534" s="16" t="n">
        <v>2.147</v>
      </c>
      <c r="L534" s="16" t="n">
        <v>2.13</v>
      </c>
      <c r="M534" s="9">
        <f>($C534-$B534)*100</f>
        <v/>
      </c>
      <c r="N534" s="9">
        <f>($D534-$C534)*100</f>
        <v/>
      </c>
      <c r="O534" s="9">
        <f>($F534-$E534)*100</f>
        <v/>
      </c>
      <c r="P534" s="9">
        <f>($J534-$I534)*100</f>
        <v/>
      </c>
    </row>
    <row r="535">
      <c r="A535" s="17" t="n">
        <v>46066</v>
      </c>
      <c r="B535" s="16" t="n">
        <v>1.289</v>
      </c>
      <c r="C535" s="16" t="n">
        <v>2.218</v>
      </c>
      <c r="D535" s="16" t="n">
        <v>3.422</v>
      </c>
      <c r="E535" s="16" t="n">
        <v>3.4</v>
      </c>
      <c r="F535" s="16" t="n">
        <v>4.04</v>
      </c>
      <c r="G535" s="16" t="n">
        <v>3.612</v>
      </c>
      <c r="H535" s="16" t="n">
        <v>2.745</v>
      </c>
      <c r="I535" s="16" t="n">
        <v>1.9973</v>
      </c>
      <c r="J535" s="16" t="n">
        <v>2.8073</v>
      </c>
      <c r="K535" s="16" t="n">
        <v>2.139</v>
      </c>
      <c r="L535" s="16" t="n">
        <v>2.22</v>
      </c>
      <c r="M535" s="9">
        <f>($C535-$B535)*100</f>
        <v/>
      </c>
      <c r="N535" s="9">
        <f>($D535-$C535)*100</f>
        <v/>
      </c>
      <c r="O535" s="9">
        <f>($F535-$E535)*100</f>
        <v/>
      </c>
      <c r="P535" s="9">
        <f>($J535-$I535)*100</f>
        <v/>
      </c>
    </row>
    <row r="536">
      <c r="A536" s="17" t="n">
        <v>46073</v>
      </c>
      <c r="B536" s="16" t="n">
        <v>1.26</v>
      </c>
      <c r="C536" s="16" t="n">
        <v>2.125</v>
      </c>
      <c r="D536" s="16" t="n">
        <v>3.323</v>
      </c>
      <c r="E536" s="16" t="n">
        <v>3.48</v>
      </c>
      <c r="F536" s="16" t="n">
        <v>4.08</v>
      </c>
      <c r="G536" s="16" t="n">
        <v>3.612</v>
      </c>
      <c r="H536" s="16" t="n">
        <v>2.745</v>
      </c>
      <c r="I536" s="16" t="n">
        <v>2.0135</v>
      </c>
      <c r="J536" s="16" t="n">
        <v>2.7936</v>
      </c>
      <c r="K536" s="16" t="n">
        <v>2.13</v>
      </c>
      <c r="L536" s="16" t="n">
        <v>2.19</v>
      </c>
      <c r="M536" s="9">
        <f>($C536-$B536)*100</f>
        <v/>
      </c>
      <c r="N536" s="9">
        <f>($D536-$C536)*100</f>
        <v/>
      </c>
      <c r="O536" s="9">
        <f>($F536-$E536)*100</f>
        <v/>
      </c>
      <c r="P536" s="9">
        <f>($J536-$I536)*100</f>
        <v/>
      </c>
    </row>
    <row r="537">
      <c r="A537" s="17" t="n">
        <v>46080</v>
      </c>
      <c r="B537" s="16" t="n">
        <v>1.25</v>
      </c>
      <c r="C537" s="16" t="n">
        <v>2.132</v>
      </c>
      <c r="D537" s="16" t="n">
        <v>3.342</v>
      </c>
      <c r="E537" s="16" t="n">
        <v>3.38</v>
      </c>
      <c r="F537" s="16" t="n">
        <v>3.97</v>
      </c>
      <c r="G537" s="16" t="n">
        <v>3.612</v>
      </c>
      <c r="H537" s="16" t="n">
        <v>2.745</v>
      </c>
      <c r="I537" s="16" t="n">
        <v>1.9805</v>
      </c>
      <c r="J537" s="16" t="n">
        <v>2.7267</v>
      </c>
      <c r="K537" s="16" t="n">
        <v>2.064</v>
      </c>
      <c r="L537" s="16" t="n">
        <v>2.17</v>
      </c>
      <c r="M537" s="9">
        <f>($C537-$B537)*100</f>
        <v/>
      </c>
      <c r="N537" s="9">
        <f>($D537-$C537)*100</f>
        <v/>
      </c>
      <c r="O537" s="9">
        <f>($F537-$E537)*100</f>
        <v/>
      </c>
      <c r="P537" s="9">
        <f>($J537-$I537)*100</f>
        <v/>
      </c>
    </row>
    <row r="538">
      <c r="A538" s="17" t="n">
        <v>46087</v>
      </c>
      <c r="B538" s="16" t="n">
        <v>1.246</v>
      </c>
      <c r="C538" s="16" t="n">
        <v>2.18</v>
      </c>
      <c r="D538" s="16" t="n">
        <v>3.384</v>
      </c>
      <c r="E538" s="16" t="n">
        <v>3.56</v>
      </c>
      <c r="F538" s="16" t="n">
        <v>4.15</v>
      </c>
      <c r="G538" s="16" t="n">
        <v>3.728</v>
      </c>
      <c r="H538" s="16" t="n">
        <v>2.91</v>
      </c>
      <c r="I538" s="16" t="n">
        <v>2.2233</v>
      </c>
      <c r="J538" s="16" t="n">
        <v>2.9088</v>
      </c>
      <c r="K538" s="16" t="n">
        <v>2.131</v>
      </c>
      <c r="L538" s="16" t="n">
        <v>2.03</v>
      </c>
      <c r="M538" s="9">
        <f>($C538-$B538)*100</f>
        <v/>
      </c>
      <c r="N538" s="9">
        <f>($D538-$C538)*100</f>
        <v/>
      </c>
      <c r="O538" s="9">
        <f>($F538-$E538)*100</f>
        <v/>
      </c>
      <c r="P538" s="9">
        <f>($J538-$I538)*100</f>
        <v/>
      </c>
    </row>
    <row r="539">
      <c r="A539" s="17" t="n">
        <v>46094</v>
      </c>
      <c r="B539" s="16" t="n">
        <v>1.289</v>
      </c>
      <c r="C539" s="16" t="n">
        <v>2.255</v>
      </c>
      <c r="D539" s="16" t="n">
        <v>3.479</v>
      </c>
      <c r="E539" s="16" t="n">
        <v>3.73</v>
      </c>
      <c r="F539" s="16" t="n">
        <v>4.28</v>
      </c>
      <c r="G539" s="16" t="n">
        <v>3.728</v>
      </c>
      <c r="H539" s="16" t="n">
        <v>2.91</v>
      </c>
      <c r="I539" s="16" t="n">
        <v>2.3633</v>
      </c>
      <c r="J539" s="16" t="n">
        <v>3.0113</v>
      </c>
      <c r="K539" s="16" t="n">
        <v>2.215</v>
      </c>
      <c r="L539" s="16" t="n">
        <v>1.99</v>
      </c>
      <c r="M539" s="9">
        <f>($C539-$B539)*100</f>
        <v/>
      </c>
      <c r="N539" s="9">
        <f>($D539-$C539)*100</f>
        <v/>
      </c>
      <c r="O539" s="9">
        <f>($F539-$E539)*100</f>
        <v/>
      </c>
      <c r="P539" s="9">
        <f>($J539-$I539)*100</f>
        <v/>
      </c>
    </row>
    <row r="540">
      <c r="A540" s="17" t="n">
        <v>46101</v>
      </c>
      <c r="B540" s="16" t="n">
        <v>1.277</v>
      </c>
      <c r="C540" s="16" t="n">
        <v>2.273</v>
      </c>
      <c r="D540" s="16" t="n">
        <v>3.491</v>
      </c>
      <c r="E540" s="16" t="n">
        <v>3.88</v>
      </c>
      <c r="F540" s="16" t="n">
        <v>4.39</v>
      </c>
      <c r="G540" s="16" t="n">
        <v>3.728</v>
      </c>
      <c r="H540" s="16" t="n">
        <v>2.91</v>
      </c>
      <c r="I540" s="16" t="n">
        <v>2.5854</v>
      </c>
      <c r="J540" s="16" t="n">
        <v>3.0755</v>
      </c>
      <c r="K540" s="16" t="n">
        <v>2.285</v>
      </c>
      <c r="L540" s="16" t="n">
        <v>1.89</v>
      </c>
      <c r="M540" s="9">
        <f>($C540-$B540)*100</f>
        <v/>
      </c>
      <c r="N540" s="9">
        <f>($D540-$C540)*100</f>
        <v/>
      </c>
      <c r="O540" s="9">
        <f>($F540-$E540)*100</f>
        <v/>
      </c>
      <c r="P540" s="9">
        <f>($J540-$I540)*100</f>
        <v/>
      </c>
    </row>
    <row r="541">
      <c r="A541" s="17" t="n">
        <v>46108</v>
      </c>
      <c r="B541" s="16" t="n">
        <v>1.393</v>
      </c>
      <c r="C541" s="16" t="n">
        <v>2.38</v>
      </c>
      <c r="D541" s="16" t="n">
        <v>3.629</v>
      </c>
      <c r="E541" s="16" t="n">
        <v>3.88</v>
      </c>
      <c r="F541" s="16" t="n">
        <v>4.44</v>
      </c>
      <c r="G541" s="16" t="n">
        <v>3.728</v>
      </c>
      <c r="H541" s="16" t="n">
        <v>2.91</v>
      </c>
      <c r="I541" s="16" t="n">
        <v>2.6447</v>
      </c>
      <c r="J541" s="16" t="n">
        <v>3.1504</v>
      </c>
      <c r="K541" s="16" t="n">
        <v>2.449</v>
      </c>
      <c r="L541" s="16" t="n">
        <v>1.95</v>
      </c>
      <c r="M541" s="9">
        <f>($C541-$B541)*100</f>
        <v/>
      </c>
      <c r="N541" s="9">
        <f>($D541-$C541)*100</f>
        <v/>
      </c>
      <c r="O541" s="9">
        <f>($F541-$E541)*100</f>
        <v/>
      </c>
      <c r="P541" s="9">
        <f>($J541-$I541)*100</f>
        <v/>
      </c>
    </row>
    <row r="542">
      <c r="A542" s="17" t="n">
        <v>46115</v>
      </c>
      <c r="B542" s="16" t="n">
        <v>1.391</v>
      </c>
      <c r="C542" s="16" t="n">
        <v>2.386</v>
      </c>
      <c r="D542" s="16" t="n">
        <v>3.611</v>
      </c>
      <c r="E542" s="16" t="n">
        <v>3.84</v>
      </c>
      <c r="F542" s="16" t="n">
        <v>4.35</v>
      </c>
      <c r="G542" s="16" t="n">
        <v>3.737</v>
      </c>
      <c r="H542" s="16" t="n">
        <v>3.001</v>
      </c>
      <c r="I542" s="16" t="n">
        <v>2.5948</v>
      </c>
      <c r="J542" s="16" t="n">
        <v>3.0751</v>
      </c>
      <c r="K542" s="16" t="n">
        <v>2.274</v>
      </c>
      <c r="L542" s="16" t="n">
        <v>1.95</v>
      </c>
      <c r="M542" s="9">
        <f>($C542-$B542)*100</f>
        <v/>
      </c>
      <c r="N542" s="9">
        <f>($D542-$C542)*100</f>
        <v/>
      </c>
      <c r="O542" s="9">
        <f>($F542-$E542)*100</f>
        <v/>
      </c>
      <c r="P542" s="9">
        <f>($J542-$I542)*100</f>
        <v/>
      </c>
    </row>
    <row r="543">
      <c r="A543" s="17" t="n">
        <v>46122</v>
      </c>
      <c r="B543" s="16" t="n">
        <v>1.405</v>
      </c>
      <c r="C543" s="16" t="n">
        <v>2.439</v>
      </c>
      <c r="D543" s="16" t="n">
        <v>3.638</v>
      </c>
      <c r="E543" s="16" t="n">
        <v>3.81</v>
      </c>
      <c r="F543" s="16" t="n">
        <v>4.31</v>
      </c>
      <c r="G543" s="16" t="n">
        <v>3.737</v>
      </c>
      <c r="H543" s="16" t="n">
        <v>3.001</v>
      </c>
      <c r="I543" s="16" t="n">
        <v>2.5311</v>
      </c>
      <c r="J543" s="16" t="n">
        <v>3.1004</v>
      </c>
      <c r="K543" s="16" t="n">
        <v>2.275</v>
      </c>
      <c r="L543" s="16" t="n">
        <v>2.06</v>
      </c>
      <c r="M543" s="9">
        <f>($C543-$B543)*100</f>
        <v/>
      </c>
      <c r="N543" s="9">
        <f>($D543-$C543)*100</f>
        <v/>
      </c>
      <c r="O543" s="9">
        <f>($F543-$E543)*100</f>
        <v/>
      </c>
      <c r="P543" s="9">
        <f>($J543-$I543)*100</f>
        <v/>
      </c>
    </row>
    <row r="544">
      <c r="A544" s="17" t="n">
        <v>46129</v>
      </c>
      <c r="B544" s="16" t="n">
        <v>1.372</v>
      </c>
      <c r="C544" s="16" t="n">
        <v>2.428</v>
      </c>
      <c r="D544" s="16" t="n">
        <v>3.622</v>
      </c>
      <c r="E544" s="16" t="n">
        <v>3.71</v>
      </c>
      <c r="F544" s="16" t="n">
        <v>4.26</v>
      </c>
      <c r="G544" s="16" t="n">
        <v>3.737</v>
      </c>
      <c r="H544" s="16" t="n">
        <v>3.001</v>
      </c>
      <c r="I544" s="16" t="n">
        <v>2.41</v>
      </c>
      <c r="J544" s="16" t="n">
        <v>3.025</v>
      </c>
      <c r="K544" s="16" t="n">
        <v>2.275</v>
      </c>
      <c r="L544" s="16" t="n">
        <v>2.25</v>
      </c>
      <c r="M544" s="9">
        <f>($C544-$B544)*100</f>
        <v/>
      </c>
      <c r="N544" s="9">
        <f>($D544-$C544)*100</f>
        <v/>
      </c>
      <c r="O544" s="9">
        <f>($F544-$E544)*100</f>
        <v/>
      </c>
      <c r="P544" s="9">
        <f>($J544-$I544)*100</f>
        <v/>
      </c>
    </row>
    <row r="545">
      <c r="A545" s="17" t="n">
        <v>46136</v>
      </c>
      <c r="B545" s="16" t="n">
        <v>1.363</v>
      </c>
      <c r="C545" s="16" t="n">
        <v>2.443</v>
      </c>
      <c r="D545" s="16" t="n">
        <v>3.66</v>
      </c>
      <c r="E545" s="16" t="n">
        <v>3.78</v>
      </c>
      <c r="F545" s="16" t="n">
        <v>4.31</v>
      </c>
      <c r="G545" s="16" t="n">
        <v>3.737</v>
      </c>
      <c r="H545" s="16" t="n">
        <v>3.001</v>
      </c>
      <c r="I545" s="16" t="n">
        <v>2.542</v>
      </c>
      <c r="J545" s="16" t="n">
        <v>3.0707</v>
      </c>
      <c r="K545" s="16" t="n">
        <v>2.32</v>
      </c>
      <c r="L545" s="16" t="n">
        <v>2.23</v>
      </c>
      <c r="M545" s="9">
        <f>($C545-$B545)*100</f>
        <v/>
      </c>
      <c r="N545" s="9">
        <f>($D545-$C545)*100</f>
        <v/>
      </c>
      <c r="O545" s="9">
        <f>($F545-$E545)*100</f>
        <v/>
      </c>
      <c r="P545" s="9">
        <f>($J545-$I545)*100</f>
        <v/>
      </c>
    </row>
    <row r="546">
      <c r="A546" s="17" t="n">
        <v>46143</v>
      </c>
      <c r="B546" s="16" t="n">
        <v>1.385</v>
      </c>
      <c r="C546" s="16" t="n">
        <v>2.507</v>
      </c>
      <c r="D546" s="16" t="n">
        <v>3.706</v>
      </c>
      <c r="E546" s="16" t="n">
        <v>3.88</v>
      </c>
      <c r="F546" s="16" t="n">
        <v>4.39</v>
      </c>
      <c r="G546" s="16" t="n">
        <v>4.075</v>
      </c>
      <c r="H546" s="16" t="n">
        <v>3.0465</v>
      </c>
      <c r="I546" s="16" t="n">
        <v>2.6059</v>
      </c>
      <c r="J546" s="16" t="n">
        <v>3.094</v>
      </c>
      <c r="K546" s="16" t="n">
        <v>2.47</v>
      </c>
      <c r="L546" s="16" t="n">
        <v>2.22</v>
      </c>
      <c r="M546" s="9">
        <f>($C546-$B546)*100</f>
        <v/>
      </c>
      <c r="N546" s="9">
        <f>($D546-$C546)*100</f>
        <v/>
      </c>
      <c r="O546" s="9">
        <f>($F546-$E546)*100</f>
        <v/>
      </c>
      <c r="P546" s="9">
        <f>($J546-$I546)*100</f>
        <v/>
      </c>
    </row>
    <row r="547">
      <c r="A547" s="17" t="n">
        <v>46150</v>
      </c>
      <c r="B547" s="16" t="n">
        <v>1.378</v>
      </c>
      <c r="C547" s="16" t="n">
        <v>2.485</v>
      </c>
      <c r="D547" s="16" t="n">
        <v>3.706</v>
      </c>
      <c r="E547" s="16" t="n">
        <v>3.9</v>
      </c>
      <c r="F547" s="16" t="n">
        <v>4.38</v>
      </c>
      <c r="G547" s="16" t="n">
        <v>4.075</v>
      </c>
      <c r="H547" s="16" t="n">
        <v>3.0465</v>
      </c>
      <c r="I547" s="16" t="n">
        <v>2.5403</v>
      </c>
      <c r="J547" s="16" t="n">
        <v>3.0523</v>
      </c>
      <c r="K547" s="16" t="n">
        <v>2.508</v>
      </c>
      <c r="L547" s="16" t="n">
        <v>2.4</v>
      </c>
      <c r="M547" s="9">
        <f>($C547-$B547)*100</f>
        <v/>
      </c>
      <c r="N547" s="9">
        <f>($D547-$C547)*100</f>
        <v/>
      </c>
      <c r="O547" s="9">
        <f>($F547-$E547)*100</f>
        <v/>
      </c>
      <c r="P547" s="9">
        <f>($J547-$I547)*100</f>
        <v/>
      </c>
    </row>
    <row r="548">
      <c r="A548" s="17" t="n">
        <v>46157</v>
      </c>
      <c r="B548" s="16" t="n">
        <v>1.413</v>
      </c>
      <c r="C548" s="16" t="n">
        <v>2.691</v>
      </c>
      <c r="D548" s="16" t="n">
        <v>3.922</v>
      </c>
      <c r="E548" s="16" t="n">
        <v>4.09</v>
      </c>
      <c r="F548" s="16" t="n">
        <v>4.59</v>
      </c>
      <c r="G548" s="16" t="n">
        <v>4.075</v>
      </c>
      <c r="H548" s="16" t="n">
        <v>3.0465</v>
      </c>
      <c r="I548" s="16" t="n">
        <v>2.6868</v>
      </c>
      <c r="J548" s="16" t="n">
        <v>3.1951</v>
      </c>
      <c r="K548" s="16" t="n">
        <v>2.64</v>
      </c>
      <c r="L548" s="16" t="n">
        <v>2.5</v>
      </c>
      <c r="M548" s="9">
        <f>($C548-$B548)*100</f>
        <v/>
      </c>
      <c r="N548" s="9">
        <f>($D548-$C548)*100</f>
        <v/>
      </c>
      <c r="O548" s="9">
        <f>($F548-$E548)*100</f>
        <v/>
      </c>
      <c r="P548" s="9">
        <f>($J548-$I548)*100</f>
        <v/>
      </c>
    </row>
    <row r="549">
      <c r="A549" s="17" t="n">
        <v>46164</v>
      </c>
      <c r="B549" s="16" t="n">
        <v>1.443</v>
      </c>
      <c r="C549" s="16" t="n">
        <v>2.749</v>
      </c>
      <c r="D549" s="16" t="n">
        <v>3.931</v>
      </c>
      <c r="E549" s="16" t="n">
        <v>4.13</v>
      </c>
      <c r="F549" s="16" t="n">
        <v>4.56</v>
      </c>
      <c r="G549" s="16" t="n">
        <v>4.075</v>
      </c>
      <c r="H549" s="16" t="n">
        <v>3.0465</v>
      </c>
      <c r="I549" s="16" t="n">
        <v>2.5735</v>
      </c>
      <c r="J549" s="16" t="n">
        <v>3.083</v>
      </c>
      <c r="K549" s="16" t="n">
        <v>2.704</v>
      </c>
      <c r="L549" s="16" t="n">
        <v>2.42</v>
      </c>
      <c r="M549" s="9">
        <f>($C549-$B549)*100</f>
        <v/>
      </c>
      <c r="N549" s="9">
        <f>($D549-$C549)*100</f>
        <v/>
      </c>
      <c r="O549" s="9">
        <f>($F549-$E549)*100</f>
        <v/>
      </c>
      <c r="P549" s="9">
        <f>($J549-$I549)*100</f>
        <v/>
      </c>
    </row>
    <row r="550">
      <c r="A550" s="17" t="n">
        <v>46171</v>
      </c>
      <c r="B550" s="16" t="n">
        <v>1.393</v>
      </c>
      <c r="C550" s="16" t="n">
        <v>2.657</v>
      </c>
      <c r="D550" s="16" t="n">
        <v>3.859</v>
      </c>
      <c r="E550" s="16" t="n">
        <v>3.98</v>
      </c>
      <c r="F550" s="16" t="n">
        <v>4.45</v>
      </c>
      <c r="G550" s="16" t="n">
        <v>4.075</v>
      </c>
      <c r="H550" s="16" t="n">
        <v>3.0465</v>
      </c>
      <c r="I550" s="16" t="n">
        <v>2.5007</v>
      </c>
      <c r="J550" s="16" t="n">
        <v>3.0166</v>
      </c>
      <c r="K550" s="16" t="n">
        <v>2.723</v>
      </c>
      <c r="L550" s="16" t="n">
        <v>2.42</v>
      </c>
      <c r="M550" s="9">
        <f>($C550-$B550)*100</f>
        <v/>
      </c>
      <c r="N550" s="9">
        <f>($D550-$C550)*100</f>
        <v/>
      </c>
      <c r="O550" s="9">
        <f>($F550-$E550)*100</f>
        <v/>
      </c>
      <c r="P550" s="9">
        <f>($J550-$I550)*100</f>
        <v/>
      </c>
    </row>
    <row r="551">
      <c r="A551" s="17" t="n">
        <v>46178</v>
      </c>
      <c r="B551" s="16" t="n">
        <v>1.412</v>
      </c>
      <c r="C551" s="16" t="n">
        <v>2.669</v>
      </c>
      <c r="D551" s="16" t="n">
        <v>3.841</v>
      </c>
      <c r="E551" s="16" t="n">
        <v>4.17</v>
      </c>
      <c r="F551" s="16" t="n">
        <v>4.55</v>
      </c>
      <c r="G551" s="16" t="n">
        <v>4.181</v>
      </c>
      <c r="H551" s="16" t="n">
        <v>2.97</v>
      </c>
      <c r="I551" s="16" t="n">
        <v>2.6015</v>
      </c>
      <c r="J551" s="16" t="n">
        <v>3.0877</v>
      </c>
      <c r="K551" s="16" t="n">
        <v>2.772</v>
      </c>
      <c r="L551" s="16" t="n">
        <v>2.4</v>
      </c>
      <c r="M551" s="9">
        <f>($C551-$B551)*100</f>
        <v/>
      </c>
      <c r="N551" s="9">
        <f>($D551-$C551)*100</f>
        <v/>
      </c>
      <c r="O551" s="9">
        <f>($F551-$E551)*100</f>
        <v/>
      </c>
      <c r="P551" s="9">
        <f>($J551-$I551)*100</f>
        <v/>
      </c>
    </row>
    <row r="552">
      <c r="A552" s="17" t="n">
        <v>46185</v>
      </c>
      <c r="B552" s="16" t="n">
        <v>1.417</v>
      </c>
      <c r="C552" s="16" t="n">
        <v>2.643</v>
      </c>
      <c r="D552" s="16" t="n">
        <v>3.767</v>
      </c>
      <c r="E552" s="16" t="n">
        <v>4.09</v>
      </c>
      <c r="F552" s="16" t="n">
        <v>4.48</v>
      </c>
      <c r="G552" s="16" t="n">
        <v>4.181</v>
      </c>
      <c r="H552" s="16" t="n">
        <v>2.97</v>
      </c>
      <c r="I552" s="16" t="n">
        <v>2.5776</v>
      </c>
      <c r="J552" s="16" t="n">
        <v>3.0695</v>
      </c>
      <c r="K552" s="16" t="n">
        <v>2.823</v>
      </c>
      <c r="L552" s="16" t="n">
        <v>2.42</v>
      </c>
      <c r="M552" s="9">
        <f>($C552-$B552)*100</f>
        <v/>
      </c>
      <c r="N552" s="9">
        <f>($D552-$C552)*100</f>
        <v/>
      </c>
      <c r="O552" s="9">
        <f>($F552-$E552)*100</f>
        <v/>
      </c>
      <c r="P552" s="9">
        <f>($J552-$I552)*100</f>
        <v/>
      </c>
    </row>
    <row r="553">
      <c r="A553" s="17" t="n">
        <v>46192</v>
      </c>
      <c r="B553" s="16" t="n">
        <v>1.409</v>
      </c>
      <c r="C553" s="16" t="n">
        <v>2.656</v>
      </c>
      <c r="D553" s="16" t="n">
        <v>3.786</v>
      </c>
      <c r="E553" s="16" t="n">
        <v>4.19</v>
      </c>
      <c r="F553" s="16" t="n">
        <v>4.46</v>
      </c>
      <c r="G553" s="16" t="n">
        <v>4.181</v>
      </c>
      <c r="H553" s="16" t="n">
        <v>2.97</v>
      </c>
      <c r="I553" s="16" t="n">
        <v>2.5759</v>
      </c>
      <c r="J553" s="16" t="n">
        <v>3.0367</v>
      </c>
      <c r="K553" s="16" t="n">
        <v>2.896</v>
      </c>
      <c r="L553" s="16" t="n">
        <v>2.5</v>
      </c>
      <c r="M553" s="9">
        <f>($C553-$B553)*100</f>
        <v/>
      </c>
      <c r="N553" s="9">
        <f>($D553-$C553)*100</f>
        <v/>
      </c>
      <c r="O553" s="9">
        <f>($F553-$E553)*100</f>
        <v/>
      </c>
      <c r="P553" s="9">
        <f>($J553-$I553)*100</f>
        <v/>
      </c>
    </row>
    <row r="554">
      <c r="A554" s="17" t="n">
        <v>46199</v>
      </c>
      <c r="B554" s="16" t="n">
        <v>1.409</v>
      </c>
      <c r="C554" s="16" t="n">
        <v>2.611</v>
      </c>
      <c r="D554" s="16" t="n">
        <v>3.759</v>
      </c>
      <c r="E554" s="16" t="n">
        <v>4.07</v>
      </c>
      <c r="F554" s="16" t="n">
        <v>4.38</v>
      </c>
      <c r="G554" s="16" t="n">
        <v>4.181</v>
      </c>
      <c r="H554" s="16" t="n">
        <v>2.97</v>
      </c>
      <c r="I554" s="16" t="n">
        <v>2.4529</v>
      </c>
      <c r="J554" s="16" t="n">
        <v>2.9224</v>
      </c>
      <c r="K554" s="16" t="n">
        <v>2.889</v>
      </c>
      <c r="L554" s="16" t="n">
        <v>2.47</v>
      </c>
      <c r="M554" s="9">
        <f>($C554-$B554)*100</f>
        <v/>
      </c>
      <c r="N554" s="9">
        <f>($D554-$C554)*100</f>
        <v/>
      </c>
      <c r="O554" s="9">
        <f>($F554-$E554)*100</f>
        <v/>
      </c>
      <c r="P554" s="9">
        <f>($J554-$I554)*100</f>
        <v/>
      </c>
    </row>
    <row r="555">
      <c r="A555" s="17" t="n">
        <v>46206</v>
      </c>
      <c r="B555" s="16" t="n">
        <v>1.39</v>
      </c>
      <c r="C555" s="16" t="n">
        <v>2.768</v>
      </c>
      <c r="D555" s="16" t="n">
        <v>3.94</v>
      </c>
      <c r="E555" s="16" t="n">
        <v>4.14</v>
      </c>
      <c r="F555" s="16" t="n">
        <v>4.49</v>
      </c>
      <c r="G555" s="16" t="n">
        <v>4.181</v>
      </c>
      <c r="H555" s="16" t="n">
        <v>2.97</v>
      </c>
      <c r="I555" s="16" t="n">
        <v>2.4707</v>
      </c>
      <c r="J555" s="16" t="n">
        <v>3.0061</v>
      </c>
      <c r="K555" s="16" t="n">
        <v>2.947</v>
      </c>
      <c r="L555" s="16" t="n">
        <v>2.47</v>
      </c>
      <c r="M555" s="9">
        <f>($C555-$B555)*100</f>
        <v/>
      </c>
      <c r="N555" s="9">
        <f>($D555-$C555)*100</f>
        <v/>
      </c>
      <c r="O555" s="9">
        <f>($F555-$E555)*100</f>
        <v/>
      </c>
      <c r="P555" s="9">
        <f>($J555-$I555)*100</f>
        <v/>
      </c>
    </row>
    <row r="556">
      <c r="A556" s="17" t="n">
        <v>46213</v>
      </c>
      <c r="B556" s="16" t="n">
        <v>1.434</v>
      </c>
      <c r="C556" s="16" t="n">
        <v>2.761</v>
      </c>
      <c r="D556" s="16" t="n">
        <v>3.938</v>
      </c>
      <c r="E556" s="16" t="n">
        <v>4.21</v>
      </c>
      <c r="F556" s="16" t="n">
        <v>4.56</v>
      </c>
      <c r="G556" s="16" t="n">
        <v>4.181</v>
      </c>
      <c r="H556" s="16" t="n">
        <v>2.97</v>
      </c>
      <c r="I556" s="16" t="n">
        <v>2.5993</v>
      </c>
      <c r="J556" s="16" t="n">
        <v>3.1086</v>
      </c>
      <c r="K556" s="16" t="n">
        <v>2.951</v>
      </c>
      <c r="L556" s="16" t="n">
        <v>2.5</v>
      </c>
      <c r="M556" s="9">
        <f>($C556-$B556)*100</f>
        <v/>
      </c>
      <c r="N556" s="9">
        <f>($D556-$C556)*100</f>
        <v/>
      </c>
      <c r="O556" s="9">
        <f>($F556-$E556)*100</f>
        <v/>
      </c>
      <c r="P556" s="9">
        <f>($J556-$I556)*100</f>
        <v/>
      </c>
    </row>
    <row r="557">
      <c r="A557" s="17" t="n">
        <v>46220</v>
      </c>
      <c r="B557" s="16" t="n">
        <v>1.436</v>
      </c>
      <c r="C557" s="16" t="n">
        <v>2.715</v>
      </c>
      <c r="D557" s="16" t="n">
        <v>3.894</v>
      </c>
      <c r="E557" s="16" t="n">
        <v>4.18</v>
      </c>
      <c r="F557" s="16" t="n">
        <v>4.55</v>
      </c>
      <c r="G557" s="16" t="n">
        <v>4.181</v>
      </c>
      <c r="H557" s="16" t="n">
        <v>2.97</v>
      </c>
      <c r="I557" s="16" t="n">
        <v>2.6977</v>
      </c>
      <c r="J557" s="16" t="n">
        <v>3.1521</v>
      </c>
      <c r="K557" s="16" t="n">
        <v>2.916</v>
      </c>
      <c r="L557" s="16" t="n">
        <v>2.62</v>
      </c>
      <c r="M557" s="9">
        <f>($C557-$B557)*100</f>
        <v/>
      </c>
      <c r="N557" s="9">
        <f>($D557-$C557)*100</f>
        <v/>
      </c>
      <c r="O557" s="9">
        <f>($F557-$E557)*100</f>
        <v/>
      </c>
      <c r="P557" s="9">
        <f>($J557-$I557)*100</f>
        <v/>
      </c>
    </row>
    <row r="558">
      <c r="A558" s="17" t="n">
        <v>46227</v>
      </c>
      <c r="B558" s="16" t="n">
        <v>1.531</v>
      </c>
      <c r="C558" s="16" t="n">
        <v>2.815</v>
      </c>
      <c r="D558" s="16" t="n">
        <v>3.98</v>
      </c>
      <c r="E558" s="16" t="n">
        <v>4.33</v>
      </c>
      <c r="F558" s="16" t="n">
        <v>4.69</v>
      </c>
      <c r="G558" s="16" t="n">
        <v>4.181</v>
      </c>
      <c r="H558" s="16" t="n">
        <v>2.97</v>
      </c>
      <c r="I558" s="16" t="n">
        <v>2.772</v>
      </c>
      <c r="J558" s="16" t="n">
        <v>3.207</v>
      </c>
      <c r="K558" s="16" t="n">
        <v>3.074</v>
      </c>
      <c r="L558" s="16" t="n">
        <v>2.67</v>
      </c>
      <c r="M558" s="9">
        <f>($C558-$B558)*100</f>
        <v/>
      </c>
      <c r="N558" s="9">
        <f>($D558-$C558)*100</f>
        <v/>
      </c>
      <c r="O558" s="9">
        <f>($F558-$E558)*100</f>
        <v/>
      </c>
      <c r="P558" s="9">
        <f>($J558-$I558)*100</f>
        <v/>
      </c>
    </row>
    <row r="559">
      <c r="A559" s="17" t="n">
        <v>46234</v>
      </c>
      <c r="B559" s="16" t="n">
        <v>1.507</v>
      </c>
      <c r="C559" s="16" t="n">
        <v>2.801</v>
      </c>
      <c r="D559" s="16" t="n">
        <v>3.982</v>
      </c>
      <c r="E559" s="16" t="n">
        <v>4.28</v>
      </c>
      <c r="F559" s="16" t="n">
        <v>4.75</v>
      </c>
      <c r="G559" s="16" t="n">
        <v>4.181</v>
      </c>
      <c r="H559" s="16" t="n">
        <v>2.97</v>
      </c>
      <c r="I559" s="16" t="n">
        <v>2.7608</v>
      </c>
      <c r="J559" s="16" t="n">
        <v>3.2273</v>
      </c>
      <c r="K559" s="16" t="n">
        <v>3.016</v>
      </c>
      <c r="L559" s="16" t="n">
        <v>2.69</v>
      </c>
      <c r="M559" s="9">
        <f>($C559-$B559)*100</f>
        <v/>
      </c>
      <c r="N559" s="9">
        <f>($D559-$C559)*100</f>
        <v/>
      </c>
      <c r="O559" s="9">
        <f>($F559-$E559)*100</f>
        <v/>
      </c>
      <c r="P559" s="9">
        <f>($J559-$I559)*100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34" customWidth="1" min="1" max="1"/>
    <col width="46" customWidth="1" min="2" max="2"/>
    <col width="52" customWidth="1" min="3" max="3"/>
  </cols>
  <sheetData>
    <row r="1">
      <c r="A1" s="1" t="inlineStr">
        <is>
          <t>What is not here, and why</t>
        </is>
      </c>
    </row>
    <row r="3" ht="4" customHeight="1">
      <c r="A3" s="3" t="n"/>
      <c r="B3" s="3" t="n"/>
      <c r="C3" s="3" t="n"/>
      <c r="D3" s="3" t="n"/>
      <c r="E3" s="3" t="n"/>
      <c r="F3" s="3" t="n"/>
      <c r="G3" s="3" t="n"/>
      <c r="H3" s="3" t="n"/>
    </row>
    <row r="5" ht="26" customHeight="1">
      <c r="A5" s="4" t="inlineStr">
        <is>
          <t>Wanted</t>
        </is>
      </c>
      <c r="B5" s="4" t="inlineStr">
        <is>
          <t>Why it is missing</t>
        </is>
      </c>
      <c r="C5" s="4" t="inlineStr">
        <is>
          <t>What to use if a terminal ever appears</t>
        </is>
      </c>
    </row>
    <row r="6" ht="58" customHeight="1">
      <c r="A6" s="13" t="inlineStr">
        <is>
          <t>Forward P/E, all five markets</t>
        </is>
      </c>
      <c r="B6" s="8" t="inlineStr">
        <is>
          <t>IBES consensus is licensed. No exchange publishes a forward index multiple. Japan is drawn on the exchange's trailing PER instead.</t>
        </is>
      </c>
      <c r="C6" s="8" t="inlineStr">
        <is>
          <t>BEST_PE_RATIO with BEST_FPERIOD_OVERRIDE=1BF</t>
        </is>
      </c>
    </row>
    <row r="7" ht="58" customHeight="1">
      <c r="A7" s="13" t="inlineStr">
        <is>
          <t>3 month EPS revision ratio</t>
        </is>
      </c>
      <c r="B7" s="8" t="inlineStr">
        <is>
          <t>A revision measure needs the estimate panel itself. Nothing public carries it. Realised earnings momentum is drawn instead, which moves later than revisions do.</t>
        </is>
      </c>
      <c r="C7" s="8" t="inlineStr">
        <is>
          <t>BQL over index members on pct_chg(best_eps(fpo='1BF'),'-3M')</t>
        </is>
      </c>
    </row>
    <row r="8" ht="58" customHeight="1">
      <c r="A8" s="13" t="inlineStr">
        <is>
          <t>FY26 and FY27 consensus EPS growth</t>
        </is>
      </c>
      <c r="B8" s="8" t="inlineStr">
        <is>
          <t>Forecast earnings are licensed. Realised year on year growth from JPX is drawn instead and is a different thing.</t>
        </is>
      </c>
      <c r="C8" s="8" t="inlineStr">
        <is>
          <t>BEST_EPS with 1BF and 2BF overrides</t>
        </is>
      </c>
    </row>
    <row r="9" ht="58" customHeight="1">
      <c r="A9" s="13" t="inlineStr">
        <is>
          <t>OIS-implied policy path</t>
        </is>
      </c>
      <c r="B9" s="8" t="inlineStr">
        <is>
          <t>Dealer curve data with no open equivalent.</t>
        </is>
      </c>
      <c r="C9" s="8" t="inlineStr">
        <is>
          <t>JYSO1, JYSO2 and the 1y1y forward</t>
        </is>
      </c>
    </row>
    <row r="10" ht="58" customHeight="1">
      <c r="A10" s="13" t="inlineStr">
        <is>
          <t>China, Hong Kong and Taiwan 10y</t>
        </is>
      </c>
      <c r="B10" s="8" t="inlineStr">
        <is>
          <t>No open daily publisher. Stooq and the OECD API sit behind bot challenges, HKMA's open API does not carry bond yields, and KRX refuses programmatic access.</t>
        </is>
      </c>
      <c r="C10" s="8" t="inlineStr">
        <is>
          <t>GCNY10YR, HKGG10Y, GVTW10YR</t>
        </is>
      </c>
    </row>
    <row r="11" ht="58" customHeight="1">
      <c r="A11" s="13" t="inlineStr">
        <is>
          <t>Core CPI outside Japan</t>
        </is>
      </c>
      <c r="B11" s="8" t="inlineStr">
        <is>
          <t>FRED's OECD-sourced Asian CPI feeds were discontinued and end in April 2025 or earlier. A 15 month stale core print would make the real yield wrong rather than absent.</t>
        </is>
      </c>
      <c r="C11" s="8" t="inlineStr">
        <is>
          <t>CHEFTYOY, KRCPCORY, TWCPCORY</t>
        </is>
      </c>
    </row>
    <row r="12" ht="58" customHeight="1">
      <c r="A12" s="13" t="inlineStr">
        <is>
          <t>Korea 3y, for KTB 3s10s</t>
        </is>
      </c>
      <c r="B12" s="8" t="inlineStr">
        <is>
          <t>Korea publishes no open short-tenor series and KRX blocks the data portal.</t>
        </is>
      </c>
      <c r="C12" s="8" t="inlineStr">
        <is>
          <t>GVSK3YR</t>
        </is>
      </c>
    </row>
    <row r="13" ht="58" customHeight="1">
      <c r="A13" s="13" t="inlineStr">
        <is>
          <t>Five year valuation band outside Japan and Taiwan</t>
        </is>
      </c>
      <c r="B13" s="8" t="inlineStr">
        <is>
          <t>All five current multiples are drawn from iShares fund data. Only JPX and TWSE publish enough history to compute a mean and standard deviation; BlackRock publishes no history of the field.</t>
        </is>
      </c>
      <c r="C13" s="8" t="inlineStr">
        <is>
          <t>BEST_PE_RATIO with a date range</t>
        </is>
      </c>
    </row>
    <row r="15">
      <c r="A15" s="8" t="inlineStr">
        <is>
          <t>Nothing above has been approximated into existence. An empty cell means no open source was found, not that the number is zero.</t>
        </is>
      </c>
    </row>
  </sheetData>
  <mergeCells count="1">
    <mergeCell ref="A15:C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26" customWidth="1" min="1" max="1"/>
    <col width="104" customWidth="1" min="2" max="2"/>
  </cols>
  <sheetData>
    <row r="1">
      <c r="A1" s="1" t="inlineStr">
        <is>
          <t>Sources and method</t>
        </is>
      </c>
    </row>
    <row r="3" ht="4" customHeight="1">
      <c r="A3" s="3" t="n"/>
      <c r="B3" s="3" t="n"/>
      <c r="C3" s="3" t="n"/>
      <c r="D3" s="3" t="n"/>
      <c r="E3" s="3" t="n"/>
      <c r="F3" s="3" t="n"/>
      <c r="G3" s="3" t="n"/>
      <c r="H3" s="3" t="n"/>
    </row>
    <row r="5" ht="44" customHeight="1">
      <c r="A5" s="18" t="inlineStr">
        <is>
          <t>JPX</t>
        </is>
      </c>
      <c r="B5" s="13" t="inlineStr">
        <is>
          <t>Average PER and PBR by size and industry, one workbook a month, 79 months from January 2020. Simple average trailing PER on reported consolidated earnings for the Prime market, which was the First Section before April 2022.</t>
        </is>
      </c>
    </row>
    <row r="6" ht="44" customHeight="1">
      <c r="A6" s="18" t="inlineStr">
        <is>
          <t>MOF</t>
        </is>
      </c>
      <c r="B6" s="13" t="inlineStr">
        <is>
          <t>The whole JGB curve, 1y to 40y, every business day since 1974.</t>
        </is>
      </c>
    </row>
    <row r="7" ht="44" customHeight="1">
      <c r="A7" s="18" t="inlineStr">
        <is>
          <t>FRED</t>
        </is>
      </c>
      <c r="B7" s="13" t="inlineStr">
        <is>
          <t>DGS2 and DGS10 daily; Korea and Germany long rates from the OECD monthly series, about two months behind.</t>
        </is>
      </c>
    </row>
    <row r="8" ht="44" customHeight="1">
      <c r="A8" s="18" t="inlineStr">
        <is>
          <t>ECB</t>
        </is>
      </c>
      <c r="B8" s="13" t="inlineStr">
        <is>
          <t>Euro area AAA government spot curve, 2y and 10y, daily.</t>
        </is>
      </c>
    </row>
    <row r="9" ht="58" customHeight="1">
      <c r="A9" s="18" t="inlineStr">
        <is>
          <t>Rengo</t>
        </is>
      </c>
      <c r="B9" s="13" t="inlineStr">
        <is>
          <t>Rengo final tally. 2026 at 5.01% reported 3 July 2026, 0.24pp below 2025 and the third consecutive year above 5%.</t>
        </is>
      </c>
    </row>
    <row r="10" ht="72" customHeight="1">
      <c r="A10" s="18" t="inlineStr">
        <is>
          <t>Statistics Bureau of Japan</t>
        </is>
      </c>
      <c r="B10" s="13" t="inlineStr">
        <is>
          <t>Statistics Bureau of Japan via press reporting: core-core at 2.0% year on year in July 2026, up from 1.9% in June. These two prints are the only ones sourced. FRED's Japan CPI feed ends June 2021 and the OECD API is behind a bot challenge, so the history is a Bloomberg field rather than typed.</t>
        </is>
      </c>
    </row>
    <row r="12">
      <c r="A12" s="11" t="inlineStr">
        <is>
          <t>Two things the free data changes</t>
        </is>
      </c>
    </row>
    <row r="13" ht="44" customHeight="1">
      <c r="A13" s="13" t="inlineStr">
        <is>
          <t>◆  The multiple is trailing, not forward. JPX computes it on reported earnings. A forward consensus multiple is a different number and is usually lower where earnings are rising, so this exhibit reads more expensive than an IBES-based one would.</t>
        </is>
      </c>
    </row>
    <row r="14" ht="44" customHeight="1">
      <c r="A14" s="13" t="inlineStr">
        <is>
          <t>◆  Sector growth is realised, not forecast. It is the change in reported earnings per share against the same month a year earlier, which turns later than an estimate revision does.</t>
        </is>
      </c>
    </row>
    <row r="16">
      <c r="A16" s="11" t="inlineStr">
        <is>
          <t>Method</t>
        </is>
      </c>
    </row>
    <row r="17" ht="58" customHeight="1">
      <c r="A17" s="13" t="inlineStr">
        <is>
          <t>◆  The JPX workbooks up to early 2022 store every figure as a literal formula, the string "=17.2" rather than the number, with no cached result. Read with data_only they come back empty, which silently produced a file where only the most recent 21 of 79 months carried data. The puller reads raw and strips the leading equals, and now fails loudly if fewer than nine in ten months carry a PER.</t>
        </is>
      </c>
    </row>
    <row r="18" ht="58" customHeight="1">
      <c r="A18" s="13" t="inlineStr">
        <is>
          <t>◆  Percentiles are written as COUNTIF over the whole column, which is the definition of the statistic spelled out and auditable in one click.</t>
        </is>
      </c>
    </row>
    <row r="19" ht="58" customHeight="1">
      <c r="A19" s="13" t="inlineStr">
        <is>
          <t>◆  The range markers are custom error bars, so the band is read off the same cells as the table beside it.</t>
        </is>
      </c>
    </row>
    <row r="20" ht="58" customHeight="1">
      <c r="A20" s="13" t="inlineStr">
        <is>
          <t>◆  The allocation calls on slide 3 are judgement. Every other number in this workbook is pulled from a named public source.</t>
        </is>
      </c>
    </row>
  </sheetData>
  <mergeCells count="6">
    <mergeCell ref="A13:F13"/>
    <mergeCell ref="A14:F14"/>
    <mergeCell ref="A19:F19"/>
    <mergeCell ref="A17:F17"/>
    <mergeCell ref="A18:F18"/>
    <mergeCell ref="A20:F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Nigel Li</dc:creator>
  <dc:title xmlns:dc="http://purl.org/dc/elements/1.1/">Asia allocation exhibits</dc:title>
  <dc:description xmlns:dc="http://purl.org/dc/elements/1.1/">Exhibits built entirely from open data: JPX, MOF, FRED, ECB and Rengo.</dc:description>
  <dc:subject xmlns:dc="http://purl.org/dc/elements/1.1/">Asian equities, fixed income and cross-asset positioning</dc:subject>
  <dcterms:created xmlns:dcterms="http://purl.org/dc/terms/" xmlns:xsi="http://www.w3.org/2001/XMLSchema-instance" xsi:type="dcterms:W3CDTF">2026-08-08T16:20:56Z</dcterms:created>
  <dcterms:modified xmlns:dcterms="http://purl.org/dc/terms/" xmlns:xsi="http://www.w3.org/2001/XMLSchema-instance" xsi:type="dcterms:W3CDTF">2026-08-08T16:20:56Z</dcterms:modified>
  <cp:lastModifiedBy>Nigel Li</cp:lastModifiedBy>
  <cp:category>Markets</cp:category>
  <cp:revision>1</cp:revision>
  <cp:keywords>asia; equities; rates; allocation</cp:keywords>
</cp:coreProperties>
</file>