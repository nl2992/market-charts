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drawings/drawing1.xml" ContentType="application/vnd.openxmlformats-officedocument.drawing+xml"/>
  <Override PartName="/xl/worksheets/sheet4.xml" ContentType="application/vnd.openxmlformats-officedocument.spreadsheetml.worksheet+xml"/>
  <Override PartName="/xl/drawings/drawing2.xml" ContentType="application/vnd.openxmlformats-officedocument.drawing+xml"/>
  <Override PartName="/xl/worksheets/sheet5.xml" ContentType="application/vnd.openxmlformats-officedocument.spreadsheetml.worksheet+xml"/>
  <Override PartName="/xl/drawings/drawing3.xml" ContentType="application/vnd.openxmlformats-officedocument.drawing+xml"/>
  <Override PartName="/xl/worksheets/sheet6.xml" ContentType="application/vnd.openxmlformats-officedocument.spreadsheetml.worksheet+xml"/>
  <Override PartName="/xl/drawings/drawing4.xml" ContentType="application/vnd.openxmlformats-officedocument.drawing+xml"/>
  <Override PartName="/xl/worksheets/sheet7.xml" ContentType="application/vnd.openxmlformats-officedocument.spreadsheetml.worksheet+xml"/>
  <Override PartName="/xl/drawings/drawing5.xml" ContentType="application/vnd.openxmlformats-officedocument.drawing+xml"/>
  <Override PartName="/xl/worksheets/sheet8.xml" ContentType="application/vnd.openxmlformats-officedocument.spreadsheetml.worksheet+xml"/>
  <Override PartName="/xl/drawings/drawing6.xml" ContentType="application/vnd.openxmlformats-officedocument.drawing+xml"/>
  <Override PartName="/xl/worksheets/sheet9.xml" ContentType="application/vnd.openxmlformats-officedocument.spreadsheetml.worksheet+xml"/>
  <Override PartName="/xl/drawings/drawing7.xml" ContentType="application/vnd.openxmlformats-officedocument.drawing+xml"/>
  <Override PartName="/xl/worksheets/sheet10.xml" ContentType="application/vnd.openxmlformats-officedocument.spreadsheetml.worksheet+xml"/>
  <Override PartName="/xl/drawings/drawing8.xml" ContentType="application/vnd.openxmlformats-officedocument.drawing+xml"/>
  <Override PartName="/xl/worksheets/sheet11.xml" ContentType="application/vnd.openxmlformats-officedocument.spreadsheetml.worksheet+xml"/>
  <Override PartName="/xl/drawings/drawing9.xml" ContentType="application/vnd.openxmlformats-officedocument.drawing+xml"/>
  <Override PartName="/xl/worksheets/sheet12.xml" ContentType="application/vnd.openxmlformats-officedocument.spreadsheetml.worksheet+xml"/>
  <Override PartName="/xl/drawings/drawing10.xml" ContentType="application/vnd.openxmlformats-officedocument.drawing+xml"/>
  <Override PartName="/xl/worksheets/sheet13.xml" ContentType="application/vnd.openxmlformats-officedocument.spreadsheetml.worksheet+xml"/>
  <Override PartName="/xl/drawings/drawing11.xml" ContentType="application/vnd.openxmlformats-officedocument.drawing+xml"/>
  <Override PartName="/xl/worksheets/sheet14.xml" ContentType="application/vnd.openxmlformats-officedocument.spreadsheetml.worksheet+xml"/>
  <Override PartName="/xl/drawings/drawing12.xml" ContentType="application/vnd.openxmlformats-officedocument.drawing+xml"/>
  <Override PartName="/xl/worksheets/sheet15.xml" ContentType="application/vnd.openxmlformats-officedocument.spreadsheetml.worksheet+xml"/>
  <Override PartName="/xl/drawings/drawing13.xml" ContentType="application/vnd.openxmlformats-officedocument.drawing+xml"/>
  <Override PartName="/xl/worksheets/sheet16.xml" ContentType="application/vnd.openxmlformats-officedocument.spreadsheetml.worksheet+xml"/>
  <Override PartName="/xl/drawings/drawing14.xml" ContentType="application/vnd.openxmlformats-officedocument.drawing+xml"/>
  <Override PartName="/xl/worksheets/sheet17.xml" ContentType="application/vnd.openxmlformats-officedocument.spreadsheetml.worksheet+xml"/>
  <Override PartName="/xl/drawings/drawing15.xml" ContentType="application/vnd.openxmlformats-officedocument.drawing+xml"/>
  <Override PartName="/xl/worksheets/sheet18.xml" ContentType="application/vnd.openxmlformats-officedocument.spreadsheetml.worksheet+xml"/>
  <Override PartName="/xl/drawings/drawing16.xml" ContentType="application/vnd.openxmlformats-officedocument.drawing+xml"/>
  <Override PartName="/xl/worksheets/sheet19.xml" ContentType="application/vnd.openxmlformats-officedocument.spreadsheetml.worksheet+xml"/>
  <Override PartName="/xl/drawings/drawing17.xml" ContentType="application/vnd.openxmlformats-officedocument.drawing+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charts/chart9.xml" ContentType="application/vnd.openxmlformats-officedocument.drawingml.chart+xml"/>
  <Override PartName="/xl/charts/chart10.xml" ContentType="application/vnd.openxmlformats-officedocument.drawingml.chart+xml"/>
  <Override PartName="/xl/charts/chart11.xml" ContentType="application/vnd.openxmlformats-officedocument.drawingml.chart+xml"/>
  <Override PartName="/xl/charts/chart12.xml" ContentType="application/vnd.openxmlformats-officedocument.drawingml.chart+xml"/>
  <Override PartName="/xl/charts/chart13.xml" ContentType="application/vnd.openxmlformats-officedocument.drawingml.chart+xml"/>
  <Override PartName="/xl/charts/chart14.xml" ContentType="application/vnd.openxmlformats-officedocument.drawingml.chart+xml"/>
  <Override PartName="/xl/charts/chart15.xml" ContentType="application/vnd.openxmlformats-officedocument.drawingml.chart+xml"/>
  <Override PartName="/xl/charts/chart16.xml" ContentType="application/vnd.openxmlformats-officedocument.drawingml.chart+xml"/>
  <Override PartName="/xl/charts/chart17.xml" ContentType="application/vnd.openxmlformats-officedocument.drawingml.chart+xml"/>
  <Override PartName="/xl/charts/chart18.xml" ContentType="application/vnd.openxmlformats-officedocument.drawingml.chart+xml"/>
  <Override PartName="/xl/charts/chart19.xml" ContentType="application/vnd.openxmlformats-officedocument.drawingml.chart+xml"/>
  <Override PartName="/xl/charts/chart20.xml" ContentType="application/vnd.openxmlformats-officedocument.drawingml.chart+xml"/>
  <Override PartName="/xl/charts/chart21.xml" ContentType="application/vnd.openxmlformats-officedocument.drawingml.chart+xml"/>
  <Override PartName="/xl/charts/chart22.xml" ContentType="application/vnd.openxmlformats-officedocument.drawingml.chart+xml"/>
  <Override PartName="/xl/charts/chart23.xml" ContentType="application/vnd.openxmlformats-officedocument.drawingml.chart+xml"/>
  <Override PartName="/xl/charts/chart24.xml" ContentType="application/vnd.openxmlformats-officedocument.drawingml.chart+xml"/>
  <Override PartName="/xl/charts/chart25.xml" ContentType="application/vnd.openxmlformats-officedocument.drawingml.chart+xml"/>
  <Override PartName="/xl/charts/chart26.xml" ContentType="application/vnd.openxmlformats-officedocument.drawingml.chart+xml"/>
  <Override PartName="/xl/charts/chart27.xml" ContentType="application/vnd.openxmlformats-officedocument.drawingml.chart+xml"/>
  <Override PartName="/xl/charts/chart28.xml" ContentType="application/vnd.openxmlformats-officedocument.drawingml.chart+xml"/>
  <Override PartName="/xl/charts/chart29.xml" ContentType="application/vnd.openxmlformats-officedocument.drawingml.chart+xml"/>
  <Override PartName="/xl/charts/chart30.xml" ContentType="application/vnd.openxmlformats-officedocument.drawingml.chart+xml"/>
  <Override PartName="/xl/charts/chart31.xml" ContentType="application/vnd.openxmlformats-officedocument.drawingml.chart+xml"/>
  <Override PartName="/xl/charts/chart32.xml" ContentType="application/vnd.openxmlformats-officedocument.drawingml.chart+xml"/>
  <Override PartName="/xl/charts/chart33.xml" ContentType="application/vnd.openxmlformats-officedocument.drawingml.chart+xml"/>
  <Override PartName="/xl/charts/chart34.xml" ContentType="application/vnd.openxmlformats-officedocument.drawingml.chart+xml"/>
  <Override PartName="/xl/charts/chart35.xml" ContentType="application/vnd.openxmlformats-officedocument.drawingml.chart+xml"/>
  <Override PartName="/xl/charts/chart36.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ntrol" sheetId="1" state="visible" r:id="rId1"/>
    <sheet xmlns:r="http://schemas.openxmlformats.org/officeDocument/2006/relationships" name="Dashboard" sheetId="2" state="visible" r:id="rId2"/>
    <sheet xmlns:r="http://schemas.openxmlformats.org/officeDocument/2006/relationships" name="ERP" sheetId="3" state="visible" r:id="rId3"/>
    <sheet xmlns:r="http://schemas.openxmlformats.org/officeDocument/2006/relationships" name="StockBond" sheetId="4" state="visible" r:id="rId4"/>
    <sheet xmlns:r="http://schemas.openxmlformats.org/officeDocument/2006/relationships" name="Credit" sheetId="5" state="visible" r:id="rId5"/>
    <sheet xmlns:r="http://schemas.openxmlformats.org/officeDocument/2006/relationships" name="VolRegime" sheetId="6" state="visible" r:id="rId6"/>
    <sheet xmlns:r="http://schemas.openxmlformats.org/officeDocument/2006/relationships" name="DiscountRate" sheetId="7" state="visible" r:id="rId7"/>
    <sheet xmlns:r="http://schemas.openxmlformats.org/officeDocument/2006/relationships" name="TermsOfTrade" sheetId="8" state="visible" r:id="rId8"/>
    <sheet xmlns:r="http://schemas.openxmlformats.org/officeDocument/2006/relationships" name="Breadth" sheetId="9" state="visible" r:id="rId9"/>
    <sheet xmlns:r="http://schemas.openxmlformats.org/officeDocument/2006/relationships" name="Q2a Macro" sheetId="10" state="visible" r:id="rId10"/>
    <sheet xmlns:r="http://schemas.openxmlformats.org/officeDocument/2006/relationships" name="Q2c Valuation" sheetId="11" state="visible" r:id="rId11"/>
    <sheet xmlns:r="http://schemas.openxmlformats.org/officeDocument/2006/relationships" name="AsiaValuation" sheetId="12" state="visible" r:id="rId12"/>
    <sheet xmlns:r="http://schemas.openxmlformats.org/officeDocument/2006/relationships" name="Revisions" sheetId="13" state="visible" r:id="rId13"/>
    <sheet xmlns:r="http://schemas.openxmlformats.org/officeDocument/2006/relationships" name="SectorEPS" sheetId="14" state="visible" r:id="rId14"/>
    <sheet xmlns:r="http://schemas.openxmlformats.org/officeDocument/2006/relationships" name="RealYield" sheetId="15" state="visible" r:id="rId15"/>
    <sheet xmlns:r="http://schemas.openxmlformats.org/officeDocument/2006/relationships" name="BOJPath" sheetId="16" state="visible" r:id="rId16"/>
    <sheet xmlns:r="http://schemas.openxmlformats.org/officeDocument/2006/relationships" name="CurveSlope" sheetId="17" state="visible" r:id="rId17"/>
    <sheet xmlns:r="http://schemas.openxmlformats.org/officeDocument/2006/relationships" name="AsiaERP" sheetId="18" state="visible" r:id="rId18"/>
    <sheet xmlns:r="http://schemas.openxmlformats.org/officeDocument/2006/relationships" name="BullSteepener" sheetId="19" state="visible" r:id="rId19"/>
    <sheet xmlns:r="http://schemas.openxmlformats.org/officeDocument/2006/relationships" name="BQL" sheetId="20" state="visible" r:id="rId20"/>
    <sheet xmlns:r="http://schemas.openxmlformats.org/officeDocument/2006/relationships" name="Tickers" sheetId="21" state="visible" r:id="rId21"/>
    <sheet xmlns:r="http://schemas.openxmlformats.org/officeDocument/2006/relationships" name="Notes" sheetId="22" state="visible" r:id="rId22"/>
  </sheets>
  <definedNames>
    <definedName name="AsOf">Control!$B$6</definedName>
    <definedName name="StartLong">Control!$B$7</definedName>
    <definedName name="StartWar">Control!$B$8</definedName>
    <definedName name="StartCredit">Control!$B$9</definedName>
    <definedName name="StartYTD">Control!$B$10</definedName>
    <definedName name="Start5Y">Control!$B$11</definedName>
    <definedName name="Start10Y">Control!$B$12</definedName>
    <definedName name="CorrWindow">Control!$B$13</definedName>
    <definedName name="VolWindow">Control!$B$14</definedName>
  </definedNames>
  <calcPr calcId="124519" fullCalcOnLoad="1"/>
</workbook>
</file>

<file path=xl/styles.xml><?xml version="1.0" encoding="utf-8"?>
<styleSheet xmlns="http://schemas.openxmlformats.org/spreadsheetml/2006/main">
  <numFmts count="14">
    <numFmt numFmtId="164" formatCode="dd-mmm-yyyy"/>
    <numFmt numFmtId="165" formatCode="+#,##0.00;-#,##0.00"/>
    <numFmt numFmtId="166" formatCode="+0.0%;-0.0%"/>
    <numFmt numFmtId="167" formatCode="0.0&quot;x&quot;"/>
    <numFmt numFmtId="168" formatCode="dd-mmm-yy"/>
    <numFmt numFmtId="169" formatCode="0.0000"/>
    <numFmt numFmtId="170" formatCode="+0.0;-0.0"/>
    <numFmt numFmtId="171" formatCode="0.0%"/>
    <numFmt numFmtId="172" formatCode="0.0"/>
    <numFmt numFmtId="173" formatCode="+0.00;-0.00"/>
    <numFmt numFmtId="174" formatCode="+#,##0;-#,##0"/>
    <numFmt numFmtId="175" formatCode="#,##0.0"/>
    <numFmt numFmtId="176" formatCode="0.000"/>
    <numFmt numFmtId="177" formatCode="0.00&quot;x&quot;"/>
  </numFmts>
  <fonts count="12">
    <font>
      <name val="Calibri"/>
      <family val="2"/>
      <color theme="1"/>
      <sz val="11"/>
      <scheme val="minor"/>
    </font>
    <font>
      <name val="Arial"/>
      <b val="1"/>
      <color rgb="00000000"/>
      <sz val="14"/>
    </font>
    <font>
      <name val="Arial"/>
      <color rgb="00767576"/>
      <sz val="9"/>
    </font>
    <font>
      <name val="Arial"/>
      <b val="1"/>
      <color rgb="00FFFFFF"/>
      <sz val="10"/>
    </font>
    <font>
      <name val="Arial"/>
      <b val="1"/>
      <color rgb="00000000"/>
      <sz val="10"/>
    </font>
    <font>
      <name val="Arial"/>
      <color rgb="00000000"/>
      <sz val="10"/>
    </font>
    <font>
      <name val="Consolas"/>
      <color rgb="00000000"/>
      <sz val="9"/>
    </font>
    <font>
      <name val="Arial"/>
      <b val="1"/>
      <color rgb="00DB0011"/>
      <sz val="10"/>
    </font>
    <font>
      <name val="Arial"/>
      <b val="1"/>
      <color rgb="0000847F"/>
      <sz val="10"/>
    </font>
    <font>
      <name val="Arial"/>
      <b val="1"/>
      <color rgb="00767576"/>
      <sz val="10"/>
    </font>
    <font>
      <name val="Arial"/>
      <b val="1"/>
      <color rgb="00DB0011"/>
      <sz val="11"/>
    </font>
    <font>
      <name val="Arial"/>
      <b val="1"/>
      <color rgb="0044546A"/>
      <sz val="10"/>
    </font>
  </fonts>
  <fills count="4">
    <fill>
      <patternFill/>
    </fill>
    <fill>
      <patternFill patternType="gray125"/>
    </fill>
    <fill>
      <patternFill patternType="solid">
        <fgColor rgb="00DB0011"/>
      </patternFill>
    </fill>
    <fill>
      <patternFill patternType="solid">
        <fgColor rgb="00F5F5F5"/>
      </patternFill>
    </fill>
  </fills>
  <borders count="2">
    <border>
      <left/>
      <right/>
      <top/>
      <bottom/>
      <diagonal/>
    </border>
    <border>
      <bottom style="thin">
        <color rgb="00D0CECE"/>
      </bottom>
    </border>
  </borders>
  <cellStyleXfs count="1">
    <xf numFmtId="0" fontId="0" fillId="0" borderId="0"/>
  </cellStyleXfs>
  <cellXfs count="66">
    <xf numFmtId="0" fontId="0" fillId="0" borderId="0" pivotButton="0" quotePrefix="0" xfId="0"/>
    <xf numFmtId="0" fontId="1" fillId="0" borderId="0" pivotButton="0" quotePrefix="0" xfId="0"/>
    <xf numFmtId="0" fontId="2" fillId="0" borderId="0" pivotButton="0" quotePrefix="0" xfId="0"/>
    <xf numFmtId="0" fontId="0" fillId="2" borderId="0" pivotButton="0" quotePrefix="0" xfId="0"/>
    <xf numFmtId="0" fontId="3" fillId="2" borderId="0" applyAlignment="1" pivotButton="0" quotePrefix="0" xfId="0">
      <alignment horizontal="left" vertical="center"/>
    </xf>
    <xf numFmtId="0" fontId="4" fillId="0" borderId="1" pivotButton="0" quotePrefix="0" xfId="0"/>
    <xf numFmtId="164" fontId="5" fillId="3" borderId="1" pivotButton="0" quotePrefix="0" xfId="0"/>
    <xf numFmtId="0" fontId="2" fillId="0" borderId="1" pivotButton="0" quotePrefix="0" xfId="0"/>
    <xf numFmtId="0" fontId="5" fillId="3" borderId="1" pivotButton="0" quotePrefix="0" xfId="0"/>
    <xf numFmtId="0" fontId="4" fillId="0" borderId="0" pivotButton="0" quotePrefix="0" xfId="0"/>
    <xf numFmtId="0" fontId="5" fillId="0" borderId="0" pivotButton="0" quotePrefix="0" xfId="0"/>
    <xf numFmtId="0" fontId="6" fillId="0" borderId="0" pivotButton="0" quotePrefix="0" xfId="0"/>
    <xf numFmtId="0" fontId="2" fillId="0" borderId="0" applyAlignment="1" pivotButton="0" quotePrefix="0" xfId="0">
      <alignment vertical="top" wrapText="1"/>
    </xf>
    <xf numFmtId="0" fontId="5" fillId="0" borderId="1" pivotButton="0" quotePrefix="0" xfId="0"/>
    <xf numFmtId="0" fontId="6" fillId="0" borderId="1" pivotButton="0" quotePrefix="0" xfId="0"/>
    <xf numFmtId="4" fontId="5" fillId="0" borderId="1" pivotButton="0" quotePrefix="0" xfId="0"/>
    <xf numFmtId="165" fontId="5" fillId="0" borderId="1" pivotButton="0" quotePrefix="0" xfId="0"/>
    <xf numFmtId="166" fontId="5" fillId="0" borderId="1" pivotButton="0" quotePrefix="0" xfId="0"/>
    <xf numFmtId="4" fontId="5" fillId="0" borderId="0" pivotButton="0" quotePrefix="0" xfId="0"/>
    <xf numFmtId="167" fontId="5" fillId="0" borderId="1" pivotButton="0" quotePrefix="0" xfId="0"/>
    <xf numFmtId="10" fontId="5" fillId="0" borderId="1" pivotButton="0" quotePrefix="0" xfId="0"/>
    <xf numFmtId="2" fontId="5" fillId="0" borderId="1" pivotButton="0" quotePrefix="0" xfId="0"/>
    <xf numFmtId="3" fontId="4" fillId="0" borderId="1" pivotButton="0" quotePrefix="0" xfId="0"/>
    <xf numFmtId="168" fontId="0" fillId="0" borderId="0" pivotButton="0" quotePrefix="0" xfId="0"/>
    <xf numFmtId="10" fontId="0" fillId="0" borderId="0" pivotButton="0" quotePrefix="0" xfId="0"/>
    <xf numFmtId="3" fontId="0" fillId="0" borderId="0" pivotButton="0" quotePrefix="0" xfId="0"/>
    <xf numFmtId="169" fontId="0" fillId="0" borderId="0" pivotButton="0" quotePrefix="0" xfId="0"/>
    <xf numFmtId="170" fontId="0" fillId="0" borderId="0" pivotButton="0" quotePrefix="0" xfId="0"/>
    <xf numFmtId="2" fontId="0" fillId="0" borderId="0" pivotButton="0" quotePrefix="0" xfId="0"/>
    <xf numFmtId="0" fontId="0" fillId="0" borderId="1" pivotButton="0" quotePrefix="0" xfId="0"/>
    <xf numFmtId="171" fontId="5" fillId="0" borderId="1" pivotButton="0" quotePrefix="0" xfId="0"/>
    <xf numFmtId="168" fontId="5" fillId="0" borderId="0" pivotButton="0" quotePrefix="0" xfId="0"/>
    <xf numFmtId="172" fontId="4" fillId="0" borderId="1" pivotButton="0" quotePrefix="0" xfId="0"/>
    <xf numFmtId="2" fontId="4" fillId="0" borderId="1" pivotButton="0" quotePrefix="0" xfId="0"/>
    <xf numFmtId="172" fontId="5" fillId="0" borderId="1" pivotButton="0" quotePrefix="0" xfId="0"/>
    <xf numFmtId="2" fontId="4" fillId="0" borderId="0" pivotButton="0" quotePrefix="0" xfId="0"/>
    <xf numFmtId="172" fontId="0" fillId="0" borderId="0" pivotButton="0" quotePrefix="0" xfId="0"/>
    <xf numFmtId="168" fontId="4" fillId="0" borderId="0" pivotButton="0" quotePrefix="0" xfId="0"/>
    <xf numFmtId="168" fontId="2" fillId="0" borderId="0" applyAlignment="1" pivotButton="0" quotePrefix="0" xfId="0">
      <alignment vertical="top" wrapText="1"/>
    </xf>
    <xf numFmtId="0" fontId="7" fillId="0" borderId="1" pivotButton="0" quotePrefix="0" xfId="0"/>
    <xf numFmtId="0" fontId="8" fillId="0" borderId="1" pivotButton="0" quotePrefix="0" xfId="0"/>
    <xf numFmtId="0" fontId="9" fillId="0" borderId="1" pivotButton="0" quotePrefix="0" xfId="0"/>
    <xf numFmtId="173" fontId="4" fillId="0" borderId="1" pivotButton="0" quotePrefix="0" xfId="0"/>
    <xf numFmtId="17" fontId="0" fillId="0" borderId="0" pivotButton="0" quotePrefix="0" xfId="0"/>
    <xf numFmtId="3" fontId="5" fillId="0" borderId="1" pivotButton="0" quotePrefix="0" xfId="0"/>
    <xf numFmtId="3" fontId="0" fillId="0" borderId="1" pivotButton="0" quotePrefix="0" xfId="0"/>
    <xf numFmtId="170" fontId="4" fillId="0" borderId="1" pivotButton="0" quotePrefix="0" xfId="0"/>
    <xf numFmtId="164" fontId="2" fillId="0" borderId="1" pivotButton="0" quotePrefix="0" xfId="0"/>
    <xf numFmtId="173" fontId="5" fillId="0" borderId="1" pivotButton="0" quotePrefix="0" xfId="0"/>
    <xf numFmtId="2" fontId="0" fillId="3" borderId="1" pivotButton="0" quotePrefix="0" xfId="0"/>
    <xf numFmtId="0" fontId="5" fillId="0" borderId="1" applyAlignment="1" pivotButton="0" quotePrefix="0" xfId="0">
      <alignment vertical="top" wrapText="1"/>
    </xf>
    <xf numFmtId="0" fontId="10" fillId="0" borderId="0" applyAlignment="1" pivotButton="0" quotePrefix="0" xfId="0">
      <alignment vertical="top" wrapText="1"/>
    </xf>
    <xf numFmtId="174" fontId="4" fillId="0" borderId="1" pivotButton="0" quotePrefix="0" xfId="0"/>
    <xf numFmtId="174" fontId="5" fillId="0" borderId="1" pivotButton="0" quotePrefix="0" xfId="0"/>
    <xf numFmtId="9" fontId="4" fillId="0" borderId="1" pivotButton="0" quotePrefix="0" xfId="0"/>
    <xf numFmtId="174" fontId="0" fillId="0" borderId="0" pivotButton="0" quotePrefix="0" xfId="0"/>
    <xf numFmtId="175" fontId="0" fillId="0" borderId="0" pivotButton="0" quotePrefix="0" xfId="0"/>
    <xf numFmtId="175" fontId="4" fillId="0" borderId="1" pivotButton="0" quotePrefix="0" xfId="0"/>
    <xf numFmtId="0" fontId="2" fillId="0" borderId="1" applyAlignment="1" pivotButton="0" quotePrefix="0" xfId="0">
      <alignment vertical="top" wrapText="1"/>
    </xf>
    <xf numFmtId="176" fontId="4" fillId="0" borderId="1" pivotButton="0" quotePrefix="0" xfId="0"/>
    <xf numFmtId="174" fontId="0" fillId="0" borderId="1" pivotButton="0" quotePrefix="0" xfId="0"/>
    <xf numFmtId="177" fontId="5" fillId="0" borderId="1" pivotButton="0" quotePrefix="0" xfId="0"/>
    <xf numFmtId="173" fontId="0" fillId="0" borderId="0" pivotButton="0" quotePrefix="0" xfId="0"/>
    <xf numFmtId="0" fontId="6" fillId="0" borderId="1" applyAlignment="1" pivotButton="0" quotePrefix="0" xfId="0">
      <alignment vertical="top"/>
    </xf>
    <xf numFmtId="0" fontId="11" fillId="0" borderId="1" pivotButton="0" quotePrefix="0" xfId="0"/>
    <xf numFmtId="0" fontId="5"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styles" Target="styles.xml" Id="rId23"/><Relationship Type="http://schemas.openxmlformats.org/officeDocument/2006/relationships/theme" Target="theme/theme1.xml" Id="rId24"/></Relationships>
</file>

<file path=xl/charts/chart1.xml><?xml version="1.0" encoding="utf-8"?>
<chartSpace xmlns="http://schemas.openxmlformats.org/drawingml/2006/chart">
  <chart>
    <title>
      <tx>
        <rich>
          <a:bodyPr xmlns:a="http://schemas.openxmlformats.org/drawingml/2006/main"/>
          <a:p xmlns:a="http://schemas.openxmlformats.org/drawingml/2006/main">
            <a:pPr>
              <a:defRPr sz="1200" b="1">
                <a:solidFill>
                  <a:srgbClr val="000000"/>
                </a:solidFill>
                <a:latin typeface="Arial"/>
              </a:defRPr>
            </a:pPr>
            <a:r>
              <a:rPr sz="1200" b="1">
                <a:solidFill>
                  <a:srgbClr val="000000"/>
                </a:solidFill>
                <a:latin typeface="Arial"/>
              </a:rPr>
              <a:t>Implied equity risk premium by market, bp</a:t>
            </a:r>
          </a:p>
        </rich>
      </tx>
    </title>
    <plotArea>
      <barChart>
        <barDir val="col"/>
        <grouping val="clustered"/>
        <ser>
          <idx val="0"/>
          <order val="0"/>
          <spPr>
            <a:solidFill xmlns:a="http://schemas.openxmlformats.org/drawingml/2006/main">
              <a:srgbClr val="DB0011"/>
            </a:solidFill>
            <a:ln xmlns:a="http://schemas.openxmlformats.org/drawingml/2006/main">
              <a:noFill/>
              <a:prstDash val="solid"/>
            </a:ln>
          </spPr>
          <cat>
            <numRef>
              <f>'ERP'!$A$6:$A$11</f>
            </numRef>
          </cat>
          <val>
            <numRef>
              <f>'ERP'!$G$6:$G$11</f>
            </numRef>
          </val>
        </ser>
        <dLbls>
          <numFmt formatCode="#,##0"/>
          <txPr>
            <a:bodyPr xmlns:a="http://schemas.openxmlformats.org/drawingml/2006/main"/>
            <a:p xmlns:a="http://schemas.openxmlformats.org/drawingml/2006/main">
              <a:pPr>
                <a:defRPr sz="1000" b="1">
                  <a:solidFill>
                    <a:srgbClr val="000000"/>
                  </a:solidFill>
                  <a:latin typeface="Arial"/>
                </a:defRPr>
              </a:pPr>
              <a:r>
                <a:t/>
              </a:r>
              <a:endParaRPr sz="1000" b="1">
                <a:solidFill>
                  <a:srgbClr val="000000"/>
                </a:solidFill>
                <a:latin typeface="Arial"/>
              </a:endParaRPr>
            </a:p>
          </txPr>
          <showVal val="1"/>
        </dLbls>
        <gapWidth val="60"/>
        <axId val="10"/>
        <axId val="100"/>
      </barChart>
      <catAx>
        <axId val="10"/>
        <scaling>
          <orientation val="minMax"/>
        </scaling>
        <delete val="0"/>
        <axPos val="l"/>
        <majorTickMark val="none"/>
        <minorTickMark val="none"/>
        <spPr>
          <a:ln xmlns:a="http://schemas.openxmlformats.org/drawingml/2006/main" w="6350">
            <a:solidFill>
              <a:srgbClr val="D0CECE"/>
            </a:solidFill>
            <a:prstDash val="solid"/>
          </a:ln>
        </spPr>
        <txPr>
          <a:bodyPr xmlns:a="http://schemas.openxmlformats.org/drawingml/2006/main"/>
          <a:p xmlns:a="http://schemas.openxmlformats.org/drawingml/2006/main">
            <a:pPr>
              <a:defRPr sz="950" b="0">
                <a:solidFill>
                  <a:srgbClr val="767576"/>
                </a:solidFill>
                <a:latin typeface="Arial"/>
              </a:defRPr>
            </a:pPr>
            <a:r>
              <a:t/>
            </a:r>
            <a:endParaRPr sz="950" b="0">
              <a:solidFill>
                <a:srgbClr val="767576"/>
              </a:solidFill>
              <a:latin typeface="Arial"/>
            </a:endParaRPr>
          </a:p>
        </txPr>
        <crossAx val="100"/>
        <lblOffset val="100"/>
      </catAx>
      <valAx>
        <axId val="100"/>
        <scaling>
          <orientation val="minMax"/>
        </scaling>
        <delete val="0"/>
        <axPos val="l"/>
        <majorTickMark val="none"/>
        <minorTickMark val="none"/>
        <spPr>
          <a:ln xmlns:a="http://schemas.openxmlformats.org/drawingml/2006/main" w="6350">
            <a:solidFill>
              <a:srgbClr val="D0CECE"/>
            </a:solidFill>
            <a:prstDash val="solid"/>
          </a:ln>
        </spPr>
        <txPr>
          <a:bodyPr xmlns:a="http://schemas.openxmlformats.org/drawingml/2006/main"/>
          <a:p xmlns:a="http://schemas.openxmlformats.org/drawingml/2006/main">
            <a:pPr>
              <a:defRPr sz="950" b="0">
                <a:solidFill>
                  <a:srgbClr val="767576"/>
                </a:solidFill>
                <a:latin typeface="Arial"/>
              </a:defRPr>
            </a:pPr>
            <a:r>
              <a:t/>
            </a:r>
            <a:endParaRPr sz="950" b="0">
              <a:solidFill>
                <a:srgbClr val="767576"/>
              </a:solidFill>
              <a:latin typeface="Arial"/>
            </a:endParaRPr>
          </a:p>
        </txPr>
        <crossAx val="10"/>
      </valAx>
    </plotArea>
    <plotVisOnly val="1"/>
    <dispBlanksAs val="gap"/>
  </chart>
  <spPr>
    <a:ln xmlns:a="http://schemas.openxmlformats.org/drawingml/2006/main">
      <a:noFill/>
      <a:prstDash val="solid"/>
    </a:ln>
  </spPr>
</chartSpace>
</file>

<file path=xl/charts/chart2.xml><?xml version="1.0" encoding="utf-8"?>
<chartSpace xmlns="http://schemas.openxmlformats.org/drawingml/2006/chart">
  <chart>
    <title>
      <tx>
        <rich>
          <a:bodyPr xmlns:a="http://schemas.openxmlformats.org/drawingml/2006/main"/>
          <a:p xmlns:a="http://schemas.openxmlformats.org/drawingml/2006/main">
            <a:pPr>
              <a:defRPr sz="1200" b="1">
                <a:solidFill>
                  <a:srgbClr val="000000"/>
                </a:solidFill>
                <a:latin typeface="Arial"/>
              </a:defRPr>
            </a:pPr>
            <a:r>
              <a:rPr sz="1200" b="1">
                <a:solidFill>
                  <a:srgbClr val="000000"/>
                </a:solidFill>
                <a:latin typeface="Arial"/>
              </a:rPr>
              <a:t>S&amp;P 500 implied equity risk premium, bp</a:t>
            </a:r>
          </a:p>
        </rich>
      </tx>
    </title>
    <plotArea>
      <lineChart>
        <grouping val="standard"/>
        <ser>
          <idx val="0"/>
          <order val="0"/>
          <tx>
            <v>S&amp;P 500 implied ERP, bp</v>
          </tx>
          <spPr>
            <a:ln xmlns:a="http://schemas.openxmlformats.org/drawingml/2006/main" w="20000">
              <a:solidFill>
                <a:srgbClr val="DB0011"/>
              </a:solidFill>
              <a:prstDash val="solid"/>
            </a:ln>
          </spPr>
          <marker>
            <symbol val="none"/>
            <spPr>
              <a:ln xmlns:a="http://schemas.openxmlformats.org/drawingml/2006/main">
                <a:prstDash val="solid"/>
              </a:ln>
            </spPr>
          </marker>
          <cat>
            <numRef>
              <f>'ERP'!$A$23:$A$822</f>
            </numRef>
          </cat>
          <val>
            <numRef>
              <f>'ERP'!$E$23:$E$822</f>
            </numRef>
          </val>
          <smooth val="0"/>
        </ser>
        <axId val="10"/>
        <axId val="100"/>
      </lineChart>
      <catAx>
        <axId val="10"/>
        <scaling>
          <orientation val="minMax"/>
        </scaling>
        <delete val="0"/>
        <axPos val="l"/>
        <numFmt formatCode="mmm-yy" sourceLinked="0"/>
        <majorTickMark val="none"/>
        <minorTickMark val="none"/>
        <spPr>
          <a:ln xmlns:a="http://schemas.openxmlformats.org/drawingml/2006/main" w="6350">
            <a:solidFill>
              <a:srgbClr val="D0CECE"/>
            </a:solidFill>
            <a:prstDash val="solid"/>
          </a:ln>
        </spPr>
        <txPr>
          <a:bodyPr xmlns:a="http://schemas.openxmlformats.org/drawingml/2006/main"/>
          <a:p xmlns:a="http://schemas.openxmlformats.org/drawingml/2006/main">
            <a:pPr>
              <a:defRPr sz="950" b="0">
                <a:solidFill>
                  <a:srgbClr val="767576"/>
                </a:solidFill>
                <a:latin typeface="Arial"/>
              </a:defRPr>
            </a:pPr>
            <a:r>
              <a:t/>
            </a:r>
            <a:endParaRPr sz="950" b="0">
              <a:solidFill>
                <a:srgbClr val="767576"/>
              </a:solidFill>
              <a:latin typeface="Arial"/>
            </a:endParaRPr>
          </a:p>
        </txPr>
        <crossAx val="100"/>
        <lblOffset val="100"/>
      </catAx>
      <valAx>
        <axId val="100"/>
        <scaling>
          <orientation val="minMax"/>
        </scaling>
        <delete val="0"/>
        <axPos val="l"/>
        <title>
          <tx>
            <rich>
              <a:bodyPr xmlns:a="http://schemas.openxmlformats.org/drawingml/2006/main"/>
              <a:p xmlns:a="http://schemas.openxmlformats.org/drawingml/2006/main">
                <a:pPr>
                  <a:defRPr sz="950" b="0">
                    <a:solidFill>
                      <a:srgbClr val="767576"/>
                    </a:solidFill>
                    <a:latin typeface="Arial"/>
                  </a:defRPr>
                </a:pPr>
                <a:r>
                  <a:t>bp</a:t>
                </a:r>
              </a:p>
            </rich>
          </tx>
        </title>
        <majorTickMark val="none"/>
        <minorTickMark val="none"/>
        <spPr>
          <a:ln xmlns:a="http://schemas.openxmlformats.org/drawingml/2006/main" w="6350">
            <a:solidFill>
              <a:srgbClr val="D0CECE"/>
            </a:solidFill>
            <a:prstDash val="solid"/>
          </a:ln>
        </spPr>
        <txPr>
          <a:bodyPr xmlns:a="http://schemas.openxmlformats.org/drawingml/2006/main"/>
          <a:p xmlns:a="http://schemas.openxmlformats.org/drawingml/2006/main">
            <a:pPr>
              <a:defRPr sz="950" b="0">
                <a:solidFill>
                  <a:srgbClr val="767576"/>
                </a:solidFill>
                <a:latin typeface="Arial"/>
              </a:defRPr>
            </a:pPr>
            <a:r>
              <a:t/>
            </a:r>
            <a:endParaRPr sz="950" b="0">
              <a:solidFill>
                <a:srgbClr val="767576"/>
              </a:solidFill>
              <a:latin typeface="Arial"/>
            </a:endParaRPr>
          </a:p>
        </txPr>
        <crossAx val="10"/>
      </valAx>
    </plotArea>
    <plotVisOnly val="1"/>
    <dispBlanksAs val="gap"/>
  </chart>
  <spPr>
    <a:ln xmlns:a="http://schemas.openxmlformats.org/drawingml/2006/main">
      <a:noFill/>
      <a:prstDash val="solid"/>
    </a:ln>
  </spPr>
</chartSpace>
</file>

<file path=xl/charts/chart3.xml><?xml version="1.0" encoding="utf-8"?>
<chartSpace xmlns="http://schemas.openxmlformats.org/drawingml/2006/chart">
  <chart>
    <title>
      <tx>
        <rich>
          <a:bodyPr xmlns:a="http://schemas.openxmlformats.org/drawingml/2006/main"/>
          <a:p xmlns:a="http://schemas.openxmlformats.org/drawingml/2006/main">
            <a:pPr>
              <a:defRPr sz="1200" b="1">
                <a:solidFill>
                  <a:srgbClr val="000000"/>
                </a:solidFill>
                <a:latin typeface="Arial"/>
              </a:defRPr>
            </a:pPr>
            <a:r>
              <a:rPr sz="1200" b="1">
                <a:solidFill>
                  <a:srgbClr val="000000"/>
                </a:solidFill>
                <a:latin typeface="Arial"/>
              </a:rPr>
              <a:t>Stock–bond correlation: S&amp;P 500 daily return vs UST 10y daily change</a:t>
            </a:r>
          </a:p>
        </rich>
      </tx>
    </title>
    <plotArea>
      <lineChart>
        <grouping val="standard"/>
        <ser>
          <idx val="0"/>
          <order val="0"/>
          <tx>
            <v>Rolling 60-day correlation, SPX return vs 10y change</v>
          </tx>
          <spPr>
            <a:ln xmlns:a="http://schemas.openxmlformats.org/drawingml/2006/main" w="20000">
              <a:solidFill>
                <a:srgbClr val="DB0011"/>
              </a:solidFill>
              <a:prstDash val="solid"/>
            </a:ln>
          </spPr>
          <marker>
            <symbol val="none"/>
            <spPr>
              <a:ln xmlns:a="http://schemas.openxmlformats.org/drawingml/2006/main">
                <a:prstDash val="solid"/>
              </a:ln>
            </spPr>
          </marker>
          <cat>
            <numRef>
              <f>'StockBond'!$A$9:$A$808</f>
            </numRef>
          </cat>
          <val>
            <numRef>
              <f>'StockBond'!$F$9:$F$808</f>
            </numRef>
          </val>
          <smooth val="0"/>
        </ser>
        <ser>
          <idx val="1"/>
          <order val="1"/>
          <tx>
            <v>Zero</v>
          </tx>
          <spPr>
            <a:ln xmlns:a="http://schemas.openxmlformats.org/drawingml/2006/main" w="9000">
              <a:solidFill>
                <a:srgbClr val="767576"/>
              </a:solidFill>
              <a:prstDash val="dash"/>
            </a:ln>
          </spPr>
          <marker>
            <symbol val="none"/>
            <spPr>
              <a:ln xmlns:a="http://schemas.openxmlformats.org/drawingml/2006/main">
                <a:prstDash val="solid"/>
              </a:ln>
            </spPr>
          </marker>
          <cat>
            <numRef>
              <f>'StockBond'!$A$9:$A$808</f>
            </numRef>
          </cat>
          <val>
            <numRef>
              <f>'StockBond'!$G$9:$G$808</f>
            </numRef>
          </val>
          <smooth val="0"/>
        </ser>
        <axId val="10"/>
        <axId val="100"/>
      </lineChart>
      <catAx>
        <axId val="10"/>
        <scaling>
          <orientation val="minMax"/>
        </scaling>
        <delete val="0"/>
        <axPos val="l"/>
        <numFmt formatCode="mmm-yy" sourceLinked="0"/>
        <majorTickMark val="none"/>
        <minorTickMark val="none"/>
        <spPr>
          <a:ln xmlns:a="http://schemas.openxmlformats.org/drawingml/2006/main" w="6350">
            <a:solidFill>
              <a:srgbClr val="D0CECE"/>
            </a:solidFill>
            <a:prstDash val="solid"/>
          </a:ln>
        </spPr>
        <txPr>
          <a:bodyPr xmlns:a="http://schemas.openxmlformats.org/drawingml/2006/main"/>
          <a:p xmlns:a="http://schemas.openxmlformats.org/drawingml/2006/main">
            <a:pPr>
              <a:defRPr sz="950" b="0">
                <a:solidFill>
                  <a:srgbClr val="767576"/>
                </a:solidFill>
                <a:latin typeface="Arial"/>
              </a:defRPr>
            </a:pPr>
            <a:r>
              <a:t/>
            </a:r>
            <a:endParaRPr sz="950" b="0">
              <a:solidFill>
                <a:srgbClr val="767576"/>
              </a:solidFill>
              <a:latin typeface="Arial"/>
            </a:endParaRPr>
          </a:p>
        </txPr>
        <crossAx val="100"/>
        <lblOffset val="100"/>
      </catAx>
      <valAx>
        <axId val="100"/>
        <scaling>
          <orientation val="minMax"/>
        </scaling>
        <delete val="0"/>
        <axPos val="l"/>
        <title>
          <tx>
            <rich>
              <a:bodyPr xmlns:a="http://schemas.openxmlformats.org/drawingml/2006/main"/>
              <a:p xmlns:a="http://schemas.openxmlformats.org/drawingml/2006/main">
                <a:pPr>
                  <a:defRPr sz="950" b="0">
                    <a:solidFill>
                      <a:srgbClr val="767576"/>
                    </a:solidFill>
                    <a:latin typeface="Arial"/>
                  </a:defRPr>
                </a:pPr>
                <a:r>
                  <a:t>correlation</a:t>
                </a:r>
              </a:p>
            </rich>
          </tx>
        </title>
        <majorTickMark val="none"/>
        <minorTickMark val="none"/>
        <spPr>
          <a:ln xmlns:a="http://schemas.openxmlformats.org/drawingml/2006/main" w="6350">
            <a:solidFill>
              <a:srgbClr val="D0CECE"/>
            </a:solidFill>
            <a:prstDash val="solid"/>
          </a:ln>
        </spPr>
        <txPr>
          <a:bodyPr xmlns:a="http://schemas.openxmlformats.org/drawingml/2006/main"/>
          <a:p xmlns:a="http://schemas.openxmlformats.org/drawingml/2006/main">
            <a:pPr>
              <a:defRPr sz="950" b="0">
                <a:solidFill>
                  <a:srgbClr val="767576"/>
                </a:solidFill>
                <a:latin typeface="Arial"/>
              </a:defRPr>
            </a:pPr>
            <a:r>
              <a:t/>
            </a:r>
            <a:endParaRPr sz="950" b="0">
              <a:solidFill>
                <a:srgbClr val="767576"/>
              </a:solidFill>
              <a:latin typeface="Arial"/>
            </a:endParaRPr>
          </a:p>
        </txPr>
        <crossAx val="10"/>
      </valAx>
    </plotArea>
    <legend>
      <legendPos val="b"/>
      <overlay val="0"/>
      <txPr>
        <a:bodyPr xmlns:a="http://schemas.openxmlformats.org/drawingml/2006/main"/>
        <a:p xmlns:a="http://schemas.openxmlformats.org/drawingml/2006/main">
          <a:pPr>
            <a:defRPr sz="950" b="0">
              <a:solidFill>
                <a:srgbClr val="000000"/>
              </a:solidFill>
              <a:latin typeface="Arial"/>
            </a:defRPr>
          </a:pPr>
          <a:r>
            <a:t/>
          </a:r>
          <a:endParaRPr sz="950" b="0">
            <a:solidFill>
              <a:srgbClr val="000000"/>
            </a:solidFill>
            <a:latin typeface="Arial"/>
          </a:endParaRPr>
        </a:p>
      </txPr>
    </legend>
    <plotVisOnly val="1"/>
    <dispBlanksAs val="gap"/>
  </chart>
  <spPr>
    <a:ln xmlns:a="http://schemas.openxmlformats.org/drawingml/2006/main">
      <a:noFill/>
      <a:prstDash val="solid"/>
    </a:ln>
  </spPr>
</chartSpace>
</file>

<file path=xl/charts/chart4.xml><?xml version="1.0" encoding="utf-8"?>
<chartSpace xmlns="http://schemas.openxmlformats.org/drawingml/2006/chart">
  <chart>
    <title>
      <tx>
        <rich>
          <a:bodyPr xmlns:a="http://schemas.openxmlformats.org/drawingml/2006/main"/>
          <a:p xmlns:a="http://schemas.openxmlformats.org/drawingml/2006/main">
            <a:pPr>
              <a:defRPr sz="1200" b="1">
                <a:solidFill>
                  <a:srgbClr val="000000"/>
                </a:solidFill>
                <a:latin typeface="Arial"/>
              </a:defRPr>
            </a:pPr>
            <a:r>
              <a:rPr sz="1200" b="1">
                <a:solidFill>
                  <a:srgbClr val="000000"/>
                </a:solidFill>
                <a:latin typeface="Arial"/>
              </a:rPr>
              <a:t>US high yield OAS since 1996, bp</a:t>
            </a:r>
          </a:p>
        </rich>
      </tx>
    </title>
    <plotArea>
      <lineChart>
        <grouping val="standard"/>
        <ser>
          <idx val="0"/>
          <order val="0"/>
          <tx>
            <v>US HY OAS, bp</v>
          </tx>
          <spPr>
            <a:ln xmlns:a="http://schemas.openxmlformats.org/drawingml/2006/main" w="20000">
              <a:solidFill>
                <a:srgbClr val="DB0011"/>
              </a:solidFill>
              <a:prstDash val="solid"/>
            </a:ln>
          </spPr>
          <marker>
            <symbol val="none"/>
            <spPr>
              <a:ln xmlns:a="http://schemas.openxmlformats.org/drawingml/2006/main">
                <a:prstDash val="solid"/>
              </a:ln>
            </spPr>
          </marker>
          <cat>
            <numRef>
              <f>'Credit'!$A$16:$A$1665</f>
            </numRef>
          </cat>
          <val>
            <numRef>
              <f>'Credit'!$B$16:$B$1665</f>
            </numRef>
          </val>
          <smooth val="0"/>
        </ser>
        <ser>
          <idx val="1"/>
          <order val="1"/>
          <tx>
            <v>Historical median</v>
          </tx>
          <spPr>
            <a:ln xmlns:a="http://schemas.openxmlformats.org/drawingml/2006/main" w="9000">
              <a:solidFill>
                <a:srgbClr val="767576"/>
              </a:solidFill>
              <a:prstDash val="dash"/>
            </a:ln>
          </spPr>
          <marker>
            <symbol val="none"/>
            <spPr>
              <a:ln xmlns:a="http://schemas.openxmlformats.org/drawingml/2006/main">
                <a:prstDash val="solid"/>
              </a:ln>
            </spPr>
          </marker>
          <cat>
            <numRef>
              <f>'Credit'!$A$16:$A$1665</f>
            </numRef>
          </cat>
          <val>
            <numRef>
              <f>'Credit'!$C$16:$C$1665</f>
            </numRef>
          </val>
          <smooth val="0"/>
        </ser>
        <axId val="10"/>
        <axId val="100"/>
      </lineChart>
      <catAx>
        <axId val="10"/>
        <scaling>
          <orientation val="minMax"/>
        </scaling>
        <delete val="0"/>
        <axPos val="l"/>
        <numFmt formatCode="mmm-yy" sourceLinked="0"/>
        <majorTickMark val="none"/>
        <minorTickMark val="none"/>
        <spPr>
          <a:ln xmlns:a="http://schemas.openxmlformats.org/drawingml/2006/main" w="6350">
            <a:solidFill>
              <a:srgbClr val="D0CECE"/>
            </a:solidFill>
            <a:prstDash val="solid"/>
          </a:ln>
        </spPr>
        <txPr>
          <a:bodyPr xmlns:a="http://schemas.openxmlformats.org/drawingml/2006/main"/>
          <a:p xmlns:a="http://schemas.openxmlformats.org/drawingml/2006/main">
            <a:pPr>
              <a:defRPr sz="950" b="0">
                <a:solidFill>
                  <a:srgbClr val="767576"/>
                </a:solidFill>
                <a:latin typeface="Arial"/>
              </a:defRPr>
            </a:pPr>
            <a:r>
              <a:t/>
            </a:r>
            <a:endParaRPr sz="950" b="0">
              <a:solidFill>
                <a:srgbClr val="767576"/>
              </a:solidFill>
              <a:latin typeface="Arial"/>
            </a:endParaRPr>
          </a:p>
        </txPr>
        <crossAx val="100"/>
        <lblOffset val="100"/>
      </catAx>
      <valAx>
        <axId val="100"/>
        <scaling>
          <orientation val="minMax"/>
        </scaling>
        <delete val="0"/>
        <axPos val="l"/>
        <title>
          <tx>
            <rich>
              <a:bodyPr xmlns:a="http://schemas.openxmlformats.org/drawingml/2006/main"/>
              <a:p xmlns:a="http://schemas.openxmlformats.org/drawingml/2006/main">
                <a:pPr>
                  <a:defRPr sz="950" b="0">
                    <a:solidFill>
                      <a:srgbClr val="767576"/>
                    </a:solidFill>
                    <a:latin typeface="Arial"/>
                  </a:defRPr>
                </a:pPr>
                <a:r>
                  <a:t>bp</a:t>
                </a:r>
              </a:p>
            </rich>
          </tx>
        </title>
        <majorTickMark val="none"/>
        <minorTickMark val="none"/>
        <spPr>
          <a:ln xmlns:a="http://schemas.openxmlformats.org/drawingml/2006/main" w="6350">
            <a:solidFill>
              <a:srgbClr val="D0CECE"/>
            </a:solidFill>
            <a:prstDash val="solid"/>
          </a:ln>
        </spPr>
        <txPr>
          <a:bodyPr xmlns:a="http://schemas.openxmlformats.org/drawingml/2006/main"/>
          <a:p xmlns:a="http://schemas.openxmlformats.org/drawingml/2006/main">
            <a:pPr>
              <a:defRPr sz="950" b="0">
                <a:solidFill>
                  <a:srgbClr val="767576"/>
                </a:solidFill>
                <a:latin typeface="Arial"/>
              </a:defRPr>
            </a:pPr>
            <a:r>
              <a:t/>
            </a:r>
            <a:endParaRPr sz="950" b="0">
              <a:solidFill>
                <a:srgbClr val="767576"/>
              </a:solidFill>
              <a:latin typeface="Arial"/>
            </a:endParaRPr>
          </a:p>
        </txPr>
        <crossAx val="10"/>
      </valAx>
    </plotArea>
    <legend>
      <legendPos val="b"/>
      <overlay val="0"/>
      <txPr>
        <a:bodyPr xmlns:a="http://schemas.openxmlformats.org/drawingml/2006/main"/>
        <a:p xmlns:a="http://schemas.openxmlformats.org/drawingml/2006/main">
          <a:pPr>
            <a:defRPr sz="950" b="0">
              <a:solidFill>
                <a:srgbClr val="000000"/>
              </a:solidFill>
              <a:latin typeface="Arial"/>
            </a:defRPr>
          </a:pPr>
          <a:r>
            <a:t/>
          </a:r>
          <a:endParaRPr sz="950" b="0">
            <a:solidFill>
              <a:srgbClr val="000000"/>
            </a:solidFill>
            <a:latin typeface="Arial"/>
          </a:endParaRPr>
        </a:p>
      </txPr>
    </legend>
    <plotVisOnly val="1"/>
    <dispBlanksAs val="gap"/>
  </chart>
  <spPr>
    <a:ln xmlns:a="http://schemas.openxmlformats.org/drawingml/2006/main">
      <a:noFill/>
      <a:prstDash val="solid"/>
    </a:ln>
  </spPr>
</chartSpace>
</file>

<file path=xl/charts/chart5.xml><?xml version="1.0" encoding="utf-8"?>
<chartSpace xmlns="http://schemas.openxmlformats.org/drawingml/2006/chart">
  <chart>
    <title>
      <tx>
        <rich>
          <a:bodyPr xmlns:a="http://schemas.openxmlformats.org/drawingml/2006/main"/>
          <a:p xmlns:a="http://schemas.openxmlformats.org/drawingml/2006/main">
            <a:pPr>
              <a:defRPr sz="1200" b="1">
                <a:solidFill>
                  <a:srgbClr val="000000"/>
                </a:solidFill>
                <a:latin typeface="Arial"/>
              </a:defRPr>
            </a:pPr>
            <a:r>
              <a:rPr sz="1200" b="1">
                <a:solidFill>
                  <a:srgbClr val="000000"/>
                </a:solidFill>
                <a:latin typeface="Arial"/>
              </a:rPr>
              <a:t>Realised vs implied volatility since the Iran war began</a:t>
            </a:r>
          </a:p>
        </rich>
      </tx>
    </title>
    <plotArea>
      <lineChart>
        <grouping val="standard"/>
        <ser>
          <idx val="0"/>
          <order val="0"/>
          <tx>
            <v>KOSPI 200 realised vol, 30d</v>
          </tx>
          <spPr>
            <a:ln xmlns:a="http://schemas.openxmlformats.org/drawingml/2006/main" w="20000">
              <a:solidFill>
                <a:srgbClr val="DB0011"/>
              </a:solidFill>
              <a:prstDash val="solid"/>
            </a:ln>
          </spPr>
          <marker>
            <symbol val="none"/>
            <spPr>
              <a:ln xmlns:a="http://schemas.openxmlformats.org/drawingml/2006/main">
                <a:prstDash val="solid"/>
              </a:ln>
            </spPr>
          </marker>
          <cat>
            <numRef>
              <f>'VolRegime'!$A$17:$A$816</f>
            </numRef>
          </cat>
          <val>
            <numRef>
              <f>'VolRegime'!$B$17:$B$816</f>
            </numRef>
          </val>
          <smooth val="0"/>
        </ser>
        <ser>
          <idx val="1"/>
          <order val="1"/>
          <tx>
            <v>VKOSPI</v>
          </tx>
          <spPr>
            <a:ln xmlns:a="http://schemas.openxmlformats.org/drawingml/2006/main" w="20000">
              <a:solidFill>
                <a:srgbClr val="44546A"/>
              </a:solidFill>
              <a:prstDash val="solid"/>
            </a:ln>
          </spPr>
          <marker>
            <symbol val="none"/>
            <spPr>
              <a:ln xmlns:a="http://schemas.openxmlformats.org/drawingml/2006/main">
                <a:prstDash val="solid"/>
              </a:ln>
            </spPr>
          </marker>
          <cat>
            <numRef>
              <f>'VolRegime'!$A$17:$A$816</f>
            </numRef>
          </cat>
          <val>
            <numRef>
              <f>'VolRegime'!$C$17:$C$816</f>
            </numRef>
          </val>
          <smooth val="0"/>
        </ser>
        <ser>
          <idx val="2"/>
          <order val="2"/>
          <tx>
            <v>VIX</v>
          </tx>
          <spPr>
            <a:ln xmlns:a="http://schemas.openxmlformats.org/drawingml/2006/main" w="20000">
              <a:solidFill>
                <a:srgbClr val="9FB4CA"/>
              </a:solidFill>
              <a:prstDash val="solid"/>
            </a:ln>
          </spPr>
          <marker>
            <symbol val="none"/>
            <spPr>
              <a:ln xmlns:a="http://schemas.openxmlformats.org/drawingml/2006/main">
                <a:prstDash val="solid"/>
              </a:ln>
            </spPr>
          </marker>
          <cat>
            <numRef>
              <f>'VolRegime'!$A$17:$A$816</f>
            </numRef>
          </cat>
          <val>
            <numRef>
              <f>'VolRegime'!$D$17:$D$816</f>
            </numRef>
          </val>
          <smooth val="0"/>
        </ser>
        <axId val="10"/>
        <axId val="100"/>
      </lineChart>
      <catAx>
        <axId val="10"/>
        <scaling>
          <orientation val="minMax"/>
        </scaling>
        <delete val="0"/>
        <axPos val="l"/>
        <numFmt formatCode="mmm-yy" sourceLinked="0"/>
        <majorTickMark val="none"/>
        <minorTickMark val="none"/>
        <spPr>
          <a:ln xmlns:a="http://schemas.openxmlformats.org/drawingml/2006/main" w="6350">
            <a:solidFill>
              <a:srgbClr val="D0CECE"/>
            </a:solidFill>
            <a:prstDash val="solid"/>
          </a:ln>
        </spPr>
        <txPr>
          <a:bodyPr xmlns:a="http://schemas.openxmlformats.org/drawingml/2006/main"/>
          <a:p xmlns:a="http://schemas.openxmlformats.org/drawingml/2006/main">
            <a:pPr>
              <a:defRPr sz="950" b="0">
                <a:solidFill>
                  <a:srgbClr val="767576"/>
                </a:solidFill>
                <a:latin typeface="Arial"/>
              </a:defRPr>
            </a:pPr>
            <a:r>
              <a:t/>
            </a:r>
            <a:endParaRPr sz="950" b="0">
              <a:solidFill>
                <a:srgbClr val="767576"/>
              </a:solidFill>
              <a:latin typeface="Arial"/>
            </a:endParaRPr>
          </a:p>
        </txPr>
        <crossAx val="100"/>
        <lblOffset val="100"/>
      </catAx>
      <valAx>
        <axId val="100"/>
        <scaling>
          <orientation val="minMax"/>
        </scaling>
        <delete val="0"/>
        <axPos val="l"/>
        <title>
          <tx>
            <rich>
              <a:bodyPr xmlns:a="http://schemas.openxmlformats.org/drawingml/2006/main"/>
              <a:p xmlns:a="http://schemas.openxmlformats.org/drawingml/2006/main">
                <a:pPr>
                  <a:defRPr sz="950" b="0">
                    <a:solidFill>
                      <a:srgbClr val="767576"/>
                    </a:solidFill>
                    <a:latin typeface="Arial"/>
                  </a:defRPr>
                </a:pPr>
                <a:r>
                  <a:t>vol, %</a:t>
                </a:r>
              </a:p>
            </rich>
          </tx>
        </title>
        <majorTickMark val="none"/>
        <minorTickMark val="none"/>
        <spPr>
          <a:ln xmlns:a="http://schemas.openxmlformats.org/drawingml/2006/main" w="6350">
            <a:solidFill>
              <a:srgbClr val="D0CECE"/>
            </a:solidFill>
            <a:prstDash val="solid"/>
          </a:ln>
        </spPr>
        <txPr>
          <a:bodyPr xmlns:a="http://schemas.openxmlformats.org/drawingml/2006/main"/>
          <a:p xmlns:a="http://schemas.openxmlformats.org/drawingml/2006/main">
            <a:pPr>
              <a:defRPr sz="950" b="0">
                <a:solidFill>
                  <a:srgbClr val="767576"/>
                </a:solidFill>
                <a:latin typeface="Arial"/>
              </a:defRPr>
            </a:pPr>
            <a:r>
              <a:t/>
            </a:r>
            <a:endParaRPr sz="950" b="0">
              <a:solidFill>
                <a:srgbClr val="767576"/>
              </a:solidFill>
              <a:latin typeface="Arial"/>
            </a:endParaRPr>
          </a:p>
        </txPr>
        <crossAx val="10"/>
      </valAx>
    </plotArea>
    <legend>
      <legendPos val="b"/>
      <overlay val="0"/>
      <txPr>
        <a:bodyPr xmlns:a="http://schemas.openxmlformats.org/drawingml/2006/main"/>
        <a:p xmlns:a="http://schemas.openxmlformats.org/drawingml/2006/main">
          <a:pPr>
            <a:defRPr sz="950" b="0">
              <a:solidFill>
                <a:srgbClr val="000000"/>
              </a:solidFill>
              <a:latin typeface="Arial"/>
            </a:defRPr>
          </a:pPr>
          <a:r>
            <a:t/>
          </a:r>
          <a:endParaRPr sz="950" b="0">
            <a:solidFill>
              <a:srgbClr val="000000"/>
            </a:solidFill>
            <a:latin typeface="Arial"/>
          </a:endParaRPr>
        </a:p>
      </txPr>
    </legend>
    <plotVisOnly val="1"/>
    <dispBlanksAs val="gap"/>
  </chart>
  <spPr>
    <a:ln xmlns:a="http://schemas.openxmlformats.org/drawingml/2006/main">
      <a:noFill/>
      <a:prstDash val="solid"/>
    </a:ln>
  </spPr>
</chartSpace>
</file>

<file path=xl/charts/chart6.xml><?xml version="1.0" encoding="utf-8"?>
<chartSpace xmlns="http://schemas.openxmlformats.org/drawingml/2006/chart">
  <chart>
    <title>
      <tx>
        <rich>
          <a:bodyPr xmlns:a="http://schemas.openxmlformats.org/drawingml/2006/main"/>
          <a:p xmlns:a="http://schemas.openxmlformats.org/drawingml/2006/main">
            <a:pPr>
              <a:defRPr sz="1200" b="1">
                <a:solidFill>
                  <a:srgbClr val="000000"/>
                </a:solidFill>
                <a:latin typeface="Arial"/>
              </a:defRPr>
            </a:pPr>
            <a:r>
              <a:rPr sz="1200" b="1">
                <a:solidFill>
                  <a:srgbClr val="000000"/>
                </a:solidFill>
                <a:latin typeface="Arial"/>
              </a:rPr>
              <a:t>UST 10y since the Iran war began</a:t>
            </a:r>
          </a:p>
        </rich>
      </tx>
    </title>
    <plotArea>
      <lineChart>
        <grouping val="standard"/>
        <ser>
          <idx val="0"/>
          <order val="0"/>
          <tx>
            <v>UST 10y, %</v>
          </tx>
          <spPr>
            <a:ln xmlns:a="http://schemas.openxmlformats.org/drawingml/2006/main" w="20000">
              <a:solidFill>
                <a:srgbClr val="DB0011"/>
              </a:solidFill>
              <a:prstDash val="solid"/>
            </a:ln>
          </spPr>
          <marker>
            <symbol val="none"/>
            <spPr>
              <a:ln xmlns:a="http://schemas.openxmlformats.org/drawingml/2006/main">
                <a:prstDash val="solid"/>
              </a:ln>
            </spPr>
          </marker>
          <cat>
            <numRef>
              <f>'DiscountRate'!$A$20:$A$819</f>
            </numRef>
          </cat>
          <val>
            <numRef>
              <f>'DiscountRate'!$B$20:$B$819</f>
            </numRef>
          </val>
          <smooth val="0"/>
        </ser>
        <axId val="10"/>
        <axId val="100"/>
      </lineChart>
      <catAx>
        <axId val="10"/>
        <scaling>
          <orientation val="minMax"/>
        </scaling>
        <delete val="0"/>
        <axPos val="l"/>
        <numFmt formatCode="mmm-yy" sourceLinked="0"/>
        <majorTickMark val="none"/>
        <minorTickMark val="none"/>
        <spPr>
          <a:ln xmlns:a="http://schemas.openxmlformats.org/drawingml/2006/main" w="6350">
            <a:solidFill>
              <a:srgbClr val="D0CECE"/>
            </a:solidFill>
            <a:prstDash val="solid"/>
          </a:ln>
        </spPr>
        <txPr>
          <a:bodyPr xmlns:a="http://schemas.openxmlformats.org/drawingml/2006/main"/>
          <a:p xmlns:a="http://schemas.openxmlformats.org/drawingml/2006/main">
            <a:pPr>
              <a:defRPr sz="950" b="0">
                <a:solidFill>
                  <a:srgbClr val="767576"/>
                </a:solidFill>
                <a:latin typeface="Arial"/>
              </a:defRPr>
            </a:pPr>
            <a:r>
              <a:t/>
            </a:r>
            <a:endParaRPr sz="950" b="0">
              <a:solidFill>
                <a:srgbClr val="767576"/>
              </a:solidFill>
              <a:latin typeface="Arial"/>
            </a:endParaRPr>
          </a:p>
        </txPr>
        <crossAx val="100"/>
        <lblOffset val="100"/>
      </catAx>
      <valAx>
        <axId val="100"/>
        <scaling>
          <orientation val="minMax"/>
        </scaling>
        <delete val="0"/>
        <axPos val="l"/>
        <title>
          <tx>
            <rich>
              <a:bodyPr xmlns:a="http://schemas.openxmlformats.org/drawingml/2006/main"/>
              <a:p xmlns:a="http://schemas.openxmlformats.org/drawingml/2006/main">
                <a:pPr>
                  <a:defRPr sz="950" b="0">
                    <a:solidFill>
                      <a:srgbClr val="767576"/>
                    </a:solidFill>
                    <a:latin typeface="Arial"/>
                  </a:defRPr>
                </a:pPr>
                <a:r>
                  <a:t>%</a:t>
                </a:r>
              </a:p>
            </rich>
          </tx>
        </title>
        <majorTickMark val="none"/>
        <minorTickMark val="none"/>
        <spPr>
          <a:ln xmlns:a="http://schemas.openxmlformats.org/drawingml/2006/main" w="6350">
            <a:solidFill>
              <a:srgbClr val="D0CECE"/>
            </a:solidFill>
            <a:prstDash val="solid"/>
          </a:ln>
        </spPr>
        <txPr>
          <a:bodyPr xmlns:a="http://schemas.openxmlformats.org/drawingml/2006/main"/>
          <a:p xmlns:a="http://schemas.openxmlformats.org/drawingml/2006/main">
            <a:pPr>
              <a:defRPr sz="950" b="0">
                <a:solidFill>
                  <a:srgbClr val="767576"/>
                </a:solidFill>
                <a:latin typeface="Arial"/>
              </a:defRPr>
            </a:pPr>
            <a:r>
              <a:t/>
            </a:r>
            <a:endParaRPr sz="950" b="0">
              <a:solidFill>
                <a:srgbClr val="767576"/>
              </a:solidFill>
              <a:latin typeface="Arial"/>
            </a:endParaRPr>
          </a:p>
        </txPr>
        <crossAx val="10"/>
      </valAx>
    </plotArea>
    <plotVisOnly val="1"/>
    <dispBlanksAs val="gap"/>
  </chart>
  <spPr>
    <a:ln xmlns:a="http://schemas.openxmlformats.org/drawingml/2006/main">
      <a:noFill/>
      <a:prstDash val="solid"/>
    </a:ln>
  </spPr>
</chartSpace>
</file>

<file path=xl/charts/chart7.xml><?xml version="1.0" encoding="utf-8"?>
<chartSpace xmlns="http://schemas.openxmlformats.org/drawingml/2006/chart">
  <chart>
    <title>
      <tx>
        <rich>
          <a:bodyPr xmlns:a="http://schemas.openxmlformats.org/drawingml/2006/main"/>
          <a:p xmlns:a="http://schemas.openxmlformats.org/drawingml/2006/main">
            <a:pPr>
              <a:defRPr sz="1200" b="1">
                <a:solidFill>
                  <a:srgbClr val="000000"/>
                </a:solidFill>
                <a:latin typeface="Arial"/>
              </a:defRPr>
            </a:pPr>
            <a:r>
              <a:rPr sz="1200" b="1">
                <a:solidFill>
                  <a:srgbClr val="000000"/>
                </a:solidFill>
                <a:latin typeface="Arial"/>
              </a:rPr>
              <a:t>Headline minus core CPI, percentage points</a:t>
            </a:r>
          </a:p>
        </rich>
      </tx>
    </title>
    <plotArea>
      <barChart>
        <barDir val="col"/>
        <grouping val="clustered"/>
        <ser>
          <idx val="0"/>
          <order val="0"/>
          <spPr>
            <a:solidFill xmlns:a="http://schemas.openxmlformats.org/drawingml/2006/main">
              <a:srgbClr val="DB0011"/>
            </a:solidFill>
            <a:ln xmlns:a="http://schemas.openxmlformats.org/drawingml/2006/main">
              <a:noFill/>
              <a:prstDash val="solid"/>
            </a:ln>
          </spPr>
          <cat>
            <numRef>
              <f>'TermsOfTrade'!$A$6:$A$10</f>
            </numRef>
          </cat>
          <val>
            <numRef>
              <f>'TermsOfTrade'!$F$6:$F$10</f>
            </numRef>
          </val>
        </ser>
        <dLbls>
          <numFmt formatCode="#,##0"/>
          <txPr>
            <a:bodyPr xmlns:a="http://schemas.openxmlformats.org/drawingml/2006/main"/>
            <a:p xmlns:a="http://schemas.openxmlformats.org/drawingml/2006/main">
              <a:pPr>
                <a:defRPr sz="1000" b="1">
                  <a:solidFill>
                    <a:srgbClr val="000000"/>
                  </a:solidFill>
                  <a:latin typeface="Arial"/>
                </a:defRPr>
              </a:pPr>
              <a:r>
                <a:t/>
              </a:r>
              <a:endParaRPr sz="1000" b="1">
                <a:solidFill>
                  <a:srgbClr val="000000"/>
                </a:solidFill>
                <a:latin typeface="Arial"/>
              </a:endParaRPr>
            </a:p>
          </txPr>
          <showVal val="1"/>
        </dLbls>
        <gapWidth val="60"/>
        <axId val="10"/>
        <axId val="100"/>
      </barChart>
      <catAx>
        <axId val="10"/>
        <scaling>
          <orientation val="minMax"/>
        </scaling>
        <delete val="0"/>
        <axPos val="l"/>
        <majorTickMark val="none"/>
        <minorTickMark val="none"/>
        <spPr>
          <a:ln xmlns:a="http://schemas.openxmlformats.org/drawingml/2006/main" w="6350">
            <a:solidFill>
              <a:srgbClr val="D0CECE"/>
            </a:solidFill>
            <a:prstDash val="solid"/>
          </a:ln>
        </spPr>
        <txPr>
          <a:bodyPr xmlns:a="http://schemas.openxmlformats.org/drawingml/2006/main"/>
          <a:p xmlns:a="http://schemas.openxmlformats.org/drawingml/2006/main">
            <a:pPr>
              <a:defRPr sz="950" b="0">
                <a:solidFill>
                  <a:srgbClr val="767576"/>
                </a:solidFill>
                <a:latin typeface="Arial"/>
              </a:defRPr>
            </a:pPr>
            <a:r>
              <a:t/>
            </a:r>
            <a:endParaRPr sz="950" b="0">
              <a:solidFill>
                <a:srgbClr val="767576"/>
              </a:solidFill>
              <a:latin typeface="Arial"/>
            </a:endParaRPr>
          </a:p>
        </txPr>
        <crossAx val="100"/>
        <lblOffset val="100"/>
      </catAx>
      <valAx>
        <axId val="100"/>
        <scaling>
          <orientation val="minMax"/>
        </scaling>
        <delete val="0"/>
        <axPos val="l"/>
        <majorTickMark val="none"/>
        <minorTickMark val="none"/>
        <spPr>
          <a:ln xmlns:a="http://schemas.openxmlformats.org/drawingml/2006/main" w="6350">
            <a:solidFill>
              <a:srgbClr val="D0CECE"/>
            </a:solidFill>
            <a:prstDash val="solid"/>
          </a:ln>
        </spPr>
        <txPr>
          <a:bodyPr xmlns:a="http://schemas.openxmlformats.org/drawingml/2006/main"/>
          <a:p xmlns:a="http://schemas.openxmlformats.org/drawingml/2006/main">
            <a:pPr>
              <a:defRPr sz="950" b="0">
                <a:solidFill>
                  <a:srgbClr val="767576"/>
                </a:solidFill>
                <a:latin typeface="Arial"/>
              </a:defRPr>
            </a:pPr>
            <a:r>
              <a:t/>
            </a:r>
            <a:endParaRPr sz="950" b="0">
              <a:solidFill>
                <a:srgbClr val="767576"/>
              </a:solidFill>
              <a:latin typeface="Arial"/>
            </a:endParaRPr>
          </a:p>
        </txPr>
        <crossAx val="10"/>
      </valAx>
    </plotArea>
    <plotVisOnly val="1"/>
    <dispBlanksAs val="gap"/>
  </chart>
  <spPr>
    <a:ln xmlns:a="http://schemas.openxmlformats.org/drawingml/2006/main">
      <a:noFill/>
      <a:prstDash val="solid"/>
    </a:ln>
  </spPr>
</chartSpace>
</file>

<file path=xl/charts/chart8.xml><?xml version="1.0" encoding="utf-8"?>
<chartSpace xmlns="http://schemas.openxmlformats.org/drawingml/2006/chart">
  <chart>
    <title>
      <tx>
        <rich>
          <a:bodyPr xmlns:a="http://schemas.openxmlformats.org/drawingml/2006/main"/>
          <a:p xmlns:a="http://schemas.openxmlformats.org/drawingml/2006/main">
            <a:pPr>
              <a:defRPr sz="1200" b="1">
                <a:solidFill>
                  <a:srgbClr val="000000"/>
                </a:solidFill>
                <a:latin typeface="Arial"/>
              </a:defRPr>
            </a:pPr>
            <a:r>
              <a:rPr sz="1200" b="1">
                <a:solidFill>
                  <a:srgbClr val="000000"/>
                </a:solidFill>
                <a:latin typeface="Arial"/>
              </a:rPr>
              <a:t>Brent since the Iran war began</a:t>
            </a:r>
          </a:p>
        </rich>
      </tx>
    </title>
    <plotArea>
      <lineChart>
        <grouping val="standard"/>
        <ser>
          <idx val="0"/>
          <order val="0"/>
          <tx>
            <v>Brent, $/bbl</v>
          </tx>
          <spPr>
            <a:ln xmlns:a="http://schemas.openxmlformats.org/drawingml/2006/main" w="20000">
              <a:solidFill>
                <a:srgbClr val="DB0011"/>
              </a:solidFill>
              <a:prstDash val="solid"/>
            </a:ln>
          </spPr>
          <marker>
            <symbol val="none"/>
            <spPr>
              <a:ln xmlns:a="http://schemas.openxmlformats.org/drawingml/2006/main">
                <a:prstDash val="solid"/>
              </a:ln>
            </spPr>
          </marker>
          <cat>
            <numRef>
              <f>'TermsOfTrade'!$A$24:$A$823</f>
            </numRef>
          </cat>
          <val>
            <numRef>
              <f>'TermsOfTrade'!$B$24:$B$823</f>
            </numRef>
          </val>
          <smooth val="0"/>
        </ser>
        <axId val="10"/>
        <axId val="100"/>
      </lineChart>
      <catAx>
        <axId val="10"/>
        <scaling>
          <orientation val="minMax"/>
        </scaling>
        <delete val="0"/>
        <axPos val="l"/>
        <numFmt formatCode="mmm-yy" sourceLinked="0"/>
        <majorTickMark val="none"/>
        <minorTickMark val="none"/>
        <spPr>
          <a:ln xmlns:a="http://schemas.openxmlformats.org/drawingml/2006/main" w="6350">
            <a:solidFill>
              <a:srgbClr val="D0CECE"/>
            </a:solidFill>
            <a:prstDash val="solid"/>
          </a:ln>
        </spPr>
        <txPr>
          <a:bodyPr xmlns:a="http://schemas.openxmlformats.org/drawingml/2006/main"/>
          <a:p xmlns:a="http://schemas.openxmlformats.org/drawingml/2006/main">
            <a:pPr>
              <a:defRPr sz="950" b="0">
                <a:solidFill>
                  <a:srgbClr val="767576"/>
                </a:solidFill>
                <a:latin typeface="Arial"/>
              </a:defRPr>
            </a:pPr>
            <a:r>
              <a:t/>
            </a:r>
            <a:endParaRPr sz="950" b="0">
              <a:solidFill>
                <a:srgbClr val="767576"/>
              </a:solidFill>
              <a:latin typeface="Arial"/>
            </a:endParaRPr>
          </a:p>
        </txPr>
        <crossAx val="100"/>
        <lblOffset val="100"/>
      </catAx>
      <valAx>
        <axId val="100"/>
        <scaling>
          <orientation val="minMax"/>
        </scaling>
        <delete val="0"/>
        <axPos val="l"/>
        <title>
          <tx>
            <rich>
              <a:bodyPr xmlns:a="http://schemas.openxmlformats.org/drawingml/2006/main"/>
              <a:p xmlns:a="http://schemas.openxmlformats.org/drawingml/2006/main">
                <a:pPr>
                  <a:defRPr sz="950" b="0">
                    <a:solidFill>
                      <a:srgbClr val="767576"/>
                    </a:solidFill>
                    <a:latin typeface="Arial"/>
                  </a:defRPr>
                </a:pPr>
                <a:r>
                  <a:t>$/bbl</a:t>
                </a:r>
              </a:p>
            </rich>
          </tx>
        </title>
        <majorTickMark val="none"/>
        <minorTickMark val="none"/>
        <spPr>
          <a:ln xmlns:a="http://schemas.openxmlformats.org/drawingml/2006/main" w="6350">
            <a:solidFill>
              <a:srgbClr val="D0CECE"/>
            </a:solidFill>
            <a:prstDash val="solid"/>
          </a:ln>
        </spPr>
        <txPr>
          <a:bodyPr xmlns:a="http://schemas.openxmlformats.org/drawingml/2006/main"/>
          <a:p xmlns:a="http://schemas.openxmlformats.org/drawingml/2006/main">
            <a:pPr>
              <a:defRPr sz="950" b="0">
                <a:solidFill>
                  <a:srgbClr val="767576"/>
                </a:solidFill>
                <a:latin typeface="Arial"/>
              </a:defRPr>
            </a:pPr>
            <a:r>
              <a:t/>
            </a:r>
            <a:endParaRPr sz="950" b="0">
              <a:solidFill>
                <a:srgbClr val="767576"/>
              </a:solidFill>
              <a:latin typeface="Arial"/>
            </a:endParaRPr>
          </a:p>
        </txPr>
        <crossAx val="10"/>
      </valAx>
    </plotArea>
    <plotVisOnly val="1"/>
    <dispBlanksAs val="gap"/>
  </chart>
  <spPr>
    <a:ln xmlns:a="http://schemas.openxmlformats.org/drawingml/2006/main">
      <a:noFill/>
      <a:prstDash val="solid"/>
    </a:ln>
  </spPr>
</chartSpace>
</file>

<file path=xl/charts/chart9.xml><?xml version="1.0" encoding="utf-8"?>
<chartSpace xmlns="http://schemas.openxmlformats.org/drawingml/2006/chart">
  <chart>
    <title>
      <tx>
        <rich>
          <a:bodyPr xmlns:a="http://schemas.openxmlformats.org/drawingml/2006/main"/>
          <a:p xmlns:a="http://schemas.openxmlformats.org/drawingml/2006/main">
            <a:pPr>
              <a:defRPr sz="1200" b="1">
                <a:solidFill>
                  <a:srgbClr val="000000"/>
                </a:solidFill>
                <a:latin typeface="Arial"/>
              </a:defRPr>
            </a:pPr>
            <a:r>
              <a:rPr sz="1200" b="1">
                <a:solidFill>
                  <a:srgbClr val="000000"/>
                </a:solidFill>
                <a:latin typeface="Arial"/>
              </a:rPr>
              <a:t>Cap weight vs equal weight, YTD, indexed to 100</a:t>
            </a:r>
          </a:p>
        </rich>
      </tx>
    </title>
    <plotArea>
      <lineChart>
        <grouping val="standard"/>
        <ser>
          <idx val="0"/>
          <order val="0"/>
          <tx>
            <v>S&amp;P 500 (cap weighted)</v>
          </tx>
          <spPr>
            <a:ln xmlns:a="http://schemas.openxmlformats.org/drawingml/2006/main" w="20000">
              <a:solidFill>
                <a:srgbClr val="DB0011"/>
              </a:solidFill>
              <a:prstDash val="solid"/>
            </a:ln>
          </spPr>
          <marker>
            <symbol val="none"/>
            <spPr>
              <a:ln xmlns:a="http://schemas.openxmlformats.org/drawingml/2006/main">
                <a:prstDash val="solid"/>
              </a:ln>
            </spPr>
          </marker>
          <cat>
            <numRef>
              <f>'Breadth'!$A$6:$A$805</f>
            </numRef>
          </cat>
          <val>
            <numRef>
              <f>'Breadth'!$D$6:$D$805</f>
            </numRef>
          </val>
          <smooth val="0"/>
        </ser>
        <ser>
          <idx val="1"/>
          <order val="1"/>
          <tx>
            <v>S&amp;P 500 equal weight</v>
          </tx>
          <spPr>
            <a:ln xmlns:a="http://schemas.openxmlformats.org/drawingml/2006/main" w="20000">
              <a:solidFill>
                <a:srgbClr val="44546A"/>
              </a:solidFill>
              <a:prstDash val="solid"/>
            </a:ln>
          </spPr>
          <marker>
            <symbol val="none"/>
            <spPr>
              <a:ln xmlns:a="http://schemas.openxmlformats.org/drawingml/2006/main">
                <a:prstDash val="solid"/>
              </a:ln>
            </spPr>
          </marker>
          <cat>
            <numRef>
              <f>'Breadth'!$A$6:$A$805</f>
            </numRef>
          </cat>
          <val>
            <numRef>
              <f>'Breadth'!$E$6:$E$805</f>
            </numRef>
          </val>
          <smooth val="0"/>
        </ser>
        <axId val="10"/>
        <axId val="100"/>
      </lineChart>
      <catAx>
        <axId val="10"/>
        <scaling>
          <orientation val="minMax"/>
        </scaling>
        <delete val="0"/>
        <axPos val="l"/>
        <numFmt formatCode="mmm-yy" sourceLinked="0"/>
        <majorTickMark val="none"/>
        <minorTickMark val="none"/>
        <spPr>
          <a:ln xmlns:a="http://schemas.openxmlformats.org/drawingml/2006/main" w="6350">
            <a:solidFill>
              <a:srgbClr val="D0CECE"/>
            </a:solidFill>
            <a:prstDash val="solid"/>
          </a:ln>
        </spPr>
        <txPr>
          <a:bodyPr xmlns:a="http://schemas.openxmlformats.org/drawingml/2006/main"/>
          <a:p xmlns:a="http://schemas.openxmlformats.org/drawingml/2006/main">
            <a:pPr>
              <a:defRPr sz="950" b="0">
                <a:solidFill>
                  <a:srgbClr val="767576"/>
                </a:solidFill>
                <a:latin typeface="Arial"/>
              </a:defRPr>
            </a:pPr>
            <a:r>
              <a:t/>
            </a:r>
            <a:endParaRPr sz="950" b="0">
              <a:solidFill>
                <a:srgbClr val="767576"/>
              </a:solidFill>
              <a:latin typeface="Arial"/>
            </a:endParaRPr>
          </a:p>
        </txPr>
        <crossAx val="100"/>
        <lblOffset val="100"/>
      </catAx>
      <valAx>
        <axId val="100"/>
        <scaling>
          <orientation val="minMax"/>
        </scaling>
        <delete val="0"/>
        <axPos val="l"/>
        <title>
          <tx>
            <rich>
              <a:bodyPr xmlns:a="http://schemas.openxmlformats.org/drawingml/2006/main"/>
              <a:p xmlns:a="http://schemas.openxmlformats.org/drawingml/2006/main">
                <a:pPr>
                  <a:defRPr sz="950" b="0">
                    <a:solidFill>
                      <a:srgbClr val="767576"/>
                    </a:solidFill>
                    <a:latin typeface="Arial"/>
                  </a:defRPr>
                </a:pPr>
                <a:r>
                  <a:t>index</a:t>
                </a:r>
              </a:p>
            </rich>
          </tx>
        </title>
        <majorTickMark val="none"/>
        <minorTickMark val="none"/>
        <spPr>
          <a:ln xmlns:a="http://schemas.openxmlformats.org/drawingml/2006/main" w="6350">
            <a:solidFill>
              <a:srgbClr val="D0CECE"/>
            </a:solidFill>
            <a:prstDash val="solid"/>
          </a:ln>
        </spPr>
        <txPr>
          <a:bodyPr xmlns:a="http://schemas.openxmlformats.org/drawingml/2006/main"/>
          <a:p xmlns:a="http://schemas.openxmlformats.org/drawingml/2006/main">
            <a:pPr>
              <a:defRPr sz="950" b="0">
                <a:solidFill>
                  <a:srgbClr val="767576"/>
                </a:solidFill>
                <a:latin typeface="Arial"/>
              </a:defRPr>
            </a:pPr>
            <a:r>
              <a:t/>
            </a:r>
            <a:endParaRPr sz="950" b="0">
              <a:solidFill>
                <a:srgbClr val="767576"/>
              </a:solidFill>
              <a:latin typeface="Arial"/>
            </a:endParaRPr>
          </a:p>
        </txPr>
        <crossAx val="10"/>
      </valAx>
    </plotArea>
    <legend>
      <legendPos val="b"/>
      <overlay val="0"/>
      <txPr>
        <a:bodyPr xmlns:a="http://schemas.openxmlformats.org/drawingml/2006/main"/>
        <a:p xmlns:a="http://schemas.openxmlformats.org/drawingml/2006/main">
          <a:pPr>
            <a:defRPr sz="950" b="0">
              <a:solidFill>
                <a:srgbClr val="000000"/>
              </a:solidFill>
              <a:latin typeface="Arial"/>
            </a:defRPr>
          </a:pPr>
          <a:r>
            <a:t/>
          </a:r>
          <a:endParaRPr sz="950" b="0">
            <a:solidFill>
              <a:srgbClr val="000000"/>
            </a:solidFill>
            <a:latin typeface="Arial"/>
          </a:endParaRPr>
        </a:p>
      </txPr>
    </legend>
    <plotVisOnly val="1"/>
    <dispBlanksAs val="gap"/>
  </chart>
  <spPr>
    <a:ln xmlns:a="http://schemas.openxmlformats.org/drawingml/2006/main">
      <a:noFill/>
      <a:prstDash val="solid"/>
    </a:ln>
  </spPr>
</chartSpace>
</file>

<file path=xl/charts/chart10.xml><?xml version="1.0" encoding="utf-8"?>
<chartSpace xmlns="http://schemas.openxmlformats.org/drawingml/2006/chart">
  <chart>
    <title>
      <tx>
        <rich>
          <a:bodyPr xmlns:a="http://schemas.openxmlformats.org/drawingml/2006/main"/>
          <a:p xmlns:a="http://schemas.openxmlformats.org/drawingml/2006/main">
            <a:pPr>
              <a:defRPr sz="1200" b="1">
                <a:solidFill>
                  <a:srgbClr val="000000"/>
                </a:solidFill>
                <a:latin typeface="Arial"/>
              </a:defRPr>
            </a:pPr>
            <a:r>
              <a:rPr sz="1200" b="1">
                <a:solidFill>
                  <a:srgbClr val="000000"/>
                </a:solidFill>
                <a:latin typeface="Arial"/>
              </a:rPr>
              <a:t>Channel 1 — UST 10y since the Iran war began</a:t>
            </a:r>
          </a:p>
        </rich>
      </tx>
    </title>
    <plotArea>
      <lineChart>
        <grouping val="standard"/>
        <ser>
          <idx val="0"/>
          <order val="0"/>
          <tx>
            <v>UST 10y, %</v>
          </tx>
          <spPr>
            <a:ln xmlns:a="http://schemas.openxmlformats.org/drawingml/2006/main" w="20000">
              <a:solidFill>
                <a:srgbClr val="DB0011"/>
              </a:solidFill>
              <a:prstDash val="solid"/>
            </a:ln>
          </spPr>
          <marker>
            <symbol val="none"/>
            <spPr>
              <a:ln xmlns:a="http://schemas.openxmlformats.org/drawingml/2006/main">
                <a:prstDash val="solid"/>
              </a:ln>
            </spPr>
          </marker>
          <cat>
            <numRef>
              <f>'DiscountRate'!$A$20:$A$819</f>
            </numRef>
          </cat>
          <val>
            <numRef>
              <f>'DiscountRate'!$B$20:$B$819</f>
            </numRef>
          </val>
          <smooth val="0"/>
        </ser>
        <axId val="10"/>
        <axId val="100"/>
      </lineChart>
      <catAx>
        <axId val="10"/>
        <scaling>
          <orientation val="minMax"/>
        </scaling>
        <delete val="0"/>
        <axPos val="l"/>
        <numFmt formatCode="mmm-yy" sourceLinked="0"/>
        <majorTickMark val="none"/>
        <minorTickMark val="none"/>
        <spPr>
          <a:ln xmlns:a="http://schemas.openxmlformats.org/drawingml/2006/main" w="6350">
            <a:solidFill>
              <a:srgbClr val="D0CECE"/>
            </a:solidFill>
            <a:prstDash val="solid"/>
          </a:ln>
        </spPr>
        <txPr>
          <a:bodyPr xmlns:a="http://schemas.openxmlformats.org/drawingml/2006/main"/>
          <a:p xmlns:a="http://schemas.openxmlformats.org/drawingml/2006/main">
            <a:pPr>
              <a:defRPr sz="950" b="0">
                <a:solidFill>
                  <a:srgbClr val="767576"/>
                </a:solidFill>
                <a:latin typeface="Arial"/>
              </a:defRPr>
            </a:pPr>
            <a:r>
              <a:t/>
            </a:r>
            <a:endParaRPr sz="950" b="0">
              <a:solidFill>
                <a:srgbClr val="767576"/>
              </a:solidFill>
              <a:latin typeface="Arial"/>
            </a:endParaRPr>
          </a:p>
        </txPr>
        <crossAx val="100"/>
        <lblOffset val="100"/>
      </catAx>
      <valAx>
        <axId val="100"/>
        <scaling>
          <orientation val="minMax"/>
        </scaling>
        <delete val="0"/>
        <axPos val="l"/>
        <title>
          <tx>
            <rich>
              <a:bodyPr xmlns:a="http://schemas.openxmlformats.org/drawingml/2006/main"/>
              <a:p xmlns:a="http://schemas.openxmlformats.org/drawingml/2006/main">
                <a:pPr>
                  <a:defRPr sz="950" b="0">
                    <a:solidFill>
                      <a:srgbClr val="767576"/>
                    </a:solidFill>
                    <a:latin typeface="Arial"/>
                  </a:defRPr>
                </a:pPr>
                <a:r>
                  <a:t>%</a:t>
                </a:r>
              </a:p>
            </rich>
          </tx>
        </title>
        <majorTickMark val="none"/>
        <minorTickMark val="none"/>
        <spPr>
          <a:ln xmlns:a="http://schemas.openxmlformats.org/drawingml/2006/main" w="6350">
            <a:solidFill>
              <a:srgbClr val="D0CECE"/>
            </a:solidFill>
            <a:prstDash val="solid"/>
          </a:ln>
        </spPr>
        <txPr>
          <a:bodyPr xmlns:a="http://schemas.openxmlformats.org/drawingml/2006/main"/>
          <a:p xmlns:a="http://schemas.openxmlformats.org/drawingml/2006/main">
            <a:pPr>
              <a:defRPr sz="950" b="0">
                <a:solidFill>
                  <a:srgbClr val="767576"/>
                </a:solidFill>
                <a:latin typeface="Arial"/>
              </a:defRPr>
            </a:pPr>
            <a:r>
              <a:t/>
            </a:r>
            <a:endParaRPr sz="950" b="0">
              <a:solidFill>
                <a:srgbClr val="767576"/>
              </a:solidFill>
              <a:latin typeface="Arial"/>
            </a:endParaRPr>
          </a:p>
        </txPr>
        <crossAx val="10"/>
      </valAx>
    </plotArea>
    <plotVisOnly val="1"/>
    <dispBlanksAs val="gap"/>
  </chart>
  <spPr>
    <a:ln xmlns:a="http://schemas.openxmlformats.org/drawingml/2006/main">
      <a:noFill/>
      <a:prstDash val="solid"/>
    </a:ln>
  </spPr>
</chartSpace>
</file>

<file path=xl/charts/chart11.xml><?xml version="1.0" encoding="utf-8"?>
<chartSpace xmlns="http://schemas.openxmlformats.org/drawingml/2006/chart">
  <chart>
    <title>
      <tx>
        <rich>
          <a:bodyPr xmlns:a="http://schemas.openxmlformats.org/drawingml/2006/main"/>
          <a:p xmlns:a="http://schemas.openxmlformats.org/drawingml/2006/main">
            <a:pPr>
              <a:defRPr sz="1200" b="1">
                <a:solidFill>
                  <a:srgbClr val="000000"/>
                </a:solidFill>
                <a:latin typeface="Arial"/>
              </a:defRPr>
            </a:pPr>
            <a:r>
              <a:rPr sz="1200" b="1">
                <a:solidFill>
                  <a:srgbClr val="000000"/>
                </a:solidFill>
                <a:latin typeface="Arial"/>
              </a:rPr>
              <a:t>Channel 2 — Brent since the Iran war began</a:t>
            </a:r>
          </a:p>
        </rich>
      </tx>
    </title>
    <plotArea>
      <lineChart>
        <grouping val="standard"/>
        <ser>
          <idx val="0"/>
          <order val="0"/>
          <tx>
            <v>Brent, $/bbl</v>
          </tx>
          <spPr>
            <a:ln xmlns:a="http://schemas.openxmlformats.org/drawingml/2006/main" w="20000">
              <a:solidFill>
                <a:srgbClr val="DB0011"/>
              </a:solidFill>
              <a:prstDash val="solid"/>
            </a:ln>
          </spPr>
          <marker>
            <symbol val="none"/>
            <spPr>
              <a:ln xmlns:a="http://schemas.openxmlformats.org/drawingml/2006/main">
                <a:prstDash val="solid"/>
              </a:ln>
            </spPr>
          </marker>
          <cat>
            <numRef>
              <f>'TermsOfTrade'!$A$24:$A$823</f>
            </numRef>
          </cat>
          <val>
            <numRef>
              <f>'TermsOfTrade'!$B$24:$B$823</f>
            </numRef>
          </val>
          <smooth val="0"/>
        </ser>
        <axId val="10"/>
        <axId val="100"/>
      </lineChart>
      <catAx>
        <axId val="10"/>
        <scaling>
          <orientation val="minMax"/>
        </scaling>
        <delete val="0"/>
        <axPos val="l"/>
        <numFmt formatCode="mmm-yy" sourceLinked="0"/>
        <majorTickMark val="none"/>
        <minorTickMark val="none"/>
        <spPr>
          <a:ln xmlns:a="http://schemas.openxmlformats.org/drawingml/2006/main" w="6350">
            <a:solidFill>
              <a:srgbClr val="D0CECE"/>
            </a:solidFill>
            <a:prstDash val="solid"/>
          </a:ln>
        </spPr>
        <txPr>
          <a:bodyPr xmlns:a="http://schemas.openxmlformats.org/drawingml/2006/main"/>
          <a:p xmlns:a="http://schemas.openxmlformats.org/drawingml/2006/main">
            <a:pPr>
              <a:defRPr sz="950" b="0">
                <a:solidFill>
                  <a:srgbClr val="767576"/>
                </a:solidFill>
                <a:latin typeface="Arial"/>
              </a:defRPr>
            </a:pPr>
            <a:r>
              <a:t/>
            </a:r>
            <a:endParaRPr sz="950" b="0">
              <a:solidFill>
                <a:srgbClr val="767576"/>
              </a:solidFill>
              <a:latin typeface="Arial"/>
            </a:endParaRPr>
          </a:p>
        </txPr>
        <crossAx val="100"/>
        <lblOffset val="100"/>
      </catAx>
      <valAx>
        <axId val="100"/>
        <scaling>
          <orientation val="minMax"/>
        </scaling>
        <delete val="0"/>
        <axPos val="l"/>
        <title>
          <tx>
            <rich>
              <a:bodyPr xmlns:a="http://schemas.openxmlformats.org/drawingml/2006/main"/>
              <a:p xmlns:a="http://schemas.openxmlformats.org/drawingml/2006/main">
                <a:pPr>
                  <a:defRPr sz="950" b="0">
                    <a:solidFill>
                      <a:srgbClr val="767576"/>
                    </a:solidFill>
                    <a:latin typeface="Arial"/>
                  </a:defRPr>
                </a:pPr>
                <a:r>
                  <a:t>$/bbl</a:t>
                </a:r>
              </a:p>
            </rich>
          </tx>
        </title>
        <majorTickMark val="none"/>
        <minorTickMark val="none"/>
        <spPr>
          <a:ln xmlns:a="http://schemas.openxmlformats.org/drawingml/2006/main" w="6350">
            <a:solidFill>
              <a:srgbClr val="D0CECE"/>
            </a:solidFill>
            <a:prstDash val="solid"/>
          </a:ln>
        </spPr>
        <txPr>
          <a:bodyPr xmlns:a="http://schemas.openxmlformats.org/drawingml/2006/main"/>
          <a:p xmlns:a="http://schemas.openxmlformats.org/drawingml/2006/main">
            <a:pPr>
              <a:defRPr sz="950" b="0">
                <a:solidFill>
                  <a:srgbClr val="767576"/>
                </a:solidFill>
                <a:latin typeface="Arial"/>
              </a:defRPr>
            </a:pPr>
            <a:r>
              <a:t/>
            </a:r>
            <a:endParaRPr sz="950" b="0">
              <a:solidFill>
                <a:srgbClr val="767576"/>
              </a:solidFill>
              <a:latin typeface="Arial"/>
            </a:endParaRPr>
          </a:p>
        </txPr>
        <crossAx val="10"/>
      </valAx>
    </plotArea>
    <plotVisOnly val="1"/>
    <dispBlanksAs val="gap"/>
  </chart>
  <spPr>
    <a:ln xmlns:a="http://schemas.openxmlformats.org/drawingml/2006/main">
      <a:noFill/>
      <a:prstDash val="solid"/>
    </a:ln>
  </spPr>
</chartSpace>
</file>

<file path=xl/charts/chart12.xml><?xml version="1.0" encoding="utf-8"?>
<chartSpace xmlns="http://schemas.openxmlformats.org/drawingml/2006/chart">
  <chart>
    <title>
      <tx>
        <rich>
          <a:bodyPr xmlns:a="http://schemas.openxmlformats.org/drawingml/2006/main"/>
          <a:p xmlns:a="http://schemas.openxmlformats.org/drawingml/2006/main">
            <a:pPr>
              <a:defRPr sz="1200" b="1">
                <a:solidFill>
                  <a:srgbClr val="000000"/>
                </a:solidFill>
                <a:latin typeface="Arial"/>
              </a:defRPr>
            </a:pPr>
            <a:r>
              <a:rPr sz="1200" b="1">
                <a:solidFill>
                  <a:srgbClr val="000000"/>
                </a:solidFill>
                <a:latin typeface="Arial"/>
              </a:rPr>
              <a:t>Channel 2b — US headline vs core CPI, % y/y</a:t>
            </a:r>
          </a:p>
        </rich>
      </tx>
    </title>
    <plotArea>
      <lineChart>
        <grouping val="standard"/>
        <ser>
          <idx val="0"/>
          <order val="0"/>
          <tx>
            <v>Headline CPI y/y</v>
          </tx>
          <spPr>
            <a:ln xmlns:a="http://schemas.openxmlformats.org/drawingml/2006/main" w="20000">
              <a:solidFill>
                <a:srgbClr val="DB0011"/>
              </a:solidFill>
              <a:prstDash val="solid"/>
            </a:ln>
          </spPr>
          <marker>
            <symbol val="none"/>
            <spPr>
              <a:ln xmlns:a="http://schemas.openxmlformats.org/drawingml/2006/main">
                <a:prstDash val="solid"/>
              </a:ln>
            </spPr>
          </marker>
          <cat>
            <numRef>
              <f>'Q2a Macro'!$B$53:$B$852</f>
            </numRef>
          </cat>
          <val>
            <numRef>
              <f>'Q2a Macro'!$C$53:$C$852</f>
            </numRef>
          </val>
          <smooth val="0"/>
        </ser>
        <ser>
          <idx val="1"/>
          <order val="1"/>
          <tx>
            <v>Core CPI y/y</v>
          </tx>
          <spPr>
            <a:ln xmlns:a="http://schemas.openxmlformats.org/drawingml/2006/main" w="20000">
              <a:solidFill>
                <a:srgbClr val="44546A"/>
              </a:solidFill>
              <a:prstDash val="solid"/>
            </a:ln>
          </spPr>
          <marker>
            <symbol val="none"/>
            <spPr>
              <a:ln xmlns:a="http://schemas.openxmlformats.org/drawingml/2006/main">
                <a:prstDash val="solid"/>
              </a:ln>
            </spPr>
          </marker>
          <cat>
            <numRef>
              <f>'Q2a Macro'!$B$53:$B$852</f>
            </numRef>
          </cat>
          <val>
            <numRef>
              <f>'Q2a Macro'!$D$53:$D$852</f>
            </numRef>
          </val>
          <smooth val="0"/>
        </ser>
        <ser>
          <idx val="2"/>
          <order val="2"/>
          <tx>
            <v>Wedge, pp</v>
          </tx>
          <spPr>
            <a:ln xmlns:a="http://schemas.openxmlformats.org/drawingml/2006/main" w="9000">
              <a:solidFill>
                <a:srgbClr val="767576"/>
              </a:solidFill>
              <a:prstDash val="dash"/>
            </a:ln>
          </spPr>
          <marker>
            <symbol val="none"/>
            <spPr>
              <a:ln xmlns:a="http://schemas.openxmlformats.org/drawingml/2006/main">
                <a:prstDash val="solid"/>
              </a:ln>
            </spPr>
          </marker>
          <cat>
            <numRef>
              <f>'Q2a Macro'!$B$53:$B$852</f>
            </numRef>
          </cat>
          <val>
            <numRef>
              <f>'Q2a Macro'!$E$53:$E$852</f>
            </numRef>
          </val>
          <smooth val="0"/>
        </ser>
        <axId val="10"/>
        <axId val="100"/>
      </lineChart>
      <catAx>
        <axId val="10"/>
        <scaling>
          <orientation val="minMax"/>
        </scaling>
        <delete val="0"/>
        <axPos val="l"/>
        <numFmt formatCode="mmm-yy" sourceLinked="0"/>
        <majorTickMark val="none"/>
        <minorTickMark val="none"/>
        <spPr>
          <a:ln xmlns:a="http://schemas.openxmlformats.org/drawingml/2006/main" w="6350">
            <a:solidFill>
              <a:srgbClr val="D0CECE"/>
            </a:solidFill>
            <a:prstDash val="solid"/>
          </a:ln>
        </spPr>
        <txPr>
          <a:bodyPr xmlns:a="http://schemas.openxmlformats.org/drawingml/2006/main"/>
          <a:p xmlns:a="http://schemas.openxmlformats.org/drawingml/2006/main">
            <a:pPr>
              <a:defRPr sz="950" b="0">
                <a:solidFill>
                  <a:srgbClr val="767576"/>
                </a:solidFill>
                <a:latin typeface="Arial"/>
              </a:defRPr>
            </a:pPr>
            <a:r>
              <a:t/>
            </a:r>
            <a:endParaRPr sz="950" b="0">
              <a:solidFill>
                <a:srgbClr val="767576"/>
              </a:solidFill>
              <a:latin typeface="Arial"/>
            </a:endParaRPr>
          </a:p>
        </txPr>
        <crossAx val="100"/>
        <lblOffset val="100"/>
      </catAx>
      <valAx>
        <axId val="100"/>
        <scaling>
          <orientation val="minMax"/>
        </scaling>
        <delete val="0"/>
        <axPos val="l"/>
        <title>
          <tx>
            <rich>
              <a:bodyPr xmlns:a="http://schemas.openxmlformats.org/drawingml/2006/main"/>
              <a:p xmlns:a="http://schemas.openxmlformats.org/drawingml/2006/main">
                <a:pPr>
                  <a:defRPr sz="950" b="0">
                    <a:solidFill>
                      <a:srgbClr val="767576"/>
                    </a:solidFill>
                    <a:latin typeface="Arial"/>
                  </a:defRPr>
                </a:pPr>
                <a:r>
                  <a:t>% y/y</a:t>
                </a:r>
              </a:p>
            </rich>
          </tx>
        </title>
        <majorTickMark val="none"/>
        <minorTickMark val="none"/>
        <spPr>
          <a:ln xmlns:a="http://schemas.openxmlformats.org/drawingml/2006/main" w="6350">
            <a:solidFill>
              <a:srgbClr val="D0CECE"/>
            </a:solidFill>
            <a:prstDash val="solid"/>
          </a:ln>
        </spPr>
        <txPr>
          <a:bodyPr xmlns:a="http://schemas.openxmlformats.org/drawingml/2006/main"/>
          <a:p xmlns:a="http://schemas.openxmlformats.org/drawingml/2006/main">
            <a:pPr>
              <a:defRPr sz="950" b="0">
                <a:solidFill>
                  <a:srgbClr val="767576"/>
                </a:solidFill>
                <a:latin typeface="Arial"/>
              </a:defRPr>
            </a:pPr>
            <a:r>
              <a:t/>
            </a:r>
            <a:endParaRPr sz="950" b="0">
              <a:solidFill>
                <a:srgbClr val="767576"/>
              </a:solidFill>
              <a:latin typeface="Arial"/>
            </a:endParaRPr>
          </a:p>
        </txPr>
        <crossAx val="10"/>
      </valAx>
    </plotArea>
    <legend>
      <legendPos val="b"/>
      <overlay val="0"/>
      <txPr>
        <a:bodyPr xmlns:a="http://schemas.openxmlformats.org/drawingml/2006/main"/>
        <a:p xmlns:a="http://schemas.openxmlformats.org/drawingml/2006/main">
          <a:pPr>
            <a:defRPr sz="950" b="0">
              <a:solidFill>
                <a:srgbClr val="000000"/>
              </a:solidFill>
              <a:latin typeface="Arial"/>
            </a:defRPr>
          </a:pPr>
          <a:r>
            <a:t/>
          </a:r>
          <a:endParaRPr sz="950" b="0">
            <a:solidFill>
              <a:srgbClr val="000000"/>
            </a:solidFill>
            <a:latin typeface="Arial"/>
          </a:endParaRPr>
        </a:p>
      </txPr>
    </legend>
    <plotVisOnly val="1"/>
    <dispBlanksAs val="gap"/>
  </chart>
  <spPr>
    <a:ln xmlns:a="http://schemas.openxmlformats.org/drawingml/2006/main">
      <a:noFill/>
      <a:prstDash val="solid"/>
    </a:ln>
  </spPr>
</chartSpace>
</file>

<file path=xl/charts/chart13.xml><?xml version="1.0" encoding="utf-8"?>
<chartSpace xmlns="http://schemas.openxmlformats.org/drawingml/2006/chart">
  <chart>
    <title>
      <tx>
        <rich>
          <a:bodyPr xmlns:a="http://schemas.openxmlformats.org/drawingml/2006/main"/>
          <a:p xmlns:a="http://schemas.openxmlformats.org/drawingml/2006/main">
            <a:pPr>
              <a:defRPr sz="1200" b="1">
                <a:solidFill>
                  <a:srgbClr val="000000"/>
                </a:solidFill>
                <a:latin typeface="Arial"/>
              </a:defRPr>
            </a:pPr>
            <a:r>
              <a:rPr sz="1200" b="1">
                <a:solidFill>
                  <a:srgbClr val="000000"/>
                </a:solidFill>
                <a:latin typeface="Arial"/>
              </a:rPr>
              <a:t>Channel 4 — realised vs implied volatility</a:t>
            </a:r>
          </a:p>
        </rich>
      </tx>
    </title>
    <plotArea>
      <lineChart>
        <grouping val="standard"/>
        <ser>
          <idx val="0"/>
          <order val="0"/>
          <tx>
            <v>KOSPI 200 realised vol, 30d</v>
          </tx>
          <spPr>
            <a:ln xmlns:a="http://schemas.openxmlformats.org/drawingml/2006/main" w="20000">
              <a:solidFill>
                <a:srgbClr val="DB0011"/>
              </a:solidFill>
              <a:prstDash val="solid"/>
            </a:ln>
          </spPr>
          <marker>
            <symbol val="none"/>
            <spPr>
              <a:ln xmlns:a="http://schemas.openxmlformats.org/drawingml/2006/main">
                <a:prstDash val="solid"/>
              </a:ln>
            </spPr>
          </marker>
          <cat>
            <numRef>
              <f>'VolRegime'!$A$17:$A$816</f>
            </numRef>
          </cat>
          <val>
            <numRef>
              <f>'VolRegime'!$B$17:$B$816</f>
            </numRef>
          </val>
          <smooth val="0"/>
        </ser>
        <ser>
          <idx val="1"/>
          <order val="1"/>
          <tx>
            <v>VKOSPI</v>
          </tx>
          <spPr>
            <a:ln xmlns:a="http://schemas.openxmlformats.org/drawingml/2006/main" w="20000">
              <a:solidFill>
                <a:srgbClr val="44546A"/>
              </a:solidFill>
              <a:prstDash val="solid"/>
            </a:ln>
          </spPr>
          <marker>
            <symbol val="none"/>
            <spPr>
              <a:ln xmlns:a="http://schemas.openxmlformats.org/drawingml/2006/main">
                <a:prstDash val="solid"/>
              </a:ln>
            </spPr>
          </marker>
          <cat>
            <numRef>
              <f>'VolRegime'!$A$17:$A$816</f>
            </numRef>
          </cat>
          <val>
            <numRef>
              <f>'VolRegime'!$C$17:$C$816</f>
            </numRef>
          </val>
          <smooth val="0"/>
        </ser>
        <ser>
          <idx val="2"/>
          <order val="2"/>
          <tx>
            <v>VIX</v>
          </tx>
          <spPr>
            <a:ln xmlns:a="http://schemas.openxmlformats.org/drawingml/2006/main" w="20000">
              <a:solidFill>
                <a:srgbClr val="9FB4CA"/>
              </a:solidFill>
              <a:prstDash val="solid"/>
            </a:ln>
          </spPr>
          <marker>
            <symbol val="none"/>
            <spPr>
              <a:ln xmlns:a="http://schemas.openxmlformats.org/drawingml/2006/main">
                <a:prstDash val="solid"/>
              </a:ln>
            </spPr>
          </marker>
          <cat>
            <numRef>
              <f>'VolRegime'!$A$17:$A$816</f>
            </numRef>
          </cat>
          <val>
            <numRef>
              <f>'VolRegime'!$D$17:$D$816</f>
            </numRef>
          </val>
          <smooth val="0"/>
        </ser>
        <axId val="10"/>
        <axId val="100"/>
      </lineChart>
      <catAx>
        <axId val="10"/>
        <scaling>
          <orientation val="minMax"/>
        </scaling>
        <delete val="0"/>
        <axPos val="l"/>
        <numFmt formatCode="mmm-yy" sourceLinked="0"/>
        <majorTickMark val="none"/>
        <minorTickMark val="none"/>
        <spPr>
          <a:ln xmlns:a="http://schemas.openxmlformats.org/drawingml/2006/main" w="6350">
            <a:solidFill>
              <a:srgbClr val="D0CECE"/>
            </a:solidFill>
            <a:prstDash val="solid"/>
          </a:ln>
        </spPr>
        <txPr>
          <a:bodyPr xmlns:a="http://schemas.openxmlformats.org/drawingml/2006/main"/>
          <a:p xmlns:a="http://schemas.openxmlformats.org/drawingml/2006/main">
            <a:pPr>
              <a:defRPr sz="950" b="0">
                <a:solidFill>
                  <a:srgbClr val="767576"/>
                </a:solidFill>
                <a:latin typeface="Arial"/>
              </a:defRPr>
            </a:pPr>
            <a:r>
              <a:t/>
            </a:r>
            <a:endParaRPr sz="950" b="0">
              <a:solidFill>
                <a:srgbClr val="767576"/>
              </a:solidFill>
              <a:latin typeface="Arial"/>
            </a:endParaRPr>
          </a:p>
        </txPr>
        <crossAx val="100"/>
        <lblOffset val="100"/>
      </catAx>
      <valAx>
        <axId val="100"/>
        <scaling>
          <orientation val="minMax"/>
        </scaling>
        <delete val="0"/>
        <axPos val="l"/>
        <title>
          <tx>
            <rich>
              <a:bodyPr xmlns:a="http://schemas.openxmlformats.org/drawingml/2006/main"/>
              <a:p xmlns:a="http://schemas.openxmlformats.org/drawingml/2006/main">
                <a:pPr>
                  <a:defRPr sz="950" b="0">
                    <a:solidFill>
                      <a:srgbClr val="767576"/>
                    </a:solidFill>
                    <a:latin typeface="Arial"/>
                  </a:defRPr>
                </a:pPr>
                <a:r>
                  <a:t>vol, %</a:t>
                </a:r>
              </a:p>
            </rich>
          </tx>
        </title>
        <majorTickMark val="none"/>
        <minorTickMark val="none"/>
        <spPr>
          <a:ln xmlns:a="http://schemas.openxmlformats.org/drawingml/2006/main" w="6350">
            <a:solidFill>
              <a:srgbClr val="D0CECE"/>
            </a:solidFill>
            <a:prstDash val="solid"/>
          </a:ln>
        </spPr>
        <txPr>
          <a:bodyPr xmlns:a="http://schemas.openxmlformats.org/drawingml/2006/main"/>
          <a:p xmlns:a="http://schemas.openxmlformats.org/drawingml/2006/main">
            <a:pPr>
              <a:defRPr sz="950" b="0">
                <a:solidFill>
                  <a:srgbClr val="767576"/>
                </a:solidFill>
                <a:latin typeface="Arial"/>
              </a:defRPr>
            </a:pPr>
            <a:r>
              <a:t/>
            </a:r>
            <a:endParaRPr sz="950" b="0">
              <a:solidFill>
                <a:srgbClr val="767576"/>
              </a:solidFill>
              <a:latin typeface="Arial"/>
            </a:endParaRPr>
          </a:p>
        </txPr>
        <crossAx val="10"/>
      </valAx>
    </plotArea>
    <legend>
      <legendPos val="b"/>
      <overlay val="0"/>
      <txPr>
        <a:bodyPr xmlns:a="http://schemas.openxmlformats.org/drawingml/2006/main"/>
        <a:p xmlns:a="http://schemas.openxmlformats.org/drawingml/2006/main">
          <a:pPr>
            <a:defRPr sz="950" b="0">
              <a:solidFill>
                <a:srgbClr val="000000"/>
              </a:solidFill>
              <a:latin typeface="Arial"/>
            </a:defRPr>
          </a:pPr>
          <a:r>
            <a:t/>
          </a:r>
          <a:endParaRPr sz="950" b="0">
            <a:solidFill>
              <a:srgbClr val="000000"/>
            </a:solidFill>
            <a:latin typeface="Arial"/>
          </a:endParaRPr>
        </a:p>
      </txPr>
    </legend>
    <plotVisOnly val="1"/>
    <dispBlanksAs val="gap"/>
  </chart>
  <spPr>
    <a:ln xmlns:a="http://schemas.openxmlformats.org/drawingml/2006/main">
      <a:noFill/>
      <a:prstDash val="solid"/>
    </a:ln>
  </spPr>
</chartSpace>
</file>

<file path=xl/charts/chart14.xml><?xml version="1.0" encoding="utf-8"?>
<chartSpace xmlns="http://schemas.openxmlformats.org/drawingml/2006/chart">
  <chart>
    <title>
      <tx>
        <rich>
          <a:bodyPr xmlns:a="http://schemas.openxmlformats.org/drawingml/2006/main"/>
          <a:p xmlns:a="http://schemas.openxmlformats.org/drawingml/2006/main">
            <a:pPr>
              <a:defRPr sz="1200" b="1">
                <a:solidFill>
                  <a:srgbClr val="000000"/>
                </a:solidFill>
                <a:latin typeface="Arial"/>
              </a:defRPr>
            </a:pPr>
            <a:r>
              <a:rPr sz="1200" b="1">
                <a:solidFill>
                  <a:srgbClr val="000000"/>
                </a:solidFill>
                <a:latin typeface="Arial"/>
              </a:rPr>
              <a:t>Lens 1 — implied equity risk premium by market, bp</a:t>
            </a:r>
          </a:p>
        </rich>
      </tx>
    </title>
    <plotArea>
      <barChart>
        <barDir val="col"/>
        <grouping val="clustered"/>
        <ser>
          <idx val="0"/>
          <order val="0"/>
          <spPr>
            <a:solidFill xmlns:a="http://schemas.openxmlformats.org/drawingml/2006/main">
              <a:srgbClr val="DB0011"/>
            </a:solidFill>
            <a:ln xmlns:a="http://schemas.openxmlformats.org/drawingml/2006/main">
              <a:noFill/>
              <a:prstDash val="solid"/>
            </a:ln>
          </spPr>
          <cat>
            <numRef>
              <f>'ERP'!$A$6:$A$11</f>
            </numRef>
          </cat>
          <val>
            <numRef>
              <f>'ERP'!$G$6:$G$11</f>
            </numRef>
          </val>
        </ser>
        <dLbls>
          <numFmt formatCode="#,##0"/>
          <txPr>
            <a:bodyPr xmlns:a="http://schemas.openxmlformats.org/drawingml/2006/main"/>
            <a:p xmlns:a="http://schemas.openxmlformats.org/drawingml/2006/main">
              <a:pPr>
                <a:defRPr sz="1000" b="1">
                  <a:solidFill>
                    <a:srgbClr val="000000"/>
                  </a:solidFill>
                  <a:latin typeface="Arial"/>
                </a:defRPr>
              </a:pPr>
              <a:r>
                <a:t/>
              </a:r>
              <a:endParaRPr sz="1000" b="1">
                <a:solidFill>
                  <a:srgbClr val="000000"/>
                </a:solidFill>
                <a:latin typeface="Arial"/>
              </a:endParaRPr>
            </a:p>
          </txPr>
          <showVal val="1"/>
        </dLbls>
        <gapWidth val="60"/>
        <axId val="10"/>
        <axId val="100"/>
      </barChart>
      <catAx>
        <axId val="10"/>
        <scaling>
          <orientation val="minMax"/>
        </scaling>
        <delete val="0"/>
        <axPos val="l"/>
        <majorTickMark val="none"/>
        <minorTickMark val="none"/>
        <spPr>
          <a:ln xmlns:a="http://schemas.openxmlformats.org/drawingml/2006/main" w="6350">
            <a:solidFill>
              <a:srgbClr val="D0CECE"/>
            </a:solidFill>
            <a:prstDash val="solid"/>
          </a:ln>
        </spPr>
        <txPr>
          <a:bodyPr xmlns:a="http://schemas.openxmlformats.org/drawingml/2006/main"/>
          <a:p xmlns:a="http://schemas.openxmlformats.org/drawingml/2006/main">
            <a:pPr>
              <a:defRPr sz="950" b="0">
                <a:solidFill>
                  <a:srgbClr val="767576"/>
                </a:solidFill>
                <a:latin typeface="Arial"/>
              </a:defRPr>
            </a:pPr>
            <a:r>
              <a:t/>
            </a:r>
            <a:endParaRPr sz="950" b="0">
              <a:solidFill>
                <a:srgbClr val="767576"/>
              </a:solidFill>
              <a:latin typeface="Arial"/>
            </a:endParaRPr>
          </a:p>
        </txPr>
        <crossAx val="100"/>
        <lblOffset val="100"/>
      </catAx>
      <valAx>
        <axId val="100"/>
        <scaling>
          <orientation val="minMax"/>
        </scaling>
        <delete val="0"/>
        <axPos val="l"/>
        <majorTickMark val="none"/>
        <minorTickMark val="none"/>
        <spPr>
          <a:ln xmlns:a="http://schemas.openxmlformats.org/drawingml/2006/main" w="6350">
            <a:solidFill>
              <a:srgbClr val="D0CECE"/>
            </a:solidFill>
            <a:prstDash val="solid"/>
          </a:ln>
        </spPr>
        <txPr>
          <a:bodyPr xmlns:a="http://schemas.openxmlformats.org/drawingml/2006/main"/>
          <a:p xmlns:a="http://schemas.openxmlformats.org/drawingml/2006/main">
            <a:pPr>
              <a:defRPr sz="950" b="0">
                <a:solidFill>
                  <a:srgbClr val="767576"/>
                </a:solidFill>
                <a:latin typeface="Arial"/>
              </a:defRPr>
            </a:pPr>
            <a:r>
              <a:t/>
            </a:r>
            <a:endParaRPr sz="950" b="0">
              <a:solidFill>
                <a:srgbClr val="767576"/>
              </a:solidFill>
              <a:latin typeface="Arial"/>
            </a:endParaRPr>
          </a:p>
        </txPr>
        <crossAx val="10"/>
      </valAx>
    </plotArea>
    <plotVisOnly val="1"/>
    <dispBlanksAs val="gap"/>
  </chart>
  <spPr>
    <a:ln xmlns:a="http://schemas.openxmlformats.org/drawingml/2006/main">
      <a:noFill/>
      <a:prstDash val="solid"/>
    </a:ln>
  </spPr>
</chartSpace>
</file>

<file path=xl/charts/chart15.xml><?xml version="1.0" encoding="utf-8"?>
<chartSpace xmlns="http://schemas.openxmlformats.org/drawingml/2006/chart">
  <chart>
    <title>
      <tx>
        <rich>
          <a:bodyPr xmlns:a="http://schemas.openxmlformats.org/drawingml/2006/main"/>
          <a:p xmlns:a="http://schemas.openxmlformats.org/drawingml/2006/main">
            <a:pPr>
              <a:defRPr sz="1200" b="1">
                <a:solidFill>
                  <a:srgbClr val="000000"/>
                </a:solidFill>
                <a:latin typeface="Arial"/>
              </a:defRPr>
            </a:pPr>
            <a:r>
              <a:rPr sz="1200" b="1">
                <a:solidFill>
                  <a:srgbClr val="000000"/>
                </a:solidFill>
                <a:latin typeface="Arial"/>
              </a:rPr>
              <a:t>Lens 1 — S&amp;P 500 implied ERP through time, bp</a:t>
            </a:r>
          </a:p>
        </rich>
      </tx>
    </title>
    <plotArea>
      <lineChart>
        <grouping val="standard"/>
        <ser>
          <idx val="0"/>
          <order val="0"/>
          <tx>
            <v>S&amp;P 500 implied ERP, bp</v>
          </tx>
          <spPr>
            <a:ln xmlns:a="http://schemas.openxmlformats.org/drawingml/2006/main" w="20000">
              <a:solidFill>
                <a:srgbClr val="DB0011"/>
              </a:solidFill>
              <a:prstDash val="solid"/>
            </a:ln>
          </spPr>
          <marker>
            <symbol val="none"/>
            <spPr>
              <a:ln xmlns:a="http://schemas.openxmlformats.org/drawingml/2006/main">
                <a:prstDash val="solid"/>
              </a:ln>
            </spPr>
          </marker>
          <cat>
            <numRef>
              <f>'ERP'!$A$23:$A$822</f>
            </numRef>
          </cat>
          <val>
            <numRef>
              <f>'ERP'!$E$23:$E$822</f>
            </numRef>
          </val>
          <smooth val="0"/>
        </ser>
        <axId val="10"/>
        <axId val="100"/>
      </lineChart>
      <catAx>
        <axId val="10"/>
        <scaling>
          <orientation val="minMax"/>
        </scaling>
        <delete val="0"/>
        <axPos val="l"/>
        <numFmt formatCode="mmm-yy" sourceLinked="0"/>
        <majorTickMark val="none"/>
        <minorTickMark val="none"/>
        <spPr>
          <a:ln xmlns:a="http://schemas.openxmlformats.org/drawingml/2006/main" w="6350">
            <a:solidFill>
              <a:srgbClr val="D0CECE"/>
            </a:solidFill>
            <a:prstDash val="solid"/>
          </a:ln>
        </spPr>
        <txPr>
          <a:bodyPr xmlns:a="http://schemas.openxmlformats.org/drawingml/2006/main"/>
          <a:p xmlns:a="http://schemas.openxmlformats.org/drawingml/2006/main">
            <a:pPr>
              <a:defRPr sz="950" b="0">
                <a:solidFill>
                  <a:srgbClr val="767576"/>
                </a:solidFill>
                <a:latin typeface="Arial"/>
              </a:defRPr>
            </a:pPr>
            <a:r>
              <a:t/>
            </a:r>
            <a:endParaRPr sz="950" b="0">
              <a:solidFill>
                <a:srgbClr val="767576"/>
              </a:solidFill>
              <a:latin typeface="Arial"/>
            </a:endParaRPr>
          </a:p>
        </txPr>
        <crossAx val="100"/>
        <lblOffset val="100"/>
      </catAx>
      <valAx>
        <axId val="100"/>
        <scaling>
          <orientation val="minMax"/>
        </scaling>
        <delete val="0"/>
        <axPos val="l"/>
        <title>
          <tx>
            <rich>
              <a:bodyPr xmlns:a="http://schemas.openxmlformats.org/drawingml/2006/main"/>
              <a:p xmlns:a="http://schemas.openxmlformats.org/drawingml/2006/main">
                <a:pPr>
                  <a:defRPr sz="950" b="0">
                    <a:solidFill>
                      <a:srgbClr val="767576"/>
                    </a:solidFill>
                    <a:latin typeface="Arial"/>
                  </a:defRPr>
                </a:pPr>
                <a:r>
                  <a:t>bp</a:t>
                </a:r>
              </a:p>
            </rich>
          </tx>
        </title>
        <majorTickMark val="none"/>
        <minorTickMark val="none"/>
        <spPr>
          <a:ln xmlns:a="http://schemas.openxmlformats.org/drawingml/2006/main" w="6350">
            <a:solidFill>
              <a:srgbClr val="D0CECE"/>
            </a:solidFill>
            <a:prstDash val="solid"/>
          </a:ln>
        </spPr>
        <txPr>
          <a:bodyPr xmlns:a="http://schemas.openxmlformats.org/drawingml/2006/main"/>
          <a:p xmlns:a="http://schemas.openxmlformats.org/drawingml/2006/main">
            <a:pPr>
              <a:defRPr sz="950" b="0">
                <a:solidFill>
                  <a:srgbClr val="767576"/>
                </a:solidFill>
                <a:latin typeface="Arial"/>
              </a:defRPr>
            </a:pPr>
            <a:r>
              <a:t/>
            </a:r>
            <a:endParaRPr sz="950" b="0">
              <a:solidFill>
                <a:srgbClr val="767576"/>
              </a:solidFill>
              <a:latin typeface="Arial"/>
            </a:endParaRPr>
          </a:p>
        </txPr>
        <crossAx val="10"/>
      </valAx>
    </plotArea>
    <plotVisOnly val="1"/>
    <dispBlanksAs val="gap"/>
  </chart>
  <spPr>
    <a:ln xmlns:a="http://schemas.openxmlformats.org/drawingml/2006/main">
      <a:noFill/>
      <a:prstDash val="solid"/>
    </a:ln>
  </spPr>
</chartSpace>
</file>

<file path=xl/charts/chart16.xml><?xml version="1.0" encoding="utf-8"?>
<chartSpace xmlns="http://schemas.openxmlformats.org/drawingml/2006/chart">
  <chart>
    <title>
      <tx>
        <rich>
          <a:bodyPr xmlns:a="http://schemas.openxmlformats.org/drawingml/2006/main"/>
          <a:p xmlns:a="http://schemas.openxmlformats.org/drawingml/2006/main">
            <a:pPr>
              <a:defRPr sz="1200" b="1">
                <a:solidFill>
                  <a:srgbClr val="000000"/>
                </a:solidFill>
                <a:latin typeface="Arial"/>
              </a:defRPr>
            </a:pPr>
            <a:r>
              <a:rPr sz="1200" b="1">
                <a:solidFill>
                  <a:srgbClr val="000000"/>
                </a:solidFill>
                <a:latin typeface="Arial"/>
              </a:rPr>
              <a:t>Lens 2 — cap weight vs equal weight, indexed to 100</a:t>
            </a:r>
          </a:p>
        </rich>
      </tx>
    </title>
    <plotArea>
      <lineChart>
        <grouping val="standard"/>
        <ser>
          <idx val="0"/>
          <order val="0"/>
          <tx>
            <v>S&amp;P 500 (cap weighted)</v>
          </tx>
          <spPr>
            <a:ln xmlns:a="http://schemas.openxmlformats.org/drawingml/2006/main" w="20000">
              <a:solidFill>
                <a:srgbClr val="DB0011"/>
              </a:solidFill>
              <a:prstDash val="solid"/>
            </a:ln>
          </spPr>
          <marker>
            <symbol val="none"/>
            <spPr>
              <a:ln xmlns:a="http://schemas.openxmlformats.org/drawingml/2006/main">
                <a:prstDash val="solid"/>
              </a:ln>
            </spPr>
          </marker>
          <cat>
            <numRef>
              <f>'Breadth'!$A$6:$A$805</f>
            </numRef>
          </cat>
          <val>
            <numRef>
              <f>'Breadth'!$D$6:$D$805</f>
            </numRef>
          </val>
          <smooth val="0"/>
        </ser>
        <ser>
          <idx val="1"/>
          <order val="1"/>
          <tx>
            <v>S&amp;P 500 equal weight</v>
          </tx>
          <spPr>
            <a:ln xmlns:a="http://schemas.openxmlformats.org/drawingml/2006/main" w="20000">
              <a:solidFill>
                <a:srgbClr val="44546A"/>
              </a:solidFill>
              <a:prstDash val="solid"/>
            </a:ln>
          </spPr>
          <marker>
            <symbol val="none"/>
            <spPr>
              <a:ln xmlns:a="http://schemas.openxmlformats.org/drawingml/2006/main">
                <a:prstDash val="solid"/>
              </a:ln>
            </spPr>
          </marker>
          <cat>
            <numRef>
              <f>'Breadth'!$A$6:$A$805</f>
            </numRef>
          </cat>
          <val>
            <numRef>
              <f>'Breadth'!$E$6:$E$805</f>
            </numRef>
          </val>
          <smooth val="0"/>
        </ser>
        <axId val="10"/>
        <axId val="100"/>
      </lineChart>
      <catAx>
        <axId val="10"/>
        <scaling>
          <orientation val="minMax"/>
        </scaling>
        <delete val="0"/>
        <axPos val="l"/>
        <numFmt formatCode="mmm-yy" sourceLinked="0"/>
        <majorTickMark val="none"/>
        <minorTickMark val="none"/>
        <spPr>
          <a:ln xmlns:a="http://schemas.openxmlformats.org/drawingml/2006/main" w="6350">
            <a:solidFill>
              <a:srgbClr val="D0CECE"/>
            </a:solidFill>
            <a:prstDash val="solid"/>
          </a:ln>
        </spPr>
        <txPr>
          <a:bodyPr xmlns:a="http://schemas.openxmlformats.org/drawingml/2006/main"/>
          <a:p xmlns:a="http://schemas.openxmlformats.org/drawingml/2006/main">
            <a:pPr>
              <a:defRPr sz="950" b="0">
                <a:solidFill>
                  <a:srgbClr val="767576"/>
                </a:solidFill>
                <a:latin typeface="Arial"/>
              </a:defRPr>
            </a:pPr>
            <a:r>
              <a:t/>
            </a:r>
            <a:endParaRPr sz="950" b="0">
              <a:solidFill>
                <a:srgbClr val="767576"/>
              </a:solidFill>
              <a:latin typeface="Arial"/>
            </a:endParaRPr>
          </a:p>
        </txPr>
        <crossAx val="100"/>
        <lblOffset val="100"/>
      </catAx>
      <valAx>
        <axId val="100"/>
        <scaling>
          <orientation val="minMax"/>
        </scaling>
        <delete val="0"/>
        <axPos val="l"/>
        <title>
          <tx>
            <rich>
              <a:bodyPr xmlns:a="http://schemas.openxmlformats.org/drawingml/2006/main"/>
              <a:p xmlns:a="http://schemas.openxmlformats.org/drawingml/2006/main">
                <a:pPr>
                  <a:defRPr sz="950" b="0">
                    <a:solidFill>
                      <a:srgbClr val="767576"/>
                    </a:solidFill>
                    <a:latin typeface="Arial"/>
                  </a:defRPr>
                </a:pPr>
                <a:r>
                  <a:t>index</a:t>
                </a:r>
              </a:p>
            </rich>
          </tx>
        </title>
        <majorTickMark val="none"/>
        <minorTickMark val="none"/>
        <spPr>
          <a:ln xmlns:a="http://schemas.openxmlformats.org/drawingml/2006/main" w="6350">
            <a:solidFill>
              <a:srgbClr val="D0CECE"/>
            </a:solidFill>
            <a:prstDash val="solid"/>
          </a:ln>
        </spPr>
        <txPr>
          <a:bodyPr xmlns:a="http://schemas.openxmlformats.org/drawingml/2006/main"/>
          <a:p xmlns:a="http://schemas.openxmlformats.org/drawingml/2006/main">
            <a:pPr>
              <a:defRPr sz="950" b="0">
                <a:solidFill>
                  <a:srgbClr val="767576"/>
                </a:solidFill>
                <a:latin typeface="Arial"/>
              </a:defRPr>
            </a:pPr>
            <a:r>
              <a:t/>
            </a:r>
            <a:endParaRPr sz="950" b="0">
              <a:solidFill>
                <a:srgbClr val="767576"/>
              </a:solidFill>
              <a:latin typeface="Arial"/>
            </a:endParaRPr>
          </a:p>
        </txPr>
        <crossAx val="10"/>
      </valAx>
    </plotArea>
    <legend>
      <legendPos val="b"/>
      <overlay val="0"/>
      <txPr>
        <a:bodyPr xmlns:a="http://schemas.openxmlformats.org/drawingml/2006/main"/>
        <a:p xmlns:a="http://schemas.openxmlformats.org/drawingml/2006/main">
          <a:pPr>
            <a:defRPr sz="950" b="0">
              <a:solidFill>
                <a:srgbClr val="000000"/>
              </a:solidFill>
              <a:latin typeface="Arial"/>
            </a:defRPr>
          </a:pPr>
          <a:r>
            <a:t/>
          </a:r>
          <a:endParaRPr sz="950" b="0">
            <a:solidFill>
              <a:srgbClr val="000000"/>
            </a:solidFill>
            <a:latin typeface="Arial"/>
          </a:endParaRPr>
        </a:p>
      </txPr>
    </legend>
    <plotVisOnly val="1"/>
    <dispBlanksAs val="gap"/>
  </chart>
  <spPr>
    <a:ln xmlns:a="http://schemas.openxmlformats.org/drawingml/2006/main">
      <a:noFill/>
      <a:prstDash val="solid"/>
    </a:ln>
  </spPr>
</chartSpace>
</file>

<file path=xl/charts/chart17.xml><?xml version="1.0" encoding="utf-8"?>
<chartSpace xmlns="http://schemas.openxmlformats.org/drawingml/2006/chart">
  <chart>
    <title>
      <tx>
        <rich>
          <a:bodyPr xmlns:a="http://schemas.openxmlformats.org/drawingml/2006/main"/>
          <a:p xmlns:a="http://schemas.openxmlformats.org/drawingml/2006/main">
            <a:pPr>
              <a:defRPr sz="1200" b="1">
                <a:solidFill>
                  <a:srgbClr val="000000"/>
                </a:solidFill>
                <a:latin typeface="Arial"/>
              </a:defRPr>
            </a:pPr>
            <a:r>
              <a:rPr sz="1200" b="1">
                <a:solidFill>
                  <a:srgbClr val="000000"/>
                </a:solidFill>
                <a:latin typeface="Arial"/>
              </a:rPr>
              <a:t>Lens 3 — rolling stock–bond correlation</a:t>
            </a:r>
          </a:p>
        </rich>
      </tx>
    </title>
    <plotArea>
      <lineChart>
        <grouping val="standard"/>
        <ser>
          <idx val="0"/>
          <order val="0"/>
          <tx>
            <v>Rolling correlation, SPX return vs 10y change</v>
          </tx>
          <spPr>
            <a:ln xmlns:a="http://schemas.openxmlformats.org/drawingml/2006/main" w="20000">
              <a:solidFill>
                <a:srgbClr val="DB0011"/>
              </a:solidFill>
              <a:prstDash val="solid"/>
            </a:ln>
          </spPr>
          <marker>
            <symbol val="none"/>
            <spPr>
              <a:ln xmlns:a="http://schemas.openxmlformats.org/drawingml/2006/main">
                <a:prstDash val="solid"/>
              </a:ln>
            </spPr>
          </marker>
          <cat>
            <numRef>
              <f>'StockBond'!$A$9:$A$808</f>
            </numRef>
          </cat>
          <val>
            <numRef>
              <f>'StockBond'!$F$9:$F$808</f>
            </numRef>
          </val>
          <smooth val="0"/>
        </ser>
        <ser>
          <idx val="1"/>
          <order val="1"/>
          <tx>
            <v>Zero</v>
          </tx>
          <spPr>
            <a:ln xmlns:a="http://schemas.openxmlformats.org/drawingml/2006/main" w="9000">
              <a:solidFill>
                <a:srgbClr val="767576"/>
              </a:solidFill>
              <a:prstDash val="dash"/>
            </a:ln>
          </spPr>
          <marker>
            <symbol val="none"/>
            <spPr>
              <a:ln xmlns:a="http://schemas.openxmlformats.org/drawingml/2006/main">
                <a:prstDash val="solid"/>
              </a:ln>
            </spPr>
          </marker>
          <cat>
            <numRef>
              <f>'StockBond'!$A$9:$A$808</f>
            </numRef>
          </cat>
          <val>
            <numRef>
              <f>'StockBond'!$G$9:$G$808</f>
            </numRef>
          </val>
          <smooth val="0"/>
        </ser>
        <axId val="10"/>
        <axId val="100"/>
      </lineChart>
      <catAx>
        <axId val="10"/>
        <scaling>
          <orientation val="minMax"/>
        </scaling>
        <delete val="0"/>
        <axPos val="l"/>
        <numFmt formatCode="mmm-yy" sourceLinked="0"/>
        <majorTickMark val="none"/>
        <minorTickMark val="none"/>
        <spPr>
          <a:ln xmlns:a="http://schemas.openxmlformats.org/drawingml/2006/main" w="6350">
            <a:solidFill>
              <a:srgbClr val="D0CECE"/>
            </a:solidFill>
            <a:prstDash val="solid"/>
          </a:ln>
        </spPr>
        <txPr>
          <a:bodyPr xmlns:a="http://schemas.openxmlformats.org/drawingml/2006/main"/>
          <a:p xmlns:a="http://schemas.openxmlformats.org/drawingml/2006/main">
            <a:pPr>
              <a:defRPr sz="950" b="0">
                <a:solidFill>
                  <a:srgbClr val="767576"/>
                </a:solidFill>
                <a:latin typeface="Arial"/>
              </a:defRPr>
            </a:pPr>
            <a:r>
              <a:t/>
            </a:r>
            <a:endParaRPr sz="950" b="0">
              <a:solidFill>
                <a:srgbClr val="767576"/>
              </a:solidFill>
              <a:latin typeface="Arial"/>
            </a:endParaRPr>
          </a:p>
        </txPr>
        <crossAx val="100"/>
        <lblOffset val="100"/>
      </catAx>
      <valAx>
        <axId val="100"/>
        <scaling>
          <orientation val="minMax"/>
        </scaling>
        <delete val="0"/>
        <axPos val="l"/>
        <title>
          <tx>
            <rich>
              <a:bodyPr xmlns:a="http://schemas.openxmlformats.org/drawingml/2006/main"/>
              <a:p xmlns:a="http://schemas.openxmlformats.org/drawingml/2006/main">
                <a:pPr>
                  <a:defRPr sz="950" b="0">
                    <a:solidFill>
                      <a:srgbClr val="767576"/>
                    </a:solidFill>
                    <a:latin typeface="Arial"/>
                  </a:defRPr>
                </a:pPr>
                <a:r>
                  <a:t>correlation</a:t>
                </a:r>
              </a:p>
            </rich>
          </tx>
        </title>
        <majorTickMark val="none"/>
        <minorTickMark val="none"/>
        <spPr>
          <a:ln xmlns:a="http://schemas.openxmlformats.org/drawingml/2006/main" w="6350">
            <a:solidFill>
              <a:srgbClr val="D0CECE"/>
            </a:solidFill>
            <a:prstDash val="solid"/>
          </a:ln>
        </spPr>
        <txPr>
          <a:bodyPr xmlns:a="http://schemas.openxmlformats.org/drawingml/2006/main"/>
          <a:p xmlns:a="http://schemas.openxmlformats.org/drawingml/2006/main">
            <a:pPr>
              <a:defRPr sz="950" b="0">
                <a:solidFill>
                  <a:srgbClr val="767576"/>
                </a:solidFill>
                <a:latin typeface="Arial"/>
              </a:defRPr>
            </a:pPr>
            <a:r>
              <a:t/>
            </a:r>
            <a:endParaRPr sz="950" b="0">
              <a:solidFill>
                <a:srgbClr val="767576"/>
              </a:solidFill>
              <a:latin typeface="Arial"/>
            </a:endParaRPr>
          </a:p>
        </txPr>
        <crossAx val="10"/>
      </valAx>
    </plotArea>
    <legend>
      <legendPos val="b"/>
      <overlay val="0"/>
      <txPr>
        <a:bodyPr xmlns:a="http://schemas.openxmlformats.org/drawingml/2006/main"/>
        <a:p xmlns:a="http://schemas.openxmlformats.org/drawingml/2006/main">
          <a:pPr>
            <a:defRPr sz="950" b="0">
              <a:solidFill>
                <a:srgbClr val="000000"/>
              </a:solidFill>
              <a:latin typeface="Arial"/>
            </a:defRPr>
          </a:pPr>
          <a:r>
            <a:t/>
          </a:r>
          <a:endParaRPr sz="950" b="0">
            <a:solidFill>
              <a:srgbClr val="000000"/>
            </a:solidFill>
            <a:latin typeface="Arial"/>
          </a:endParaRPr>
        </a:p>
      </txPr>
    </legend>
    <plotVisOnly val="1"/>
    <dispBlanksAs val="gap"/>
  </chart>
  <spPr>
    <a:ln xmlns:a="http://schemas.openxmlformats.org/drawingml/2006/main">
      <a:noFill/>
      <a:prstDash val="solid"/>
    </a:ln>
  </spPr>
</chartSpace>
</file>

<file path=xl/charts/chart18.xml><?xml version="1.0" encoding="utf-8"?>
<chartSpace xmlns="http://schemas.openxmlformats.org/drawingml/2006/chart">
  <chart>
    <title>
      <tx>
        <rich>
          <a:bodyPr xmlns:a="http://schemas.openxmlformats.org/drawingml/2006/main"/>
          <a:p xmlns:a="http://schemas.openxmlformats.org/drawingml/2006/main">
            <a:pPr>
              <a:defRPr sz="1200" b="1">
                <a:solidFill>
                  <a:srgbClr val="000000"/>
                </a:solidFill>
                <a:latin typeface="Arial"/>
              </a:defRPr>
            </a:pPr>
            <a:r>
              <a:rPr sz="1200" b="1">
                <a:solidFill>
                  <a:srgbClr val="000000"/>
                </a:solidFill>
                <a:latin typeface="Arial"/>
              </a:rPr>
              <a:t>US high yield OAS against its own median, bp</a:t>
            </a:r>
          </a:p>
        </rich>
      </tx>
    </title>
    <plotArea>
      <lineChart>
        <grouping val="standard"/>
        <ser>
          <idx val="0"/>
          <order val="0"/>
          <tx>
            <v>US HY OAS, bp</v>
          </tx>
          <spPr>
            <a:ln xmlns:a="http://schemas.openxmlformats.org/drawingml/2006/main" w="20000">
              <a:solidFill>
                <a:srgbClr val="DB0011"/>
              </a:solidFill>
              <a:prstDash val="solid"/>
            </a:ln>
          </spPr>
          <marker>
            <symbol val="none"/>
            <spPr>
              <a:ln xmlns:a="http://schemas.openxmlformats.org/drawingml/2006/main">
                <a:prstDash val="solid"/>
              </a:ln>
            </spPr>
          </marker>
          <cat>
            <numRef>
              <f>'Credit'!$A$16:$A$1665</f>
            </numRef>
          </cat>
          <val>
            <numRef>
              <f>'Credit'!$B$16:$B$1665</f>
            </numRef>
          </val>
          <smooth val="0"/>
        </ser>
        <ser>
          <idx val="1"/>
          <order val="1"/>
          <tx>
            <v>Historical median</v>
          </tx>
          <spPr>
            <a:ln xmlns:a="http://schemas.openxmlformats.org/drawingml/2006/main" w="9000">
              <a:solidFill>
                <a:srgbClr val="767576"/>
              </a:solidFill>
              <a:prstDash val="dash"/>
            </a:ln>
          </spPr>
          <marker>
            <symbol val="none"/>
            <spPr>
              <a:ln xmlns:a="http://schemas.openxmlformats.org/drawingml/2006/main">
                <a:prstDash val="solid"/>
              </a:ln>
            </spPr>
          </marker>
          <cat>
            <numRef>
              <f>'Credit'!$A$16:$A$1665</f>
            </numRef>
          </cat>
          <val>
            <numRef>
              <f>'Credit'!$C$16:$C$1665</f>
            </numRef>
          </val>
          <smooth val="0"/>
        </ser>
        <axId val="10"/>
        <axId val="100"/>
      </lineChart>
      <catAx>
        <axId val="10"/>
        <scaling>
          <orientation val="minMax"/>
        </scaling>
        <delete val="0"/>
        <axPos val="l"/>
        <numFmt formatCode="mmm-yy" sourceLinked="0"/>
        <majorTickMark val="none"/>
        <minorTickMark val="none"/>
        <spPr>
          <a:ln xmlns:a="http://schemas.openxmlformats.org/drawingml/2006/main" w="6350">
            <a:solidFill>
              <a:srgbClr val="D0CECE"/>
            </a:solidFill>
            <a:prstDash val="solid"/>
          </a:ln>
        </spPr>
        <txPr>
          <a:bodyPr xmlns:a="http://schemas.openxmlformats.org/drawingml/2006/main"/>
          <a:p xmlns:a="http://schemas.openxmlformats.org/drawingml/2006/main">
            <a:pPr>
              <a:defRPr sz="950" b="0">
                <a:solidFill>
                  <a:srgbClr val="767576"/>
                </a:solidFill>
                <a:latin typeface="Arial"/>
              </a:defRPr>
            </a:pPr>
            <a:r>
              <a:t/>
            </a:r>
            <a:endParaRPr sz="950" b="0">
              <a:solidFill>
                <a:srgbClr val="767576"/>
              </a:solidFill>
              <a:latin typeface="Arial"/>
            </a:endParaRPr>
          </a:p>
        </txPr>
        <crossAx val="100"/>
        <lblOffset val="100"/>
      </catAx>
      <valAx>
        <axId val="100"/>
        <scaling>
          <orientation val="minMax"/>
        </scaling>
        <delete val="0"/>
        <axPos val="l"/>
        <title>
          <tx>
            <rich>
              <a:bodyPr xmlns:a="http://schemas.openxmlformats.org/drawingml/2006/main"/>
              <a:p xmlns:a="http://schemas.openxmlformats.org/drawingml/2006/main">
                <a:pPr>
                  <a:defRPr sz="950" b="0">
                    <a:solidFill>
                      <a:srgbClr val="767576"/>
                    </a:solidFill>
                    <a:latin typeface="Arial"/>
                  </a:defRPr>
                </a:pPr>
                <a:r>
                  <a:t>bp</a:t>
                </a:r>
              </a:p>
            </rich>
          </tx>
        </title>
        <majorTickMark val="none"/>
        <minorTickMark val="none"/>
        <spPr>
          <a:ln xmlns:a="http://schemas.openxmlformats.org/drawingml/2006/main" w="6350">
            <a:solidFill>
              <a:srgbClr val="D0CECE"/>
            </a:solidFill>
            <a:prstDash val="solid"/>
          </a:ln>
        </spPr>
        <txPr>
          <a:bodyPr xmlns:a="http://schemas.openxmlformats.org/drawingml/2006/main"/>
          <a:p xmlns:a="http://schemas.openxmlformats.org/drawingml/2006/main">
            <a:pPr>
              <a:defRPr sz="950" b="0">
                <a:solidFill>
                  <a:srgbClr val="767576"/>
                </a:solidFill>
                <a:latin typeface="Arial"/>
              </a:defRPr>
            </a:pPr>
            <a:r>
              <a:t/>
            </a:r>
            <a:endParaRPr sz="950" b="0">
              <a:solidFill>
                <a:srgbClr val="767576"/>
              </a:solidFill>
              <a:latin typeface="Arial"/>
            </a:endParaRPr>
          </a:p>
        </txPr>
        <crossAx val="10"/>
      </valAx>
    </plotArea>
    <legend>
      <legendPos val="b"/>
      <overlay val="0"/>
      <txPr>
        <a:bodyPr xmlns:a="http://schemas.openxmlformats.org/drawingml/2006/main"/>
        <a:p xmlns:a="http://schemas.openxmlformats.org/drawingml/2006/main">
          <a:pPr>
            <a:defRPr sz="950" b="0">
              <a:solidFill>
                <a:srgbClr val="000000"/>
              </a:solidFill>
              <a:latin typeface="Arial"/>
            </a:defRPr>
          </a:pPr>
          <a:r>
            <a:t/>
          </a:r>
          <a:endParaRPr sz="950" b="0">
            <a:solidFill>
              <a:srgbClr val="000000"/>
            </a:solidFill>
            <a:latin typeface="Arial"/>
          </a:endParaRPr>
        </a:p>
      </txPr>
    </legend>
    <plotVisOnly val="1"/>
    <dispBlanksAs val="gap"/>
  </chart>
  <spPr>
    <a:ln xmlns:a="http://schemas.openxmlformats.org/drawingml/2006/main">
      <a:noFill/>
      <a:prstDash val="solid"/>
    </a:ln>
  </spPr>
</chartSpace>
</file>

<file path=xl/charts/chart19.xml><?xml version="1.0" encoding="utf-8"?>
<chartSpace xmlns="http://schemas.openxmlformats.org/drawingml/2006/chart">
  <chart>
    <title>
      <tx>
        <rich>
          <a:bodyPr xmlns:a="http://schemas.openxmlformats.org/drawingml/2006/main"/>
          <a:p xmlns:a="http://schemas.openxmlformats.org/drawingml/2006/main">
            <a:pPr>
              <a:defRPr sz="1200" b="1">
                <a:solidFill>
                  <a:srgbClr val="000000"/>
                </a:solidFill>
                <a:latin typeface="Arial"/>
              </a:defRPr>
            </a:pPr>
            <a:r>
              <a:rPr sz="1200" b="1">
                <a:solidFill>
                  <a:srgbClr val="000000"/>
                </a:solidFill>
                <a:latin typeface="Arial"/>
              </a:rPr>
              <a:t>Forward P/E, current — read against the band table</a:t>
            </a:r>
          </a:p>
        </rich>
      </tx>
    </title>
    <plotArea>
      <barChart>
        <barDir val="col"/>
        <grouping val="clustered"/>
        <ser>
          <idx val="0"/>
          <order val="0"/>
          <spPr>
            <a:solidFill xmlns:a="http://schemas.openxmlformats.org/drawingml/2006/main">
              <a:srgbClr val="DB0011"/>
            </a:solidFill>
            <a:ln xmlns:a="http://schemas.openxmlformats.org/drawingml/2006/main">
              <a:noFill/>
              <a:prstDash val="solid"/>
            </a:ln>
          </spPr>
          <cat>
            <numRef>
              <f>'AsiaValuation'!$A$6:$A$10</f>
            </numRef>
          </cat>
          <val>
            <numRef>
              <f>'AsiaValuation'!$C$6:$C$10</f>
            </numRef>
          </val>
        </ser>
        <dLbls>
          <numFmt formatCode="0.0&quot;x&quot;"/>
          <txPr>
            <a:bodyPr xmlns:a="http://schemas.openxmlformats.org/drawingml/2006/main"/>
            <a:p xmlns:a="http://schemas.openxmlformats.org/drawingml/2006/main">
              <a:pPr>
                <a:defRPr sz="1000" b="1">
                  <a:solidFill>
                    <a:srgbClr val="000000"/>
                  </a:solidFill>
                  <a:latin typeface="Arial"/>
                </a:defRPr>
              </a:pPr>
              <a:r>
                <a:t/>
              </a:r>
              <a:endParaRPr sz="1000" b="1">
                <a:solidFill>
                  <a:srgbClr val="000000"/>
                </a:solidFill>
                <a:latin typeface="Arial"/>
              </a:endParaRPr>
            </a:p>
          </txPr>
          <showVal val="1"/>
        </dLbls>
        <gapWidth val="60"/>
        <axId val="10"/>
        <axId val="100"/>
      </barChart>
      <catAx>
        <axId val="10"/>
        <scaling>
          <orientation val="minMax"/>
        </scaling>
        <delete val="0"/>
        <axPos val="l"/>
        <majorTickMark val="none"/>
        <minorTickMark val="none"/>
        <spPr>
          <a:ln xmlns:a="http://schemas.openxmlformats.org/drawingml/2006/main" w="6350">
            <a:solidFill>
              <a:srgbClr val="D0CECE"/>
            </a:solidFill>
            <a:prstDash val="solid"/>
          </a:ln>
        </spPr>
        <txPr>
          <a:bodyPr xmlns:a="http://schemas.openxmlformats.org/drawingml/2006/main"/>
          <a:p xmlns:a="http://schemas.openxmlformats.org/drawingml/2006/main">
            <a:pPr>
              <a:defRPr sz="950" b="0">
                <a:solidFill>
                  <a:srgbClr val="767576"/>
                </a:solidFill>
                <a:latin typeface="Arial"/>
              </a:defRPr>
            </a:pPr>
            <a:r>
              <a:t/>
            </a:r>
            <a:endParaRPr sz="950" b="0">
              <a:solidFill>
                <a:srgbClr val="767576"/>
              </a:solidFill>
              <a:latin typeface="Arial"/>
            </a:endParaRPr>
          </a:p>
        </txPr>
        <crossAx val="100"/>
        <lblOffset val="100"/>
      </catAx>
      <valAx>
        <axId val="100"/>
        <scaling>
          <orientation val="minMax"/>
        </scaling>
        <delete val="0"/>
        <axPos val="l"/>
        <majorTickMark val="none"/>
        <minorTickMark val="none"/>
        <spPr>
          <a:ln xmlns:a="http://schemas.openxmlformats.org/drawingml/2006/main" w="6350">
            <a:solidFill>
              <a:srgbClr val="D0CECE"/>
            </a:solidFill>
            <a:prstDash val="solid"/>
          </a:ln>
        </spPr>
        <txPr>
          <a:bodyPr xmlns:a="http://schemas.openxmlformats.org/drawingml/2006/main"/>
          <a:p xmlns:a="http://schemas.openxmlformats.org/drawingml/2006/main">
            <a:pPr>
              <a:defRPr sz="950" b="0">
                <a:solidFill>
                  <a:srgbClr val="767576"/>
                </a:solidFill>
                <a:latin typeface="Arial"/>
              </a:defRPr>
            </a:pPr>
            <a:r>
              <a:t/>
            </a:r>
            <a:endParaRPr sz="950" b="0">
              <a:solidFill>
                <a:srgbClr val="767576"/>
              </a:solidFill>
              <a:latin typeface="Arial"/>
            </a:endParaRPr>
          </a:p>
        </txPr>
        <crossAx val="10"/>
      </valAx>
    </plotArea>
    <plotVisOnly val="1"/>
    <dispBlanksAs val="gap"/>
  </chart>
  <spPr>
    <a:ln xmlns:a="http://schemas.openxmlformats.org/drawingml/2006/main">
      <a:noFill/>
      <a:prstDash val="solid"/>
    </a:ln>
  </spPr>
</chartSpace>
</file>

<file path=xl/charts/chart20.xml><?xml version="1.0" encoding="utf-8"?>
<chartSpace xmlns="http://schemas.openxmlformats.org/drawingml/2006/chart">
  <chart>
    <title>
      <tx>
        <rich>
          <a:bodyPr xmlns:a="http://schemas.openxmlformats.org/drawingml/2006/main"/>
          <a:p xmlns:a="http://schemas.openxmlformats.org/drawingml/2006/main">
            <a:pPr>
              <a:defRPr sz="1200" b="1">
                <a:solidFill>
                  <a:srgbClr val="000000"/>
                </a:solidFill>
                <a:latin typeface="Arial"/>
              </a:defRPr>
            </a:pPr>
            <a:r>
              <a:rPr sz="1200" b="1">
                <a:solidFill>
                  <a:srgbClr val="000000"/>
                </a:solidFill>
                <a:latin typeface="Arial"/>
              </a:rPr>
              <a:t>Standard deviations from the 5-year mean</a:t>
            </a:r>
          </a:p>
        </rich>
      </tx>
    </title>
    <plotArea>
      <barChart>
        <barDir val="col"/>
        <grouping val="clustered"/>
        <ser>
          <idx val="0"/>
          <order val="0"/>
          <spPr>
            <a:solidFill xmlns:a="http://schemas.openxmlformats.org/drawingml/2006/main">
              <a:srgbClr val="44546A"/>
            </a:solidFill>
            <a:ln xmlns:a="http://schemas.openxmlformats.org/drawingml/2006/main">
              <a:noFill/>
              <a:prstDash val="solid"/>
            </a:ln>
          </spPr>
          <cat>
            <numRef>
              <f>'AsiaValuation'!$A$6:$A$10</f>
            </numRef>
          </cat>
          <val>
            <numRef>
              <f>'AsiaValuation'!$H$6:$H$10</f>
            </numRef>
          </val>
        </ser>
        <dLbls>
          <numFmt formatCode="+0.00;-0.00"/>
          <txPr>
            <a:bodyPr xmlns:a="http://schemas.openxmlformats.org/drawingml/2006/main"/>
            <a:p xmlns:a="http://schemas.openxmlformats.org/drawingml/2006/main">
              <a:pPr>
                <a:defRPr sz="1000" b="1">
                  <a:solidFill>
                    <a:srgbClr val="000000"/>
                  </a:solidFill>
                  <a:latin typeface="Arial"/>
                </a:defRPr>
              </a:pPr>
              <a:r>
                <a:t/>
              </a:r>
              <a:endParaRPr sz="1000" b="1">
                <a:solidFill>
                  <a:srgbClr val="000000"/>
                </a:solidFill>
                <a:latin typeface="Arial"/>
              </a:endParaRPr>
            </a:p>
          </txPr>
          <showVal val="1"/>
        </dLbls>
        <gapWidth val="60"/>
        <axId val="10"/>
        <axId val="100"/>
      </barChart>
      <catAx>
        <axId val="10"/>
        <scaling>
          <orientation val="minMax"/>
        </scaling>
        <delete val="0"/>
        <axPos val="l"/>
        <majorTickMark val="none"/>
        <minorTickMark val="none"/>
        <spPr>
          <a:ln xmlns:a="http://schemas.openxmlformats.org/drawingml/2006/main" w="6350">
            <a:solidFill>
              <a:srgbClr val="D0CECE"/>
            </a:solidFill>
            <a:prstDash val="solid"/>
          </a:ln>
        </spPr>
        <txPr>
          <a:bodyPr xmlns:a="http://schemas.openxmlformats.org/drawingml/2006/main"/>
          <a:p xmlns:a="http://schemas.openxmlformats.org/drawingml/2006/main">
            <a:pPr>
              <a:defRPr sz="950" b="0">
                <a:solidFill>
                  <a:srgbClr val="767576"/>
                </a:solidFill>
                <a:latin typeface="Arial"/>
              </a:defRPr>
            </a:pPr>
            <a:r>
              <a:t/>
            </a:r>
            <a:endParaRPr sz="950" b="0">
              <a:solidFill>
                <a:srgbClr val="767576"/>
              </a:solidFill>
              <a:latin typeface="Arial"/>
            </a:endParaRPr>
          </a:p>
        </txPr>
        <crossAx val="100"/>
        <lblOffset val="100"/>
      </catAx>
      <valAx>
        <axId val="100"/>
        <scaling>
          <orientation val="minMax"/>
        </scaling>
        <delete val="0"/>
        <axPos val="l"/>
        <majorTickMark val="none"/>
        <minorTickMark val="none"/>
        <spPr>
          <a:ln xmlns:a="http://schemas.openxmlformats.org/drawingml/2006/main" w="6350">
            <a:solidFill>
              <a:srgbClr val="D0CECE"/>
            </a:solidFill>
            <a:prstDash val="solid"/>
          </a:ln>
        </spPr>
        <txPr>
          <a:bodyPr xmlns:a="http://schemas.openxmlformats.org/drawingml/2006/main"/>
          <a:p xmlns:a="http://schemas.openxmlformats.org/drawingml/2006/main">
            <a:pPr>
              <a:defRPr sz="950" b="0">
                <a:solidFill>
                  <a:srgbClr val="767576"/>
                </a:solidFill>
                <a:latin typeface="Arial"/>
              </a:defRPr>
            </a:pPr>
            <a:r>
              <a:t/>
            </a:r>
            <a:endParaRPr sz="950" b="0">
              <a:solidFill>
                <a:srgbClr val="767576"/>
              </a:solidFill>
              <a:latin typeface="Arial"/>
            </a:endParaRPr>
          </a:p>
        </txPr>
        <crossAx val="10"/>
      </valAx>
    </plotArea>
    <plotVisOnly val="1"/>
    <dispBlanksAs val="gap"/>
  </chart>
  <spPr>
    <a:ln xmlns:a="http://schemas.openxmlformats.org/drawingml/2006/main">
      <a:noFill/>
      <a:prstDash val="solid"/>
    </a:ln>
  </spPr>
</chartSpace>
</file>

<file path=xl/charts/chart21.xml><?xml version="1.0" encoding="utf-8"?>
<chartSpace xmlns="http://schemas.openxmlformats.org/drawingml/2006/chart">
  <chart>
    <title>
      <tx>
        <rich>
          <a:bodyPr xmlns:a="http://schemas.openxmlformats.org/drawingml/2006/main"/>
          <a:p xmlns:a="http://schemas.openxmlformats.org/drawingml/2006/main">
            <a:pPr>
              <a:defRPr sz="1200" b="1">
                <a:solidFill>
                  <a:srgbClr val="000000"/>
                </a:solidFill>
                <a:latin typeface="Arial"/>
              </a:defRPr>
            </a:pPr>
            <a:r>
              <a:rPr sz="1200" b="1">
                <a:solidFill>
                  <a:srgbClr val="000000"/>
                </a:solidFill>
                <a:latin typeface="Arial"/>
              </a:rPr>
              <a:t>Forward P/E, monthly — five years</a:t>
            </a:r>
          </a:p>
        </rich>
      </tx>
    </title>
    <plotArea>
      <lineChart>
        <grouping val="standard"/>
        <ser>
          <idx val="0"/>
          <order val="0"/>
          <tx>
            <v>China A</v>
          </tx>
          <spPr>
            <a:ln xmlns:a="http://schemas.openxmlformats.org/drawingml/2006/main" w="20000">
              <a:solidFill>
                <a:srgbClr val="DB0011"/>
              </a:solidFill>
              <a:prstDash val="solid"/>
            </a:ln>
          </spPr>
          <marker>
            <symbol val="none"/>
            <spPr>
              <a:ln xmlns:a="http://schemas.openxmlformats.org/drawingml/2006/main">
                <a:prstDash val="solid"/>
              </a:ln>
            </spPr>
          </marker>
          <cat>
            <numRef>
              <f>'AsiaValuation'!$A$26:$A$155</f>
            </numRef>
          </cat>
          <val>
            <numRef>
              <f>'AsiaValuation'!$B$26:$B$155</f>
            </numRef>
          </val>
          <smooth val="0"/>
        </ser>
        <ser>
          <idx val="1"/>
          <order val="1"/>
          <tx>
            <v>China H</v>
          </tx>
          <spPr>
            <a:ln xmlns:a="http://schemas.openxmlformats.org/drawingml/2006/main" w="20000">
              <a:solidFill>
                <a:srgbClr val="44546A"/>
              </a:solidFill>
              <a:prstDash val="solid"/>
            </a:ln>
          </spPr>
          <marker>
            <symbol val="none"/>
            <spPr>
              <a:ln xmlns:a="http://schemas.openxmlformats.org/drawingml/2006/main">
                <a:prstDash val="solid"/>
              </a:ln>
            </spPr>
          </marker>
          <cat>
            <numRef>
              <f>'AsiaValuation'!$A$26:$A$155</f>
            </numRef>
          </cat>
          <val>
            <numRef>
              <f>'AsiaValuation'!$C$26:$C$155</f>
            </numRef>
          </val>
          <smooth val="0"/>
        </ser>
        <ser>
          <idx val="2"/>
          <order val="2"/>
          <tx>
            <v>Korea</v>
          </tx>
          <spPr>
            <a:ln xmlns:a="http://schemas.openxmlformats.org/drawingml/2006/main" w="20000">
              <a:solidFill>
                <a:srgbClr val="6E88A6"/>
              </a:solidFill>
              <a:prstDash val="solid"/>
            </a:ln>
          </spPr>
          <marker>
            <symbol val="none"/>
            <spPr>
              <a:ln xmlns:a="http://schemas.openxmlformats.org/drawingml/2006/main">
                <a:prstDash val="solid"/>
              </a:ln>
            </spPr>
          </marker>
          <cat>
            <numRef>
              <f>'AsiaValuation'!$A$26:$A$155</f>
            </numRef>
          </cat>
          <val>
            <numRef>
              <f>'AsiaValuation'!$D$26:$D$155</f>
            </numRef>
          </val>
          <smooth val="0"/>
        </ser>
        <ser>
          <idx val="3"/>
          <order val="3"/>
          <tx>
            <v>Japan</v>
          </tx>
          <spPr>
            <a:ln xmlns:a="http://schemas.openxmlformats.org/drawingml/2006/main" w="20000">
              <a:solidFill>
                <a:srgbClr val="9FB4CA"/>
              </a:solidFill>
              <a:prstDash val="solid"/>
            </a:ln>
          </spPr>
          <marker>
            <symbol val="none"/>
            <spPr>
              <a:ln xmlns:a="http://schemas.openxmlformats.org/drawingml/2006/main">
                <a:prstDash val="solid"/>
              </a:ln>
            </spPr>
          </marker>
          <cat>
            <numRef>
              <f>'AsiaValuation'!$A$26:$A$155</f>
            </numRef>
          </cat>
          <val>
            <numRef>
              <f>'AsiaValuation'!$E$26:$E$155</f>
            </numRef>
          </val>
          <smooth val="0"/>
        </ser>
        <ser>
          <idx val="4"/>
          <order val="4"/>
          <tx>
            <v>Taiwan</v>
          </tx>
          <spPr>
            <a:ln xmlns:a="http://schemas.openxmlformats.org/drawingml/2006/main" w="20000">
              <a:solidFill>
                <a:srgbClr val="767576"/>
              </a:solidFill>
              <a:prstDash val="solid"/>
            </a:ln>
          </spPr>
          <marker>
            <symbol val="none"/>
            <spPr>
              <a:ln xmlns:a="http://schemas.openxmlformats.org/drawingml/2006/main">
                <a:prstDash val="solid"/>
              </a:ln>
            </spPr>
          </marker>
          <cat>
            <numRef>
              <f>'AsiaValuation'!$A$26:$A$155</f>
            </numRef>
          </cat>
          <val>
            <numRef>
              <f>'AsiaValuation'!$F$26:$F$155</f>
            </numRef>
          </val>
          <smooth val="0"/>
        </ser>
        <axId val="10"/>
        <axId val="100"/>
      </lineChart>
      <catAx>
        <axId val="10"/>
        <scaling>
          <orientation val="minMax"/>
        </scaling>
        <delete val="0"/>
        <axPos val="l"/>
        <numFmt formatCode="mmm-yy" sourceLinked="0"/>
        <majorTickMark val="none"/>
        <minorTickMark val="none"/>
        <spPr>
          <a:ln xmlns:a="http://schemas.openxmlformats.org/drawingml/2006/main" w="6350">
            <a:solidFill>
              <a:srgbClr val="D0CECE"/>
            </a:solidFill>
            <a:prstDash val="solid"/>
          </a:ln>
        </spPr>
        <txPr>
          <a:bodyPr xmlns:a="http://schemas.openxmlformats.org/drawingml/2006/main"/>
          <a:p xmlns:a="http://schemas.openxmlformats.org/drawingml/2006/main">
            <a:pPr>
              <a:defRPr sz="950" b="0">
                <a:solidFill>
                  <a:srgbClr val="767576"/>
                </a:solidFill>
                <a:latin typeface="Arial"/>
              </a:defRPr>
            </a:pPr>
            <a:r>
              <a:t/>
            </a:r>
            <a:endParaRPr sz="950" b="0">
              <a:solidFill>
                <a:srgbClr val="767576"/>
              </a:solidFill>
              <a:latin typeface="Arial"/>
            </a:endParaRPr>
          </a:p>
        </txPr>
        <crossAx val="100"/>
        <lblOffset val="100"/>
      </catAx>
      <valAx>
        <axId val="100"/>
        <scaling>
          <orientation val="minMax"/>
        </scaling>
        <delete val="0"/>
        <axPos val="l"/>
        <title>
          <tx>
            <rich>
              <a:bodyPr xmlns:a="http://schemas.openxmlformats.org/drawingml/2006/main"/>
              <a:p xmlns:a="http://schemas.openxmlformats.org/drawingml/2006/main">
                <a:pPr>
                  <a:defRPr sz="950" b="0">
                    <a:solidFill>
                      <a:srgbClr val="767576"/>
                    </a:solidFill>
                    <a:latin typeface="Arial"/>
                  </a:defRPr>
                </a:pPr>
                <a:r>
                  <a:t>x</a:t>
                </a:r>
              </a:p>
            </rich>
          </tx>
        </title>
        <majorTickMark val="none"/>
        <minorTickMark val="none"/>
        <spPr>
          <a:ln xmlns:a="http://schemas.openxmlformats.org/drawingml/2006/main" w="6350">
            <a:solidFill>
              <a:srgbClr val="D0CECE"/>
            </a:solidFill>
            <a:prstDash val="solid"/>
          </a:ln>
        </spPr>
        <txPr>
          <a:bodyPr xmlns:a="http://schemas.openxmlformats.org/drawingml/2006/main"/>
          <a:p xmlns:a="http://schemas.openxmlformats.org/drawingml/2006/main">
            <a:pPr>
              <a:defRPr sz="950" b="0">
                <a:solidFill>
                  <a:srgbClr val="767576"/>
                </a:solidFill>
                <a:latin typeface="Arial"/>
              </a:defRPr>
            </a:pPr>
            <a:r>
              <a:t/>
            </a:r>
            <a:endParaRPr sz="950" b="0">
              <a:solidFill>
                <a:srgbClr val="767576"/>
              </a:solidFill>
              <a:latin typeface="Arial"/>
            </a:endParaRPr>
          </a:p>
        </txPr>
        <crossAx val="10"/>
      </valAx>
    </plotArea>
    <legend>
      <legendPos val="b"/>
      <overlay val="0"/>
      <txPr>
        <a:bodyPr xmlns:a="http://schemas.openxmlformats.org/drawingml/2006/main"/>
        <a:p xmlns:a="http://schemas.openxmlformats.org/drawingml/2006/main">
          <a:pPr>
            <a:defRPr sz="950" b="0">
              <a:solidFill>
                <a:srgbClr val="000000"/>
              </a:solidFill>
              <a:latin typeface="Arial"/>
            </a:defRPr>
          </a:pPr>
          <a:r>
            <a:t/>
          </a:r>
          <a:endParaRPr sz="950" b="0">
            <a:solidFill>
              <a:srgbClr val="000000"/>
            </a:solidFill>
            <a:latin typeface="Arial"/>
          </a:endParaRPr>
        </a:p>
      </txPr>
    </legend>
    <plotVisOnly val="1"/>
    <dispBlanksAs val="gap"/>
  </chart>
  <spPr>
    <a:ln xmlns:a="http://schemas.openxmlformats.org/drawingml/2006/main">
      <a:noFill/>
      <a:prstDash val="solid"/>
    </a:ln>
  </spPr>
</chartSpace>
</file>

<file path=xl/charts/chart22.xml><?xml version="1.0" encoding="utf-8"?>
<chartSpace xmlns="http://schemas.openxmlformats.org/drawingml/2006/chart">
  <chart>
    <title>
      <tx>
        <rich>
          <a:bodyPr xmlns:a="http://schemas.openxmlformats.org/drawingml/2006/main"/>
          <a:p xmlns:a="http://schemas.openxmlformats.org/drawingml/2006/main">
            <a:pPr>
              <a:defRPr sz="1200" b="1">
                <a:solidFill>
                  <a:srgbClr val="000000"/>
                </a:solidFill>
                <a:latin typeface="Arial"/>
              </a:defRPr>
            </a:pPr>
            <a:r>
              <a:rPr sz="1200" b="1">
                <a:solidFill>
                  <a:srgbClr val="000000"/>
                </a:solidFill>
                <a:latin typeface="Arial"/>
              </a:rPr>
              <a:t>3-month net EPS revision ratio, % — high to low</a:t>
            </a:r>
          </a:p>
        </rich>
      </tx>
    </title>
    <plotArea>
      <barChart>
        <barDir val="col"/>
        <grouping val="clustered"/>
        <ser>
          <idx val="0"/>
          <order val="0"/>
          <spPr>
            <a:solidFill xmlns:a="http://schemas.openxmlformats.org/drawingml/2006/main">
              <a:srgbClr val="DB0011"/>
            </a:solidFill>
            <a:ln xmlns:a="http://schemas.openxmlformats.org/drawingml/2006/main">
              <a:noFill/>
              <a:prstDash val="solid"/>
            </a:ln>
          </spPr>
          <cat>
            <numRef>
              <f>'Revisions'!$B$18:$B$22</f>
            </numRef>
          </cat>
          <val>
            <numRef>
              <f>'Revisions'!$C$18:$C$22</f>
            </numRef>
          </val>
        </ser>
        <dLbls>
          <numFmt formatCode="+0.0;-0.0"/>
          <txPr>
            <a:bodyPr xmlns:a="http://schemas.openxmlformats.org/drawingml/2006/main"/>
            <a:p xmlns:a="http://schemas.openxmlformats.org/drawingml/2006/main">
              <a:pPr>
                <a:defRPr sz="1000" b="1">
                  <a:solidFill>
                    <a:srgbClr val="000000"/>
                  </a:solidFill>
                  <a:latin typeface="Arial"/>
                </a:defRPr>
              </a:pPr>
              <a:r>
                <a:t/>
              </a:r>
              <a:endParaRPr sz="1000" b="1">
                <a:solidFill>
                  <a:srgbClr val="000000"/>
                </a:solidFill>
                <a:latin typeface="Arial"/>
              </a:endParaRPr>
            </a:p>
          </txPr>
          <showVal val="1"/>
        </dLbls>
        <gapWidth val="60"/>
        <axId val="10"/>
        <axId val="100"/>
      </barChart>
      <catAx>
        <axId val="10"/>
        <scaling>
          <orientation val="minMax"/>
        </scaling>
        <delete val="0"/>
        <axPos val="l"/>
        <majorTickMark val="none"/>
        <minorTickMark val="none"/>
        <spPr>
          <a:ln xmlns:a="http://schemas.openxmlformats.org/drawingml/2006/main" w="6350">
            <a:solidFill>
              <a:srgbClr val="D0CECE"/>
            </a:solidFill>
            <a:prstDash val="solid"/>
          </a:ln>
        </spPr>
        <txPr>
          <a:bodyPr xmlns:a="http://schemas.openxmlformats.org/drawingml/2006/main"/>
          <a:p xmlns:a="http://schemas.openxmlformats.org/drawingml/2006/main">
            <a:pPr>
              <a:defRPr sz="950" b="0">
                <a:solidFill>
                  <a:srgbClr val="767576"/>
                </a:solidFill>
                <a:latin typeface="Arial"/>
              </a:defRPr>
            </a:pPr>
            <a:r>
              <a:t/>
            </a:r>
            <a:endParaRPr sz="950" b="0">
              <a:solidFill>
                <a:srgbClr val="767576"/>
              </a:solidFill>
              <a:latin typeface="Arial"/>
            </a:endParaRPr>
          </a:p>
        </txPr>
        <crossAx val="100"/>
        <lblOffset val="100"/>
      </catAx>
      <valAx>
        <axId val="100"/>
        <scaling>
          <orientation val="minMax"/>
        </scaling>
        <delete val="0"/>
        <axPos val="l"/>
        <majorTickMark val="none"/>
        <minorTickMark val="none"/>
        <spPr>
          <a:ln xmlns:a="http://schemas.openxmlformats.org/drawingml/2006/main" w="6350">
            <a:solidFill>
              <a:srgbClr val="D0CECE"/>
            </a:solidFill>
            <a:prstDash val="solid"/>
          </a:ln>
        </spPr>
        <txPr>
          <a:bodyPr xmlns:a="http://schemas.openxmlformats.org/drawingml/2006/main"/>
          <a:p xmlns:a="http://schemas.openxmlformats.org/drawingml/2006/main">
            <a:pPr>
              <a:defRPr sz="950" b="0">
                <a:solidFill>
                  <a:srgbClr val="767576"/>
                </a:solidFill>
                <a:latin typeface="Arial"/>
              </a:defRPr>
            </a:pPr>
            <a:r>
              <a:t/>
            </a:r>
            <a:endParaRPr sz="950" b="0">
              <a:solidFill>
                <a:srgbClr val="767576"/>
              </a:solidFill>
              <a:latin typeface="Arial"/>
            </a:endParaRPr>
          </a:p>
        </txPr>
        <crossAx val="10"/>
      </valAx>
    </plotArea>
    <plotVisOnly val="1"/>
    <dispBlanksAs val="gap"/>
  </chart>
  <spPr>
    <a:ln xmlns:a="http://schemas.openxmlformats.org/drawingml/2006/main">
      <a:noFill/>
      <a:prstDash val="solid"/>
    </a:ln>
  </spPr>
</chartSpace>
</file>

<file path=xl/charts/chart23.xml><?xml version="1.0" encoding="utf-8"?>
<chartSpace xmlns="http://schemas.openxmlformats.org/drawingml/2006/chart">
  <chart>
    <title>
      <tx>
        <rich>
          <a:bodyPr xmlns:a="http://schemas.openxmlformats.org/drawingml/2006/main"/>
          <a:p xmlns:a="http://schemas.openxmlformats.org/drawingml/2006/main">
            <a:pPr>
              <a:defRPr sz="1200" b="1">
                <a:solidFill>
                  <a:srgbClr val="000000"/>
                </a:solidFill>
                <a:latin typeface="Arial"/>
              </a:defRPr>
            </a:pPr>
            <a:r>
              <a:rPr sz="1200" b="1">
                <a:solidFill>
                  <a:srgbClr val="000000"/>
                </a:solidFill>
                <a:latin typeface="Arial"/>
              </a:rPr>
              <a:t>Consensus EPS growth by sector, %</a:t>
            </a:r>
          </a:p>
        </rich>
      </tx>
    </title>
    <plotArea>
      <barChart>
        <barDir val="col"/>
        <grouping val="clustered"/>
        <ser>
          <idx val="0"/>
          <order val="0"/>
          <tx>
            <v>1FY growth, %</v>
          </tx>
          <spPr>
            <a:solidFill xmlns:a="http://schemas.openxmlformats.org/drawingml/2006/main">
              <a:srgbClr val="DB0011"/>
            </a:solidFill>
            <a:ln xmlns:a="http://schemas.openxmlformats.org/drawingml/2006/main">
              <a:noFill/>
              <a:prstDash val="solid"/>
            </a:ln>
          </spPr>
          <cat>
            <numRef>
              <f>'SectorEPS'!$A$6:$A$10</f>
            </numRef>
          </cat>
          <val>
            <numRef>
              <f>'SectorEPS'!$G$6:$G$10</f>
            </numRef>
          </val>
        </ser>
        <ser>
          <idx val="1"/>
          <order val="1"/>
          <tx>
            <v>2FY growth, %</v>
          </tx>
          <spPr>
            <a:solidFill xmlns:a="http://schemas.openxmlformats.org/drawingml/2006/main">
              <a:srgbClr val="44546A"/>
            </a:solidFill>
            <a:ln xmlns:a="http://schemas.openxmlformats.org/drawingml/2006/main">
              <a:noFill/>
              <a:prstDash val="solid"/>
            </a:ln>
          </spPr>
          <cat>
            <numRef>
              <f>'SectorEPS'!$A$6:$A$10</f>
            </numRef>
          </cat>
          <val>
            <numRef>
              <f>'SectorEPS'!$H$6:$H$10</f>
            </numRef>
          </val>
        </ser>
        <dLbls>
          <numFmt formatCode="+0.0;-0.0"/>
          <txPr>
            <a:bodyPr xmlns:a="http://schemas.openxmlformats.org/drawingml/2006/main"/>
            <a:p xmlns:a="http://schemas.openxmlformats.org/drawingml/2006/main">
              <a:pPr>
                <a:defRPr sz="1000" b="1">
                  <a:solidFill>
                    <a:srgbClr val="000000"/>
                  </a:solidFill>
                  <a:latin typeface="Arial"/>
                </a:defRPr>
              </a:pPr>
              <a:r>
                <a:t/>
              </a:r>
              <a:endParaRPr sz="1000" b="1">
                <a:solidFill>
                  <a:srgbClr val="000000"/>
                </a:solidFill>
                <a:latin typeface="Arial"/>
              </a:endParaRPr>
            </a:p>
          </txPr>
          <showVal val="1"/>
        </dLbls>
        <gapWidth val="60"/>
        <axId val="10"/>
        <axId val="100"/>
      </barChart>
      <catAx>
        <axId val="10"/>
        <scaling>
          <orientation val="minMax"/>
        </scaling>
        <delete val="0"/>
        <axPos val="l"/>
        <majorTickMark val="none"/>
        <minorTickMark val="none"/>
        <spPr>
          <a:ln xmlns:a="http://schemas.openxmlformats.org/drawingml/2006/main" w="6350">
            <a:solidFill>
              <a:srgbClr val="D0CECE"/>
            </a:solidFill>
            <a:prstDash val="solid"/>
          </a:ln>
        </spPr>
        <txPr>
          <a:bodyPr xmlns:a="http://schemas.openxmlformats.org/drawingml/2006/main"/>
          <a:p xmlns:a="http://schemas.openxmlformats.org/drawingml/2006/main">
            <a:pPr>
              <a:defRPr sz="950" b="0">
                <a:solidFill>
                  <a:srgbClr val="767576"/>
                </a:solidFill>
                <a:latin typeface="Arial"/>
              </a:defRPr>
            </a:pPr>
            <a:r>
              <a:t/>
            </a:r>
            <a:endParaRPr sz="950" b="0">
              <a:solidFill>
                <a:srgbClr val="767576"/>
              </a:solidFill>
              <a:latin typeface="Arial"/>
            </a:endParaRPr>
          </a:p>
        </txPr>
        <crossAx val="100"/>
        <lblOffset val="100"/>
      </catAx>
      <valAx>
        <axId val="100"/>
        <scaling>
          <orientation val="minMax"/>
        </scaling>
        <delete val="0"/>
        <axPos val="l"/>
        <majorTickMark val="none"/>
        <minorTickMark val="none"/>
        <spPr>
          <a:ln xmlns:a="http://schemas.openxmlformats.org/drawingml/2006/main" w="6350">
            <a:solidFill>
              <a:srgbClr val="D0CECE"/>
            </a:solidFill>
            <a:prstDash val="solid"/>
          </a:ln>
        </spPr>
        <txPr>
          <a:bodyPr xmlns:a="http://schemas.openxmlformats.org/drawingml/2006/main"/>
          <a:p xmlns:a="http://schemas.openxmlformats.org/drawingml/2006/main">
            <a:pPr>
              <a:defRPr sz="950" b="0">
                <a:solidFill>
                  <a:srgbClr val="767576"/>
                </a:solidFill>
                <a:latin typeface="Arial"/>
              </a:defRPr>
            </a:pPr>
            <a:r>
              <a:t/>
            </a:r>
            <a:endParaRPr sz="950" b="0">
              <a:solidFill>
                <a:srgbClr val="767576"/>
              </a:solidFill>
              <a:latin typeface="Arial"/>
            </a:endParaRPr>
          </a:p>
        </txPr>
        <crossAx val="10"/>
      </valAx>
    </plotArea>
    <legend>
      <legendPos val="b"/>
      <overlay val="0"/>
      <txPr>
        <a:bodyPr xmlns:a="http://schemas.openxmlformats.org/drawingml/2006/main"/>
        <a:p xmlns:a="http://schemas.openxmlformats.org/drawingml/2006/main">
          <a:pPr>
            <a:defRPr sz="950" b="0">
              <a:solidFill>
                <a:srgbClr val="000000"/>
              </a:solidFill>
              <a:latin typeface="Arial"/>
            </a:defRPr>
          </a:pPr>
          <a:r>
            <a:t/>
          </a:r>
          <a:endParaRPr sz="950" b="0">
            <a:solidFill>
              <a:srgbClr val="000000"/>
            </a:solidFill>
            <a:latin typeface="Arial"/>
          </a:endParaRPr>
        </a:p>
      </txPr>
    </legend>
    <plotVisOnly val="1"/>
    <dispBlanksAs val="gap"/>
  </chart>
  <spPr>
    <a:ln xmlns:a="http://schemas.openxmlformats.org/drawingml/2006/main">
      <a:noFill/>
      <a:prstDash val="solid"/>
    </a:ln>
  </spPr>
</chartSpace>
</file>

<file path=xl/charts/chart24.xml><?xml version="1.0" encoding="utf-8"?>
<chartSpace xmlns="http://schemas.openxmlformats.org/drawingml/2006/chart">
  <chart>
    <title>
      <tx>
        <rich>
          <a:bodyPr xmlns:a="http://schemas.openxmlformats.org/drawingml/2006/main"/>
          <a:p xmlns:a="http://schemas.openxmlformats.org/drawingml/2006/main">
            <a:pPr>
              <a:defRPr sz="1200" b="1">
                <a:solidFill>
                  <a:srgbClr val="000000"/>
                </a:solidFill>
                <a:latin typeface="Arial"/>
              </a:defRPr>
            </a:pPr>
            <a:r>
              <a:rPr sz="1200" b="1">
                <a:solidFill>
                  <a:srgbClr val="000000"/>
                </a:solidFill>
                <a:latin typeface="Arial"/>
              </a:rPr>
              <a:t>10-year real yield, % — nominal less core CPI</a:t>
            </a:r>
          </a:p>
        </rich>
      </tx>
    </title>
    <plotArea>
      <barChart>
        <barDir val="col"/>
        <grouping val="clustered"/>
        <ser>
          <idx val="0"/>
          <order val="0"/>
          <spPr>
            <a:solidFill xmlns:a="http://schemas.openxmlformats.org/drawingml/2006/main">
              <a:srgbClr val="DB0011"/>
            </a:solidFill>
            <a:ln xmlns:a="http://schemas.openxmlformats.org/drawingml/2006/main">
              <a:noFill/>
              <a:prstDash val="solid"/>
            </a:ln>
          </spPr>
          <cat>
            <numRef>
              <f>'RealYield'!$A$6:$A$10</f>
            </numRef>
          </cat>
          <val>
            <numRef>
              <f>'RealYield'!$F$6:$F$10</f>
            </numRef>
          </val>
        </ser>
        <dLbls>
          <numFmt formatCode="+0.00;-0.00"/>
          <txPr>
            <a:bodyPr xmlns:a="http://schemas.openxmlformats.org/drawingml/2006/main"/>
            <a:p xmlns:a="http://schemas.openxmlformats.org/drawingml/2006/main">
              <a:pPr>
                <a:defRPr sz="1000" b="1">
                  <a:solidFill>
                    <a:srgbClr val="000000"/>
                  </a:solidFill>
                  <a:latin typeface="Arial"/>
                </a:defRPr>
              </a:pPr>
              <a:r>
                <a:t/>
              </a:r>
              <a:endParaRPr sz="1000" b="1">
                <a:solidFill>
                  <a:srgbClr val="000000"/>
                </a:solidFill>
                <a:latin typeface="Arial"/>
              </a:endParaRPr>
            </a:p>
          </txPr>
          <showVal val="1"/>
        </dLbls>
        <gapWidth val="60"/>
        <axId val="10"/>
        <axId val="100"/>
      </barChart>
      <catAx>
        <axId val="10"/>
        <scaling>
          <orientation val="minMax"/>
        </scaling>
        <delete val="0"/>
        <axPos val="l"/>
        <majorTickMark val="none"/>
        <minorTickMark val="none"/>
        <spPr>
          <a:ln xmlns:a="http://schemas.openxmlformats.org/drawingml/2006/main" w="6350">
            <a:solidFill>
              <a:srgbClr val="D0CECE"/>
            </a:solidFill>
            <a:prstDash val="solid"/>
          </a:ln>
        </spPr>
        <txPr>
          <a:bodyPr xmlns:a="http://schemas.openxmlformats.org/drawingml/2006/main"/>
          <a:p xmlns:a="http://schemas.openxmlformats.org/drawingml/2006/main">
            <a:pPr>
              <a:defRPr sz="950" b="0">
                <a:solidFill>
                  <a:srgbClr val="767576"/>
                </a:solidFill>
                <a:latin typeface="Arial"/>
              </a:defRPr>
            </a:pPr>
            <a:r>
              <a:t/>
            </a:r>
            <a:endParaRPr sz="950" b="0">
              <a:solidFill>
                <a:srgbClr val="767576"/>
              </a:solidFill>
              <a:latin typeface="Arial"/>
            </a:endParaRPr>
          </a:p>
        </txPr>
        <crossAx val="100"/>
        <lblOffset val="100"/>
      </catAx>
      <valAx>
        <axId val="100"/>
        <scaling>
          <orientation val="minMax"/>
        </scaling>
        <delete val="0"/>
        <axPos val="l"/>
        <majorTickMark val="none"/>
        <minorTickMark val="none"/>
        <spPr>
          <a:ln xmlns:a="http://schemas.openxmlformats.org/drawingml/2006/main" w="6350">
            <a:solidFill>
              <a:srgbClr val="D0CECE"/>
            </a:solidFill>
            <a:prstDash val="solid"/>
          </a:ln>
        </spPr>
        <txPr>
          <a:bodyPr xmlns:a="http://schemas.openxmlformats.org/drawingml/2006/main"/>
          <a:p xmlns:a="http://schemas.openxmlformats.org/drawingml/2006/main">
            <a:pPr>
              <a:defRPr sz="950" b="0">
                <a:solidFill>
                  <a:srgbClr val="767576"/>
                </a:solidFill>
                <a:latin typeface="Arial"/>
              </a:defRPr>
            </a:pPr>
            <a:r>
              <a:t/>
            </a:r>
            <a:endParaRPr sz="950" b="0">
              <a:solidFill>
                <a:srgbClr val="767576"/>
              </a:solidFill>
              <a:latin typeface="Arial"/>
            </a:endParaRPr>
          </a:p>
        </txPr>
        <crossAx val="10"/>
      </valAx>
    </plotArea>
    <plotVisOnly val="1"/>
    <dispBlanksAs val="gap"/>
  </chart>
  <spPr>
    <a:ln xmlns:a="http://schemas.openxmlformats.org/drawingml/2006/main">
      <a:noFill/>
      <a:prstDash val="solid"/>
    </a:ln>
  </spPr>
</chartSpace>
</file>

<file path=xl/charts/chart25.xml><?xml version="1.0" encoding="utf-8"?>
<chartSpace xmlns="http://schemas.openxmlformats.org/drawingml/2006/chart">
  <chart>
    <title>
      <tx>
        <rich>
          <a:bodyPr xmlns:a="http://schemas.openxmlformats.org/drawingml/2006/main"/>
          <a:p xmlns:a="http://schemas.openxmlformats.org/drawingml/2006/main">
            <a:pPr>
              <a:defRPr sz="1200" b="1">
                <a:solidFill>
                  <a:srgbClr val="000000"/>
                </a:solidFill>
                <a:latin typeface="Arial"/>
              </a:defRPr>
            </a:pPr>
            <a:r>
              <a:rPr sz="1200" b="1">
                <a:solidFill>
                  <a:srgbClr val="000000"/>
                </a:solidFill>
                <a:latin typeface="Arial"/>
              </a:rPr>
              <a:t>Shunto settlement, % — annual</a:t>
            </a:r>
          </a:p>
        </rich>
      </tx>
    </title>
    <plotArea>
      <barChart>
        <barDir val="col"/>
        <grouping val="clustered"/>
        <ser>
          <idx val="0"/>
          <order val="0"/>
          <spPr>
            <a:solidFill xmlns:a="http://schemas.openxmlformats.org/drawingml/2006/main">
              <a:srgbClr val="44546A"/>
            </a:solidFill>
            <a:ln xmlns:a="http://schemas.openxmlformats.org/drawingml/2006/main">
              <a:noFill/>
              <a:prstDash val="solid"/>
            </a:ln>
          </spPr>
          <cat>
            <numRef>
              <f>'BOJPath'!$A$16:$A$21</f>
            </numRef>
          </cat>
          <val>
            <numRef>
              <f>'BOJPath'!$E$16:$E$21</f>
            </numRef>
          </val>
        </ser>
        <dLbls>
          <numFmt formatCode="0.00"/>
          <txPr>
            <a:bodyPr xmlns:a="http://schemas.openxmlformats.org/drawingml/2006/main"/>
            <a:p xmlns:a="http://schemas.openxmlformats.org/drawingml/2006/main">
              <a:pPr>
                <a:defRPr sz="1000" b="1">
                  <a:solidFill>
                    <a:srgbClr val="000000"/>
                  </a:solidFill>
                  <a:latin typeface="Arial"/>
                </a:defRPr>
              </a:pPr>
              <a:r>
                <a:t/>
              </a:r>
              <a:endParaRPr sz="1000" b="1">
                <a:solidFill>
                  <a:srgbClr val="000000"/>
                </a:solidFill>
                <a:latin typeface="Arial"/>
              </a:endParaRPr>
            </a:p>
          </txPr>
          <showVal val="1"/>
        </dLbls>
        <gapWidth val="60"/>
        <axId val="10"/>
        <axId val="100"/>
      </barChart>
      <catAx>
        <axId val="10"/>
        <scaling>
          <orientation val="minMax"/>
        </scaling>
        <delete val="0"/>
        <axPos val="l"/>
        <majorTickMark val="none"/>
        <minorTickMark val="none"/>
        <spPr>
          <a:ln xmlns:a="http://schemas.openxmlformats.org/drawingml/2006/main" w="6350">
            <a:solidFill>
              <a:srgbClr val="D0CECE"/>
            </a:solidFill>
            <a:prstDash val="solid"/>
          </a:ln>
        </spPr>
        <txPr>
          <a:bodyPr xmlns:a="http://schemas.openxmlformats.org/drawingml/2006/main"/>
          <a:p xmlns:a="http://schemas.openxmlformats.org/drawingml/2006/main">
            <a:pPr>
              <a:defRPr sz="950" b="0">
                <a:solidFill>
                  <a:srgbClr val="767576"/>
                </a:solidFill>
                <a:latin typeface="Arial"/>
              </a:defRPr>
            </a:pPr>
            <a:r>
              <a:t/>
            </a:r>
            <a:endParaRPr sz="950" b="0">
              <a:solidFill>
                <a:srgbClr val="767576"/>
              </a:solidFill>
              <a:latin typeface="Arial"/>
            </a:endParaRPr>
          </a:p>
        </txPr>
        <crossAx val="100"/>
        <lblOffset val="100"/>
      </catAx>
      <valAx>
        <axId val="100"/>
        <scaling>
          <orientation val="minMax"/>
        </scaling>
        <delete val="0"/>
        <axPos val="l"/>
        <majorTickMark val="none"/>
        <minorTickMark val="none"/>
        <spPr>
          <a:ln xmlns:a="http://schemas.openxmlformats.org/drawingml/2006/main" w="6350">
            <a:solidFill>
              <a:srgbClr val="D0CECE"/>
            </a:solidFill>
            <a:prstDash val="solid"/>
          </a:ln>
        </spPr>
        <txPr>
          <a:bodyPr xmlns:a="http://schemas.openxmlformats.org/drawingml/2006/main"/>
          <a:p xmlns:a="http://schemas.openxmlformats.org/drawingml/2006/main">
            <a:pPr>
              <a:defRPr sz="950" b="0">
                <a:solidFill>
                  <a:srgbClr val="767576"/>
                </a:solidFill>
                <a:latin typeface="Arial"/>
              </a:defRPr>
            </a:pPr>
            <a:r>
              <a:t/>
            </a:r>
            <a:endParaRPr sz="950" b="0">
              <a:solidFill>
                <a:srgbClr val="767576"/>
              </a:solidFill>
              <a:latin typeface="Arial"/>
            </a:endParaRPr>
          </a:p>
        </txPr>
        <crossAx val="10"/>
      </valAx>
    </plotArea>
    <plotVisOnly val="1"/>
    <dispBlanksAs val="gap"/>
  </chart>
  <spPr>
    <a:ln xmlns:a="http://schemas.openxmlformats.org/drawingml/2006/main">
      <a:noFill/>
      <a:prstDash val="solid"/>
    </a:ln>
  </spPr>
</chartSpace>
</file>

<file path=xl/charts/chart26.xml><?xml version="1.0" encoding="utf-8"?>
<chartSpace xmlns="http://schemas.openxmlformats.org/drawingml/2006/chart">
  <chart>
    <title>
      <tx>
        <rich>
          <a:bodyPr xmlns:a="http://schemas.openxmlformats.org/drawingml/2006/main"/>
          <a:p xmlns:a="http://schemas.openxmlformats.org/drawingml/2006/main">
            <a:pPr>
              <a:defRPr sz="1200" b="1">
                <a:solidFill>
                  <a:srgbClr val="000000"/>
                </a:solidFill>
                <a:latin typeface="Arial"/>
              </a:defRPr>
            </a:pPr>
            <a:r>
              <a:rPr sz="1200" b="1">
                <a:solidFill>
                  <a:srgbClr val="000000"/>
                </a:solidFill>
                <a:latin typeface="Arial"/>
              </a:rPr>
              <a:t>OIS-implied policy path against core-core CPI, %</a:t>
            </a:r>
          </a:p>
        </rich>
      </tx>
    </title>
    <plotArea>
      <lineChart>
        <grouping val="standard"/>
        <ser>
          <idx val="0"/>
          <order val="0"/>
          <tx>
            <v>JPY OIS 1y</v>
          </tx>
          <spPr>
            <a:ln xmlns:a="http://schemas.openxmlformats.org/drawingml/2006/main" w="20000">
              <a:solidFill>
                <a:srgbClr val="DB0011"/>
              </a:solidFill>
              <a:prstDash val="solid"/>
            </a:ln>
          </spPr>
          <marker>
            <symbol val="none"/>
            <spPr>
              <a:ln xmlns:a="http://schemas.openxmlformats.org/drawingml/2006/main">
                <a:prstDash val="solid"/>
              </a:ln>
            </spPr>
          </marker>
          <cat>
            <numRef>
              <f>'BOJPath'!$A$28:$A$157</f>
            </numRef>
          </cat>
          <val>
            <numRef>
              <f>'BOJPath'!$B$28:$B$157</f>
            </numRef>
          </val>
          <smooth val="0"/>
        </ser>
        <ser>
          <idx val="1"/>
          <order val="1"/>
          <tx>
            <v>1y1y forward</v>
          </tx>
          <spPr>
            <a:ln xmlns:a="http://schemas.openxmlformats.org/drawingml/2006/main" w="20000">
              <a:solidFill>
                <a:srgbClr val="DB0011"/>
              </a:solidFill>
              <a:prstDash val="dash"/>
            </a:ln>
          </spPr>
          <marker>
            <symbol val="none"/>
            <spPr>
              <a:ln xmlns:a="http://schemas.openxmlformats.org/drawingml/2006/main">
                <a:prstDash val="solid"/>
              </a:ln>
            </spPr>
          </marker>
          <cat>
            <numRef>
              <f>'BOJPath'!$A$28:$A$157</f>
            </numRef>
          </cat>
          <val>
            <numRef>
              <f>'BOJPath'!$E$28:$E$157</f>
            </numRef>
          </val>
          <smooth val="0"/>
        </ser>
        <ser>
          <idx val="2"/>
          <order val="2"/>
          <tx>
            <v>JPY OIS 2y</v>
          </tx>
          <spPr>
            <a:ln xmlns:a="http://schemas.openxmlformats.org/drawingml/2006/main" w="20000">
              <a:solidFill>
                <a:srgbClr val="6E88A6"/>
              </a:solidFill>
              <a:prstDash val="solid"/>
            </a:ln>
          </spPr>
          <marker>
            <symbol val="none"/>
            <spPr>
              <a:ln xmlns:a="http://schemas.openxmlformats.org/drawingml/2006/main">
                <a:prstDash val="solid"/>
              </a:ln>
            </spPr>
          </marker>
          <cat>
            <numRef>
              <f>'BOJPath'!$A$28:$A$157</f>
            </numRef>
          </cat>
          <val>
            <numRef>
              <f>'BOJPath'!$C$28:$C$157</f>
            </numRef>
          </val>
          <smooth val="0"/>
        </ser>
        <ser>
          <idx val="3"/>
          <order val="3"/>
          <tx>
            <v>Core-core CPI y/y</v>
          </tx>
          <spPr>
            <a:ln xmlns:a="http://schemas.openxmlformats.org/drawingml/2006/main" w="20000">
              <a:solidFill>
                <a:srgbClr val="44546A"/>
              </a:solidFill>
              <a:prstDash val="solid"/>
            </a:ln>
          </spPr>
          <marker>
            <symbol val="none"/>
            <spPr>
              <a:ln xmlns:a="http://schemas.openxmlformats.org/drawingml/2006/main">
                <a:prstDash val="solid"/>
              </a:ln>
            </spPr>
          </marker>
          <cat>
            <numRef>
              <f>'BOJPath'!$A$28:$A$157</f>
            </numRef>
          </cat>
          <val>
            <numRef>
              <f>'BOJPath'!$D$28:$D$157</f>
            </numRef>
          </val>
          <smooth val="0"/>
        </ser>
        <axId val="10"/>
        <axId val="100"/>
      </lineChart>
      <catAx>
        <axId val="10"/>
        <scaling>
          <orientation val="minMax"/>
        </scaling>
        <delete val="0"/>
        <axPos val="l"/>
        <numFmt formatCode="mmm-yy" sourceLinked="0"/>
        <majorTickMark val="none"/>
        <minorTickMark val="none"/>
        <spPr>
          <a:ln xmlns:a="http://schemas.openxmlformats.org/drawingml/2006/main" w="6350">
            <a:solidFill>
              <a:srgbClr val="D0CECE"/>
            </a:solidFill>
            <a:prstDash val="solid"/>
          </a:ln>
        </spPr>
        <txPr>
          <a:bodyPr xmlns:a="http://schemas.openxmlformats.org/drawingml/2006/main"/>
          <a:p xmlns:a="http://schemas.openxmlformats.org/drawingml/2006/main">
            <a:pPr>
              <a:defRPr sz="950" b="0">
                <a:solidFill>
                  <a:srgbClr val="767576"/>
                </a:solidFill>
                <a:latin typeface="Arial"/>
              </a:defRPr>
            </a:pPr>
            <a:r>
              <a:t/>
            </a:r>
            <a:endParaRPr sz="950" b="0">
              <a:solidFill>
                <a:srgbClr val="767576"/>
              </a:solidFill>
              <a:latin typeface="Arial"/>
            </a:endParaRPr>
          </a:p>
        </txPr>
        <crossAx val="100"/>
        <lblOffset val="100"/>
      </catAx>
      <valAx>
        <axId val="100"/>
        <scaling>
          <orientation val="minMax"/>
        </scaling>
        <delete val="0"/>
        <axPos val="l"/>
        <title>
          <tx>
            <rich>
              <a:bodyPr xmlns:a="http://schemas.openxmlformats.org/drawingml/2006/main"/>
              <a:p xmlns:a="http://schemas.openxmlformats.org/drawingml/2006/main">
                <a:pPr>
                  <a:defRPr sz="950" b="0">
                    <a:solidFill>
                      <a:srgbClr val="767576"/>
                    </a:solidFill>
                    <a:latin typeface="Arial"/>
                  </a:defRPr>
                </a:pPr>
                <a:r>
                  <a:t>%</a:t>
                </a:r>
              </a:p>
            </rich>
          </tx>
        </title>
        <majorTickMark val="none"/>
        <minorTickMark val="none"/>
        <spPr>
          <a:ln xmlns:a="http://schemas.openxmlformats.org/drawingml/2006/main" w="6350">
            <a:solidFill>
              <a:srgbClr val="D0CECE"/>
            </a:solidFill>
            <a:prstDash val="solid"/>
          </a:ln>
        </spPr>
        <txPr>
          <a:bodyPr xmlns:a="http://schemas.openxmlformats.org/drawingml/2006/main"/>
          <a:p xmlns:a="http://schemas.openxmlformats.org/drawingml/2006/main">
            <a:pPr>
              <a:defRPr sz="950" b="0">
                <a:solidFill>
                  <a:srgbClr val="767576"/>
                </a:solidFill>
                <a:latin typeface="Arial"/>
              </a:defRPr>
            </a:pPr>
            <a:r>
              <a:t/>
            </a:r>
            <a:endParaRPr sz="950" b="0">
              <a:solidFill>
                <a:srgbClr val="767576"/>
              </a:solidFill>
              <a:latin typeface="Arial"/>
            </a:endParaRPr>
          </a:p>
        </txPr>
        <crossAx val="10"/>
      </valAx>
    </plotArea>
    <legend>
      <legendPos val="b"/>
      <overlay val="0"/>
      <txPr>
        <a:bodyPr xmlns:a="http://schemas.openxmlformats.org/drawingml/2006/main"/>
        <a:p xmlns:a="http://schemas.openxmlformats.org/drawingml/2006/main">
          <a:pPr>
            <a:defRPr sz="950" b="0">
              <a:solidFill>
                <a:srgbClr val="000000"/>
              </a:solidFill>
              <a:latin typeface="Arial"/>
            </a:defRPr>
          </a:pPr>
          <a:r>
            <a:t/>
          </a:r>
          <a:endParaRPr sz="950" b="0">
            <a:solidFill>
              <a:srgbClr val="000000"/>
            </a:solidFill>
            <a:latin typeface="Arial"/>
          </a:endParaRPr>
        </a:p>
      </txPr>
    </legend>
    <plotVisOnly val="1"/>
    <dispBlanksAs val="gap"/>
  </chart>
  <spPr>
    <a:ln xmlns:a="http://schemas.openxmlformats.org/drawingml/2006/main">
      <a:noFill/>
      <a:prstDash val="solid"/>
    </a:ln>
  </spPr>
</chartSpace>
</file>

<file path=xl/charts/chart27.xml><?xml version="1.0" encoding="utf-8"?>
<chartSpace xmlns="http://schemas.openxmlformats.org/drawingml/2006/chart">
  <chart>
    <title>
      <tx>
        <rich>
          <a:bodyPr xmlns:a="http://schemas.openxmlformats.org/drawingml/2006/main"/>
          <a:p xmlns:a="http://schemas.openxmlformats.org/drawingml/2006/main">
            <a:pPr>
              <a:defRPr sz="1200" b="1">
                <a:solidFill>
                  <a:srgbClr val="000000"/>
                </a:solidFill>
                <a:latin typeface="Arial"/>
              </a:defRPr>
            </a:pPr>
            <a:r>
              <a:rPr sz="1200" b="1">
                <a:solidFill>
                  <a:srgbClr val="000000"/>
                </a:solidFill>
                <a:latin typeface="Arial"/>
              </a:rPr>
              <a:t>Curve slope, bp — current</a:t>
            </a:r>
          </a:p>
        </rich>
      </tx>
    </title>
    <plotArea>
      <barChart>
        <barDir val="col"/>
        <grouping val="clustered"/>
        <ser>
          <idx val="0"/>
          <order val="0"/>
          <spPr>
            <a:solidFill xmlns:a="http://schemas.openxmlformats.org/drawingml/2006/main">
              <a:srgbClr val="DB0011"/>
            </a:solidFill>
            <a:ln xmlns:a="http://schemas.openxmlformats.org/drawingml/2006/main">
              <a:noFill/>
              <a:prstDash val="solid"/>
            </a:ln>
          </spPr>
          <cat>
            <numRef>
              <f>'CurveSlope'!$A$18:$A$22</f>
            </numRef>
          </cat>
          <val>
            <numRef>
              <f>'CurveSlope'!$D$18:$D$22</f>
            </numRef>
          </val>
        </ser>
        <dLbls>
          <numFmt formatCode="+#,##0;-#,##0"/>
          <txPr>
            <a:bodyPr xmlns:a="http://schemas.openxmlformats.org/drawingml/2006/main"/>
            <a:p xmlns:a="http://schemas.openxmlformats.org/drawingml/2006/main">
              <a:pPr>
                <a:defRPr sz="1000" b="1">
                  <a:solidFill>
                    <a:srgbClr val="000000"/>
                  </a:solidFill>
                  <a:latin typeface="Arial"/>
                </a:defRPr>
              </a:pPr>
              <a:r>
                <a:t/>
              </a:r>
              <a:endParaRPr sz="1000" b="1">
                <a:solidFill>
                  <a:srgbClr val="000000"/>
                </a:solidFill>
                <a:latin typeface="Arial"/>
              </a:endParaRPr>
            </a:p>
          </txPr>
          <showVal val="1"/>
        </dLbls>
        <gapWidth val="60"/>
        <axId val="10"/>
        <axId val="100"/>
      </barChart>
      <catAx>
        <axId val="10"/>
        <scaling>
          <orientation val="minMax"/>
        </scaling>
        <delete val="0"/>
        <axPos val="l"/>
        <majorTickMark val="none"/>
        <minorTickMark val="none"/>
        <spPr>
          <a:ln xmlns:a="http://schemas.openxmlformats.org/drawingml/2006/main" w="6350">
            <a:solidFill>
              <a:srgbClr val="D0CECE"/>
            </a:solidFill>
            <a:prstDash val="solid"/>
          </a:ln>
        </spPr>
        <txPr>
          <a:bodyPr xmlns:a="http://schemas.openxmlformats.org/drawingml/2006/main"/>
          <a:p xmlns:a="http://schemas.openxmlformats.org/drawingml/2006/main">
            <a:pPr>
              <a:defRPr sz="950" b="0">
                <a:solidFill>
                  <a:srgbClr val="767576"/>
                </a:solidFill>
                <a:latin typeface="Arial"/>
              </a:defRPr>
            </a:pPr>
            <a:r>
              <a:t/>
            </a:r>
            <a:endParaRPr sz="950" b="0">
              <a:solidFill>
                <a:srgbClr val="767576"/>
              </a:solidFill>
              <a:latin typeface="Arial"/>
            </a:endParaRPr>
          </a:p>
        </txPr>
        <crossAx val="100"/>
        <lblOffset val="100"/>
      </catAx>
      <valAx>
        <axId val="100"/>
        <scaling>
          <orientation val="minMax"/>
        </scaling>
        <delete val="0"/>
        <axPos val="l"/>
        <majorTickMark val="none"/>
        <minorTickMark val="none"/>
        <spPr>
          <a:ln xmlns:a="http://schemas.openxmlformats.org/drawingml/2006/main" w="6350">
            <a:solidFill>
              <a:srgbClr val="D0CECE"/>
            </a:solidFill>
            <a:prstDash val="solid"/>
          </a:ln>
        </spPr>
        <txPr>
          <a:bodyPr xmlns:a="http://schemas.openxmlformats.org/drawingml/2006/main"/>
          <a:p xmlns:a="http://schemas.openxmlformats.org/drawingml/2006/main">
            <a:pPr>
              <a:defRPr sz="950" b="0">
                <a:solidFill>
                  <a:srgbClr val="767576"/>
                </a:solidFill>
                <a:latin typeface="Arial"/>
              </a:defRPr>
            </a:pPr>
            <a:r>
              <a:t/>
            </a:r>
            <a:endParaRPr sz="950" b="0">
              <a:solidFill>
                <a:srgbClr val="767576"/>
              </a:solidFill>
              <a:latin typeface="Arial"/>
            </a:endParaRPr>
          </a:p>
        </txPr>
        <crossAx val="10"/>
      </valAx>
    </plotArea>
    <plotVisOnly val="1"/>
    <dispBlanksAs val="gap"/>
  </chart>
  <spPr>
    <a:ln xmlns:a="http://schemas.openxmlformats.org/drawingml/2006/main">
      <a:noFill/>
      <a:prstDash val="solid"/>
    </a:ln>
  </spPr>
</chartSpace>
</file>

<file path=xl/charts/chart28.xml><?xml version="1.0" encoding="utf-8"?>
<chartSpace xmlns="http://schemas.openxmlformats.org/drawingml/2006/chart">
  <chart>
    <title>
      <tx>
        <rich>
          <a:bodyPr xmlns:a="http://schemas.openxmlformats.org/drawingml/2006/main"/>
          <a:p xmlns:a="http://schemas.openxmlformats.org/drawingml/2006/main">
            <a:pPr>
              <a:defRPr sz="1200" b="1">
                <a:solidFill>
                  <a:srgbClr val="000000"/>
                </a:solidFill>
                <a:latin typeface="Arial"/>
              </a:defRPr>
            </a:pPr>
            <a:r>
              <a:rPr sz="1200" b="1">
                <a:solidFill>
                  <a:srgbClr val="000000"/>
                </a:solidFill>
                <a:latin typeface="Arial"/>
              </a:rPr>
              <a:t>Percentile within the 5-year range</a:t>
            </a:r>
          </a:p>
        </rich>
      </tx>
    </title>
    <plotArea>
      <barChart>
        <barDir val="col"/>
        <grouping val="clustered"/>
        <ser>
          <idx val="0"/>
          <order val="0"/>
          <spPr>
            <a:solidFill xmlns:a="http://schemas.openxmlformats.org/drawingml/2006/main">
              <a:srgbClr val="44546A"/>
            </a:solidFill>
            <a:ln xmlns:a="http://schemas.openxmlformats.org/drawingml/2006/main">
              <a:noFill/>
              <a:prstDash val="solid"/>
            </a:ln>
          </spPr>
          <cat>
            <numRef>
              <f>'CurveSlope'!$A$18:$A$22</f>
            </numRef>
          </cat>
          <val>
            <numRef>
              <f>'CurveSlope'!$H$18:$H$22</f>
            </numRef>
          </val>
        </ser>
        <dLbls>
          <numFmt formatCode="0%"/>
          <txPr>
            <a:bodyPr xmlns:a="http://schemas.openxmlformats.org/drawingml/2006/main"/>
            <a:p xmlns:a="http://schemas.openxmlformats.org/drawingml/2006/main">
              <a:pPr>
                <a:defRPr sz="1000" b="1">
                  <a:solidFill>
                    <a:srgbClr val="000000"/>
                  </a:solidFill>
                  <a:latin typeface="Arial"/>
                </a:defRPr>
              </a:pPr>
              <a:r>
                <a:t/>
              </a:r>
              <a:endParaRPr sz="1000" b="1">
                <a:solidFill>
                  <a:srgbClr val="000000"/>
                </a:solidFill>
                <a:latin typeface="Arial"/>
              </a:endParaRPr>
            </a:p>
          </txPr>
          <showVal val="1"/>
        </dLbls>
        <gapWidth val="60"/>
        <axId val="10"/>
        <axId val="100"/>
      </barChart>
      <catAx>
        <axId val="10"/>
        <scaling>
          <orientation val="minMax"/>
        </scaling>
        <delete val="0"/>
        <axPos val="l"/>
        <majorTickMark val="none"/>
        <minorTickMark val="none"/>
        <spPr>
          <a:ln xmlns:a="http://schemas.openxmlformats.org/drawingml/2006/main" w="6350">
            <a:solidFill>
              <a:srgbClr val="D0CECE"/>
            </a:solidFill>
            <a:prstDash val="solid"/>
          </a:ln>
        </spPr>
        <txPr>
          <a:bodyPr xmlns:a="http://schemas.openxmlformats.org/drawingml/2006/main"/>
          <a:p xmlns:a="http://schemas.openxmlformats.org/drawingml/2006/main">
            <a:pPr>
              <a:defRPr sz="950" b="0">
                <a:solidFill>
                  <a:srgbClr val="767576"/>
                </a:solidFill>
                <a:latin typeface="Arial"/>
              </a:defRPr>
            </a:pPr>
            <a:r>
              <a:t/>
            </a:r>
            <a:endParaRPr sz="950" b="0">
              <a:solidFill>
                <a:srgbClr val="767576"/>
              </a:solidFill>
              <a:latin typeface="Arial"/>
            </a:endParaRPr>
          </a:p>
        </txPr>
        <crossAx val="100"/>
        <lblOffset val="100"/>
      </catAx>
      <valAx>
        <axId val="100"/>
        <scaling>
          <orientation val="minMax"/>
        </scaling>
        <delete val="0"/>
        <axPos val="l"/>
        <majorTickMark val="none"/>
        <minorTickMark val="none"/>
        <spPr>
          <a:ln xmlns:a="http://schemas.openxmlformats.org/drawingml/2006/main" w="6350">
            <a:solidFill>
              <a:srgbClr val="D0CECE"/>
            </a:solidFill>
            <a:prstDash val="solid"/>
          </a:ln>
        </spPr>
        <txPr>
          <a:bodyPr xmlns:a="http://schemas.openxmlformats.org/drawingml/2006/main"/>
          <a:p xmlns:a="http://schemas.openxmlformats.org/drawingml/2006/main">
            <a:pPr>
              <a:defRPr sz="950" b="0">
                <a:solidFill>
                  <a:srgbClr val="767576"/>
                </a:solidFill>
                <a:latin typeface="Arial"/>
              </a:defRPr>
            </a:pPr>
            <a:r>
              <a:t/>
            </a:r>
            <a:endParaRPr sz="950" b="0">
              <a:solidFill>
                <a:srgbClr val="767576"/>
              </a:solidFill>
              <a:latin typeface="Arial"/>
            </a:endParaRPr>
          </a:p>
        </txPr>
        <crossAx val="10"/>
      </valAx>
    </plotArea>
    <plotVisOnly val="1"/>
    <dispBlanksAs val="gap"/>
  </chart>
  <spPr>
    <a:ln xmlns:a="http://schemas.openxmlformats.org/drawingml/2006/main">
      <a:noFill/>
      <a:prstDash val="solid"/>
    </a:ln>
  </spPr>
</chartSpace>
</file>

<file path=xl/charts/chart29.xml><?xml version="1.0" encoding="utf-8"?>
<chartSpace xmlns="http://schemas.openxmlformats.org/drawingml/2006/chart">
  <chart>
    <title>
      <tx>
        <rich>
          <a:bodyPr xmlns:a="http://schemas.openxmlformats.org/drawingml/2006/main"/>
          <a:p xmlns:a="http://schemas.openxmlformats.org/drawingml/2006/main">
            <a:pPr>
              <a:defRPr sz="1200" b="1">
                <a:solidFill>
                  <a:srgbClr val="000000"/>
                </a:solidFill>
                <a:latin typeface="Arial"/>
              </a:defRPr>
            </a:pPr>
            <a:r>
              <a:rPr sz="1200" b="1">
                <a:solidFill>
                  <a:srgbClr val="000000"/>
                </a:solidFill>
                <a:latin typeface="Arial"/>
              </a:rPr>
              <a:t>Curve slopes, monthly — five years, bp</a:t>
            </a:r>
          </a:p>
        </rich>
      </tx>
    </title>
    <plotArea>
      <lineChart>
        <grouping val="standard"/>
        <ser>
          <idx val="0"/>
          <order val="0"/>
          <tx>
            <v>JGB 2s10s</v>
          </tx>
          <spPr>
            <a:ln xmlns:a="http://schemas.openxmlformats.org/drawingml/2006/main" w="20000">
              <a:solidFill>
                <a:srgbClr val="DB0011"/>
              </a:solidFill>
              <a:prstDash val="solid"/>
            </a:ln>
          </spPr>
          <marker>
            <symbol val="none"/>
            <spPr>
              <a:ln xmlns:a="http://schemas.openxmlformats.org/drawingml/2006/main">
                <a:prstDash val="solid"/>
              </a:ln>
            </spPr>
          </marker>
          <cat>
            <numRef>
              <f>'CurveSlope'!$A$40:$A$169</f>
            </numRef>
          </cat>
          <val>
            <numRef>
              <f>'CurveSlope'!$B$40:$B$169</f>
            </numRef>
          </val>
          <smooth val="0"/>
        </ser>
        <ser>
          <idx val="1"/>
          <order val="1"/>
          <tx>
            <v>JGB 10s30s</v>
          </tx>
          <spPr>
            <a:ln xmlns:a="http://schemas.openxmlformats.org/drawingml/2006/main" w="20000">
              <a:solidFill>
                <a:srgbClr val="44546A"/>
              </a:solidFill>
              <a:prstDash val="solid"/>
            </a:ln>
          </spPr>
          <marker>
            <symbol val="none"/>
            <spPr>
              <a:ln xmlns:a="http://schemas.openxmlformats.org/drawingml/2006/main">
                <a:prstDash val="solid"/>
              </a:ln>
            </spPr>
          </marker>
          <cat>
            <numRef>
              <f>'CurveSlope'!$A$40:$A$169</f>
            </numRef>
          </cat>
          <val>
            <numRef>
              <f>'CurveSlope'!$C$40:$C$169</f>
            </numRef>
          </val>
          <smooth val="0"/>
        </ser>
        <ser>
          <idx val="2"/>
          <order val="2"/>
          <tx>
            <v>UST 2s10s</v>
          </tx>
          <spPr>
            <a:ln xmlns:a="http://schemas.openxmlformats.org/drawingml/2006/main" w="20000">
              <a:solidFill>
                <a:srgbClr val="6E88A6"/>
              </a:solidFill>
              <a:prstDash val="solid"/>
            </a:ln>
          </spPr>
          <marker>
            <symbol val="none"/>
            <spPr>
              <a:ln xmlns:a="http://schemas.openxmlformats.org/drawingml/2006/main">
                <a:prstDash val="solid"/>
              </a:ln>
            </spPr>
          </marker>
          <cat>
            <numRef>
              <f>'CurveSlope'!$A$40:$A$169</f>
            </numRef>
          </cat>
          <val>
            <numRef>
              <f>'CurveSlope'!$D$40:$D$169</f>
            </numRef>
          </val>
          <smooth val="0"/>
        </ser>
        <ser>
          <idx val="3"/>
          <order val="3"/>
          <tx>
            <v>Bund 2s10s</v>
          </tx>
          <spPr>
            <a:ln xmlns:a="http://schemas.openxmlformats.org/drawingml/2006/main" w="20000">
              <a:solidFill>
                <a:srgbClr val="9FB4CA"/>
              </a:solidFill>
              <a:prstDash val="solid"/>
            </a:ln>
          </spPr>
          <marker>
            <symbol val="none"/>
            <spPr>
              <a:ln xmlns:a="http://schemas.openxmlformats.org/drawingml/2006/main">
                <a:prstDash val="solid"/>
              </a:ln>
            </spPr>
          </marker>
          <cat>
            <numRef>
              <f>'CurveSlope'!$A$40:$A$169</f>
            </numRef>
          </cat>
          <val>
            <numRef>
              <f>'CurveSlope'!$E$40:$E$169</f>
            </numRef>
          </val>
          <smooth val="0"/>
        </ser>
        <ser>
          <idx val="4"/>
          <order val="4"/>
          <tx>
            <v>KTB 3s10s</v>
          </tx>
          <spPr>
            <a:ln xmlns:a="http://schemas.openxmlformats.org/drawingml/2006/main" w="20000">
              <a:solidFill>
                <a:srgbClr val="767576"/>
              </a:solidFill>
              <a:prstDash val="solid"/>
            </a:ln>
          </spPr>
          <marker>
            <symbol val="none"/>
            <spPr>
              <a:ln xmlns:a="http://schemas.openxmlformats.org/drawingml/2006/main">
                <a:prstDash val="solid"/>
              </a:ln>
            </spPr>
          </marker>
          <cat>
            <numRef>
              <f>'CurveSlope'!$A$40:$A$169</f>
            </numRef>
          </cat>
          <val>
            <numRef>
              <f>'CurveSlope'!$F$40:$F$169</f>
            </numRef>
          </val>
          <smooth val="0"/>
        </ser>
        <axId val="10"/>
        <axId val="100"/>
      </lineChart>
      <catAx>
        <axId val="10"/>
        <scaling>
          <orientation val="minMax"/>
        </scaling>
        <delete val="0"/>
        <axPos val="l"/>
        <numFmt formatCode="mmm-yy" sourceLinked="0"/>
        <majorTickMark val="none"/>
        <minorTickMark val="none"/>
        <spPr>
          <a:ln xmlns:a="http://schemas.openxmlformats.org/drawingml/2006/main" w="6350">
            <a:solidFill>
              <a:srgbClr val="D0CECE"/>
            </a:solidFill>
            <a:prstDash val="solid"/>
          </a:ln>
        </spPr>
        <txPr>
          <a:bodyPr xmlns:a="http://schemas.openxmlformats.org/drawingml/2006/main"/>
          <a:p xmlns:a="http://schemas.openxmlformats.org/drawingml/2006/main">
            <a:pPr>
              <a:defRPr sz="950" b="0">
                <a:solidFill>
                  <a:srgbClr val="767576"/>
                </a:solidFill>
                <a:latin typeface="Arial"/>
              </a:defRPr>
            </a:pPr>
            <a:r>
              <a:t/>
            </a:r>
            <a:endParaRPr sz="950" b="0">
              <a:solidFill>
                <a:srgbClr val="767576"/>
              </a:solidFill>
              <a:latin typeface="Arial"/>
            </a:endParaRPr>
          </a:p>
        </txPr>
        <crossAx val="100"/>
        <lblOffset val="100"/>
      </catAx>
      <valAx>
        <axId val="100"/>
        <scaling>
          <orientation val="minMax"/>
        </scaling>
        <delete val="0"/>
        <axPos val="l"/>
        <title>
          <tx>
            <rich>
              <a:bodyPr xmlns:a="http://schemas.openxmlformats.org/drawingml/2006/main"/>
              <a:p xmlns:a="http://schemas.openxmlformats.org/drawingml/2006/main">
                <a:pPr>
                  <a:defRPr sz="950" b="0">
                    <a:solidFill>
                      <a:srgbClr val="767576"/>
                    </a:solidFill>
                    <a:latin typeface="Arial"/>
                  </a:defRPr>
                </a:pPr>
                <a:r>
                  <a:t>bp</a:t>
                </a:r>
              </a:p>
            </rich>
          </tx>
        </title>
        <majorTickMark val="none"/>
        <minorTickMark val="none"/>
        <spPr>
          <a:ln xmlns:a="http://schemas.openxmlformats.org/drawingml/2006/main" w="6350">
            <a:solidFill>
              <a:srgbClr val="D0CECE"/>
            </a:solidFill>
            <a:prstDash val="solid"/>
          </a:ln>
        </spPr>
        <txPr>
          <a:bodyPr xmlns:a="http://schemas.openxmlformats.org/drawingml/2006/main"/>
          <a:p xmlns:a="http://schemas.openxmlformats.org/drawingml/2006/main">
            <a:pPr>
              <a:defRPr sz="950" b="0">
                <a:solidFill>
                  <a:srgbClr val="767576"/>
                </a:solidFill>
                <a:latin typeface="Arial"/>
              </a:defRPr>
            </a:pPr>
            <a:r>
              <a:t/>
            </a:r>
            <a:endParaRPr sz="950" b="0">
              <a:solidFill>
                <a:srgbClr val="767576"/>
              </a:solidFill>
              <a:latin typeface="Arial"/>
            </a:endParaRPr>
          </a:p>
        </txPr>
        <crossAx val="10"/>
      </valAx>
    </plotArea>
    <legend>
      <legendPos val="b"/>
      <overlay val="0"/>
      <txPr>
        <a:bodyPr xmlns:a="http://schemas.openxmlformats.org/drawingml/2006/main"/>
        <a:p xmlns:a="http://schemas.openxmlformats.org/drawingml/2006/main">
          <a:pPr>
            <a:defRPr sz="950" b="0">
              <a:solidFill>
                <a:srgbClr val="000000"/>
              </a:solidFill>
              <a:latin typeface="Arial"/>
            </a:defRPr>
          </a:pPr>
          <a:r>
            <a:t/>
          </a:r>
          <a:endParaRPr sz="950" b="0">
            <a:solidFill>
              <a:srgbClr val="000000"/>
            </a:solidFill>
            <a:latin typeface="Arial"/>
          </a:endParaRPr>
        </a:p>
      </txPr>
    </legend>
    <plotVisOnly val="1"/>
    <dispBlanksAs val="gap"/>
  </chart>
  <spPr>
    <a:ln xmlns:a="http://schemas.openxmlformats.org/drawingml/2006/main">
      <a:noFill/>
      <a:prstDash val="solid"/>
    </a:ln>
  </spPr>
</chartSpace>
</file>

<file path=xl/charts/chart30.xml><?xml version="1.0" encoding="utf-8"?>
<chartSpace xmlns="http://schemas.openxmlformats.org/drawingml/2006/chart">
  <chart>
    <title>
      <tx>
        <rich>
          <a:bodyPr xmlns:a="http://schemas.openxmlformats.org/drawingml/2006/main"/>
          <a:p xmlns:a="http://schemas.openxmlformats.org/drawingml/2006/main">
            <a:pPr>
              <a:defRPr sz="1200" b="1">
                <a:solidFill>
                  <a:srgbClr val="000000"/>
                </a:solidFill>
                <a:latin typeface="Arial"/>
              </a:defRPr>
            </a:pPr>
            <a:r>
              <a:rPr sz="1200" b="1">
                <a:solidFill>
                  <a:srgbClr val="000000"/>
                </a:solidFill>
                <a:latin typeface="Arial"/>
              </a:rPr>
              <a:t>Equity risk premium, bp</a:t>
            </a:r>
          </a:p>
        </rich>
      </tx>
    </title>
    <plotArea>
      <barChart>
        <barDir val="col"/>
        <grouping val="clustered"/>
        <ser>
          <idx val="0"/>
          <order val="0"/>
          <spPr>
            <a:solidFill xmlns:a="http://schemas.openxmlformats.org/drawingml/2006/main">
              <a:srgbClr val="DB0011"/>
            </a:solidFill>
            <a:ln xmlns:a="http://schemas.openxmlformats.org/drawingml/2006/main">
              <a:noFill/>
              <a:prstDash val="solid"/>
            </a:ln>
          </spPr>
          <cat>
            <numRef>
              <f>'AsiaERP'!$A$6:$A$10</f>
            </numRef>
          </cat>
          <val>
            <numRef>
              <f>'AsiaERP'!$G$6:$G$10</f>
            </numRef>
          </val>
        </ser>
        <dLbls>
          <numFmt formatCode="#,##0"/>
          <txPr>
            <a:bodyPr xmlns:a="http://schemas.openxmlformats.org/drawingml/2006/main"/>
            <a:p xmlns:a="http://schemas.openxmlformats.org/drawingml/2006/main">
              <a:pPr>
                <a:defRPr sz="1000" b="1">
                  <a:solidFill>
                    <a:srgbClr val="000000"/>
                  </a:solidFill>
                  <a:latin typeface="Arial"/>
                </a:defRPr>
              </a:pPr>
              <a:r>
                <a:t/>
              </a:r>
              <a:endParaRPr sz="1000" b="1">
                <a:solidFill>
                  <a:srgbClr val="000000"/>
                </a:solidFill>
                <a:latin typeface="Arial"/>
              </a:endParaRPr>
            </a:p>
          </txPr>
          <showVal val="1"/>
        </dLbls>
        <gapWidth val="60"/>
        <axId val="10"/>
        <axId val="100"/>
      </barChart>
      <catAx>
        <axId val="10"/>
        <scaling>
          <orientation val="minMax"/>
        </scaling>
        <delete val="0"/>
        <axPos val="l"/>
        <majorTickMark val="none"/>
        <minorTickMark val="none"/>
        <spPr>
          <a:ln xmlns:a="http://schemas.openxmlformats.org/drawingml/2006/main" w="6350">
            <a:solidFill>
              <a:srgbClr val="D0CECE"/>
            </a:solidFill>
            <a:prstDash val="solid"/>
          </a:ln>
        </spPr>
        <txPr>
          <a:bodyPr xmlns:a="http://schemas.openxmlformats.org/drawingml/2006/main"/>
          <a:p xmlns:a="http://schemas.openxmlformats.org/drawingml/2006/main">
            <a:pPr>
              <a:defRPr sz="950" b="0">
                <a:solidFill>
                  <a:srgbClr val="767576"/>
                </a:solidFill>
                <a:latin typeface="Arial"/>
              </a:defRPr>
            </a:pPr>
            <a:r>
              <a:t/>
            </a:r>
            <a:endParaRPr sz="950" b="0">
              <a:solidFill>
                <a:srgbClr val="767576"/>
              </a:solidFill>
              <a:latin typeface="Arial"/>
            </a:endParaRPr>
          </a:p>
        </txPr>
        <crossAx val="100"/>
        <lblOffset val="100"/>
      </catAx>
      <valAx>
        <axId val="100"/>
        <scaling>
          <orientation val="minMax"/>
        </scaling>
        <delete val="0"/>
        <axPos val="l"/>
        <majorTickMark val="none"/>
        <minorTickMark val="none"/>
        <spPr>
          <a:ln xmlns:a="http://schemas.openxmlformats.org/drawingml/2006/main" w="6350">
            <a:solidFill>
              <a:srgbClr val="D0CECE"/>
            </a:solidFill>
            <a:prstDash val="solid"/>
          </a:ln>
        </spPr>
        <txPr>
          <a:bodyPr xmlns:a="http://schemas.openxmlformats.org/drawingml/2006/main"/>
          <a:p xmlns:a="http://schemas.openxmlformats.org/drawingml/2006/main">
            <a:pPr>
              <a:defRPr sz="950" b="0">
                <a:solidFill>
                  <a:srgbClr val="767576"/>
                </a:solidFill>
                <a:latin typeface="Arial"/>
              </a:defRPr>
            </a:pPr>
            <a:r>
              <a:t/>
            </a:r>
            <a:endParaRPr sz="950" b="0">
              <a:solidFill>
                <a:srgbClr val="767576"/>
              </a:solidFill>
              <a:latin typeface="Arial"/>
            </a:endParaRPr>
          </a:p>
        </txPr>
        <crossAx val="10"/>
      </valAx>
    </plotArea>
    <plotVisOnly val="1"/>
    <dispBlanksAs val="gap"/>
  </chart>
  <spPr>
    <a:ln xmlns:a="http://schemas.openxmlformats.org/drawingml/2006/main">
      <a:noFill/>
      <a:prstDash val="solid"/>
    </a:ln>
  </spPr>
</chartSpace>
</file>

<file path=xl/charts/chart31.xml><?xml version="1.0" encoding="utf-8"?>
<chartSpace xmlns="http://schemas.openxmlformats.org/drawingml/2006/chart">
  <chart>
    <title>
      <tx>
        <rich>
          <a:bodyPr xmlns:a="http://schemas.openxmlformats.org/drawingml/2006/main"/>
          <a:p xmlns:a="http://schemas.openxmlformats.org/drawingml/2006/main">
            <a:pPr>
              <a:defRPr sz="1200" b="1">
                <a:solidFill>
                  <a:srgbClr val="000000"/>
                </a:solidFill>
                <a:latin typeface="Arial"/>
              </a:defRPr>
            </a:pPr>
            <a:r>
              <a:rPr sz="1200" b="1">
                <a:solidFill>
                  <a:srgbClr val="000000"/>
                </a:solidFill>
                <a:latin typeface="Arial"/>
              </a:rPr>
              <a:t>ERP percentile against 10 years of its own history</a:t>
            </a:r>
          </a:p>
        </rich>
      </tx>
    </title>
    <plotArea>
      <barChart>
        <barDir val="col"/>
        <grouping val="clustered"/>
        <ser>
          <idx val="0"/>
          <order val="0"/>
          <spPr>
            <a:solidFill xmlns:a="http://schemas.openxmlformats.org/drawingml/2006/main">
              <a:srgbClr val="44546A"/>
            </a:solidFill>
            <a:ln xmlns:a="http://schemas.openxmlformats.org/drawingml/2006/main">
              <a:noFill/>
              <a:prstDash val="solid"/>
            </a:ln>
          </spPr>
          <cat>
            <numRef>
              <f>'AsiaERP'!$A$6:$A$10</f>
            </numRef>
          </cat>
          <val>
            <numRef>
              <f>'AsiaERP'!$H$6:$H$10</f>
            </numRef>
          </val>
        </ser>
        <dLbls>
          <numFmt formatCode="0%"/>
          <txPr>
            <a:bodyPr xmlns:a="http://schemas.openxmlformats.org/drawingml/2006/main"/>
            <a:p xmlns:a="http://schemas.openxmlformats.org/drawingml/2006/main">
              <a:pPr>
                <a:defRPr sz="1000" b="1">
                  <a:solidFill>
                    <a:srgbClr val="000000"/>
                  </a:solidFill>
                  <a:latin typeface="Arial"/>
                </a:defRPr>
              </a:pPr>
              <a:r>
                <a:t/>
              </a:r>
              <a:endParaRPr sz="1000" b="1">
                <a:solidFill>
                  <a:srgbClr val="000000"/>
                </a:solidFill>
                <a:latin typeface="Arial"/>
              </a:endParaRPr>
            </a:p>
          </txPr>
          <showVal val="1"/>
        </dLbls>
        <gapWidth val="60"/>
        <axId val="10"/>
        <axId val="100"/>
      </barChart>
      <catAx>
        <axId val="10"/>
        <scaling>
          <orientation val="minMax"/>
        </scaling>
        <delete val="0"/>
        <axPos val="l"/>
        <majorTickMark val="none"/>
        <minorTickMark val="none"/>
        <spPr>
          <a:ln xmlns:a="http://schemas.openxmlformats.org/drawingml/2006/main" w="6350">
            <a:solidFill>
              <a:srgbClr val="D0CECE"/>
            </a:solidFill>
            <a:prstDash val="solid"/>
          </a:ln>
        </spPr>
        <txPr>
          <a:bodyPr xmlns:a="http://schemas.openxmlformats.org/drawingml/2006/main"/>
          <a:p xmlns:a="http://schemas.openxmlformats.org/drawingml/2006/main">
            <a:pPr>
              <a:defRPr sz="950" b="0">
                <a:solidFill>
                  <a:srgbClr val="767576"/>
                </a:solidFill>
                <a:latin typeface="Arial"/>
              </a:defRPr>
            </a:pPr>
            <a:r>
              <a:t/>
            </a:r>
            <a:endParaRPr sz="950" b="0">
              <a:solidFill>
                <a:srgbClr val="767576"/>
              </a:solidFill>
              <a:latin typeface="Arial"/>
            </a:endParaRPr>
          </a:p>
        </txPr>
        <crossAx val="100"/>
        <lblOffset val="100"/>
      </catAx>
      <valAx>
        <axId val="100"/>
        <scaling>
          <orientation val="minMax"/>
        </scaling>
        <delete val="0"/>
        <axPos val="l"/>
        <majorTickMark val="none"/>
        <minorTickMark val="none"/>
        <spPr>
          <a:ln xmlns:a="http://schemas.openxmlformats.org/drawingml/2006/main" w="6350">
            <a:solidFill>
              <a:srgbClr val="D0CECE"/>
            </a:solidFill>
            <a:prstDash val="solid"/>
          </a:ln>
        </spPr>
        <txPr>
          <a:bodyPr xmlns:a="http://schemas.openxmlformats.org/drawingml/2006/main"/>
          <a:p xmlns:a="http://schemas.openxmlformats.org/drawingml/2006/main">
            <a:pPr>
              <a:defRPr sz="950" b="0">
                <a:solidFill>
                  <a:srgbClr val="767576"/>
                </a:solidFill>
                <a:latin typeface="Arial"/>
              </a:defRPr>
            </a:pPr>
            <a:r>
              <a:t/>
            </a:r>
            <a:endParaRPr sz="950" b="0">
              <a:solidFill>
                <a:srgbClr val="767576"/>
              </a:solidFill>
              <a:latin typeface="Arial"/>
            </a:endParaRPr>
          </a:p>
        </txPr>
        <crossAx val="10"/>
      </valAx>
    </plotArea>
    <plotVisOnly val="1"/>
    <dispBlanksAs val="gap"/>
  </chart>
  <spPr>
    <a:ln xmlns:a="http://schemas.openxmlformats.org/drawingml/2006/main">
      <a:noFill/>
      <a:prstDash val="solid"/>
    </a:ln>
  </spPr>
</chartSpace>
</file>

<file path=xl/charts/chart32.xml><?xml version="1.0" encoding="utf-8"?>
<chartSpace xmlns="http://schemas.openxmlformats.org/drawingml/2006/chart">
  <chart>
    <title>
      <tx>
        <rich>
          <a:bodyPr xmlns:a="http://schemas.openxmlformats.org/drawingml/2006/main"/>
          <a:p xmlns:a="http://schemas.openxmlformats.org/drawingml/2006/main">
            <a:pPr>
              <a:defRPr sz="1200" b="1">
                <a:solidFill>
                  <a:srgbClr val="000000"/>
                </a:solidFill>
                <a:latin typeface="Arial"/>
              </a:defRPr>
            </a:pPr>
            <a:r>
              <a:rPr sz="1200" b="1">
                <a:solidFill>
                  <a:srgbClr val="000000"/>
                </a:solidFill>
                <a:latin typeface="Arial"/>
              </a:rPr>
              <a:t>Equity risk premium, monthly — ten years, bp</a:t>
            </a:r>
          </a:p>
        </rich>
      </tx>
    </title>
    <plotArea>
      <lineChart>
        <grouping val="standard"/>
        <ser>
          <idx val="0"/>
          <order val="0"/>
          <tx>
            <v>China A</v>
          </tx>
          <spPr>
            <a:ln xmlns:a="http://schemas.openxmlformats.org/drawingml/2006/main" w="20000">
              <a:solidFill>
                <a:srgbClr val="DB0011"/>
              </a:solidFill>
              <a:prstDash val="solid"/>
            </a:ln>
          </spPr>
          <marker>
            <symbol val="none"/>
            <spPr>
              <a:ln xmlns:a="http://schemas.openxmlformats.org/drawingml/2006/main">
                <a:prstDash val="solid"/>
              </a:ln>
            </spPr>
          </marker>
          <cat>
            <numRef>
              <f>'AsiaERP'!$A$26:$A$155</f>
            </numRef>
          </cat>
          <val>
            <numRef>
              <f>'AsiaERP'!$B$26:$B$155</f>
            </numRef>
          </val>
          <smooth val="0"/>
        </ser>
        <ser>
          <idx val="1"/>
          <order val="1"/>
          <tx>
            <v>China H</v>
          </tx>
          <spPr>
            <a:ln xmlns:a="http://schemas.openxmlformats.org/drawingml/2006/main" w="20000">
              <a:solidFill>
                <a:srgbClr val="44546A"/>
              </a:solidFill>
              <a:prstDash val="solid"/>
            </a:ln>
          </spPr>
          <marker>
            <symbol val="none"/>
            <spPr>
              <a:ln xmlns:a="http://schemas.openxmlformats.org/drawingml/2006/main">
                <a:prstDash val="solid"/>
              </a:ln>
            </spPr>
          </marker>
          <cat>
            <numRef>
              <f>'AsiaERP'!$A$26:$A$155</f>
            </numRef>
          </cat>
          <val>
            <numRef>
              <f>'AsiaERP'!$C$26:$C$155</f>
            </numRef>
          </val>
          <smooth val="0"/>
        </ser>
        <ser>
          <idx val="2"/>
          <order val="2"/>
          <tx>
            <v>Korea</v>
          </tx>
          <spPr>
            <a:ln xmlns:a="http://schemas.openxmlformats.org/drawingml/2006/main" w="20000">
              <a:solidFill>
                <a:srgbClr val="6E88A6"/>
              </a:solidFill>
              <a:prstDash val="solid"/>
            </a:ln>
          </spPr>
          <marker>
            <symbol val="none"/>
            <spPr>
              <a:ln xmlns:a="http://schemas.openxmlformats.org/drawingml/2006/main">
                <a:prstDash val="solid"/>
              </a:ln>
            </spPr>
          </marker>
          <cat>
            <numRef>
              <f>'AsiaERP'!$A$26:$A$155</f>
            </numRef>
          </cat>
          <val>
            <numRef>
              <f>'AsiaERP'!$D$26:$D$155</f>
            </numRef>
          </val>
          <smooth val="0"/>
        </ser>
        <ser>
          <idx val="3"/>
          <order val="3"/>
          <tx>
            <v>Japan</v>
          </tx>
          <spPr>
            <a:ln xmlns:a="http://schemas.openxmlformats.org/drawingml/2006/main" w="20000">
              <a:solidFill>
                <a:srgbClr val="9FB4CA"/>
              </a:solidFill>
              <a:prstDash val="solid"/>
            </a:ln>
          </spPr>
          <marker>
            <symbol val="none"/>
            <spPr>
              <a:ln xmlns:a="http://schemas.openxmlformats.org/drawingml/2006/main">
                <a:prstDash val="solid"/>
              </a:ln>
            </spPr>
          </marker>
          <cat>
            <numRef>
              <f>'AsiaERP'!$A$26:$A$155</f>
            </numRef>
          </cat>
          <val>
            <numRef>
              <f>'AsiaERP'!$E$26:$E$155</f>
            </numRef>
          </val>
          <smooth val="0"/>
        </ser>
        <ser>
          <idx val="4"/>
          <order val="4"/>
          <tx>
            <v>Taiwan</v>
          </tx>
          <spPr>
            <a:ln xmlns:a="http://schemas.openxmlformats.org/drawingml/2006/main" w="20000">
              <a:solidFill>
                <a:srgbClr val="767576"/>
              </a:solidFill>
              <a:prstDash val="solid"/>
            </a:ln>
          </spPr>
          <marker>
            <symbol val="none"/>
            <spPr>
              <a:ln xmlns:a="http://schemas.openxmlformats.org/drawingml/2006/main">
                <a:prstDash val="solid"/>
              </a:ln>
            </spPr>
          </marker>
          <cat>
            <numRef>
              <f>'AsiaERP'!$A$26:$A$155</f>
            </numRef>
          </cat>
          <val>
            <numRef>
              <f>'AsiaERP'!$F$26:$F$155</f>
            </numRef>
          </val>
          <smooth val="0"/>
        </ser>
        <axId val="10"/>
        <axId val="100"/>
      </lineChart>
      <catAx>
        <axId val="10"/>
        <scaling>
          <orientation val="minMax"/>
        </scaling>
        <delete val="0"/>
        <axPos val="l"/>
        <numFmt formatCode="mmm-yy" sourceLinked="0"/>
        <majorTickMark val="none"/>
        <minorTickMark val="none"/>
        <spPr>
          <a:ln xmlns:a="http://schemas.openxmlformats.org/drawingml/2006/main" w="6350">
            <a:solidFill>
              <a:srgbClr val="D0CECE"/>
            </a:solidFill>
            <a:prstDash val="solid"/>
          </a:ln>
        </spPr>
        <txPr>
          <a:bodyPr xmlns:a="http://schemas.openxmlformats.org/drawingml/2006/main"/>
          <a:p xmlns:a="http://schemas.openxmlformats.org/drawingml/2006/main">
            <a:pPr>
              <a:defRPr sz="950" b="0">
                <a:solidFill>
                  <a:srgbClr val="767576"/>
                </a:solidFill>
                <a:latin typeface="Arial"/>
              </a:defRPr>
            </a:pPr>
            <a:r>
              <a:t/>
            </a:r>
            <a:endParaRPr sz="950" b="0">
              <a:solidFill>
                <a:srgbClr val="767576"/>
              </a:solidFill>
              <a:latin typeface="Arial"/>
            </a:endParaRPr>
          </a:p>
        </txPr>
        <crossAx val="100"/>
        <lblOffset val="100"/>
      </catAx>
      <valAx>
        <axId val="100"/>
        <scaling>
          <orientation val="minMax"/>
        </scaling>
        <delete val="0"/>
        <axPos val="l"/>
        <title>
          <tx>
            <rich>
              <a:bodyPr xmlns:a="http://schemas.openxmlformats.org/drawingml/2006/main"/>
              <a:p xmlns:a="http://schemas.openxmlformats.org/drawingml/2006/main">
                <a:pPr>
                  <a:defRPr sz="950" b="0">
                    <a:solidFill>
                      <a:srgbClr val="767576"/>
                    </a:solidFill>
                    <a:latin typeface="Arial"/>
                  </a:defRPr>
                </a:pPr>
                <a:r>
                  <a:t>bp</a:t>
                </a:r>
              </a:p>
            </rich>
          </tx>
        </title>
        <majorTickMark val="none"/>
        <minorTickMark val="none"/>
        <spPr>
          <a:ln xmlns:a="http://schemas.openxmlformats.org/drawingml/2006/main" w="6350">
            <a:solidFill>
              <a:srgbClr val="D0CECE"/>
            </a:solidFill>
            <a:prstDash val="solid"/>
          </a:ln>
        </spPr>
        <txPr>
          <a:bodyPr xmlns:a="http://schemas.openxmlformats.org/drawingml/2006/main"/>
          <a:p xmlns:a="http://schemas.openxmlformats.org/drawingml/2006/main">
            <a:pPr>
              <a:defRPr sz="950" b="0">
                <a:solidFill>
                  <a:srgbClr val="767576"/>
                </a:solidFill>
                <a:latin typeface="Arial"/>
              </a:defRPr>
            </a:pPr>
            <a:r>
              <a:t/>
            </a:r>
            <a:endParaRPr sz="950" b="0">
              <a:solidFill>
                <a:srgbClr val="767576"/>
              </a:solidFill>
              <a:latin typeface="Arial"/>
            </a:endParaRPr>
          </a:p>
        </txPr>
        <crossAx val="10"/>
      </valAx>
    </plotArea>
    <legend>
      <legendPos val="b"/>
      <overlay val="0"/>
      <txPr>
        <a:bodyPr xmlns:a="http://schemas.openxmlformats.org/drawingml/2006/main"/>
        <a:p xmlns:a="http://schemas.openxmlformats.org/drawingml/2006/main">
          <a:pPr>
            <a:defRPr sz="950" b="0">
              <a:solidFill>
                <a:srgbClr val="000000"/>
              </a:solidFill>
              <a:latin typeface="Arial"/>
            </a:defRPr>
          </a:pPr>
          <a:r>
            <a:t/>
          </a:r>
          <a:endParaRPr sz="950" b="0">
            <a:solidFill>
              <a:srgbClr val="000000"/>
            </a:solidFill>
            <a:latin typeface="Arial"/>
          </a:endParaRPr>
        </a:p>
      </txPr>
    </legend>
    <plotVisOnly val="1"/>
    <dispBlanksAs val="gap"/>
  </chart>
  <spPr>
    <a:ln xmlns:a="http://schemas.openxmlformats.org/drawingml/2006/main">
      <a:noFill/>
      <a:prstDash val="solid"/>
    </a:ln>
  </spPr>
</chartSpace>
</file>

<file path=xl/charts/chart33.xml><?xml version="1.0" encoding="utf-8"?>
<chartSpace xmlns="http://schemas.openxmlformats.org/drawingml/2006/chart">
  <chart>
    <title>
      <tx>
        <rich>
          <a:bodyPr xmlns:a="http://schemas.openxmlformats.org/drawingml/2006/main"/>
          <a:p xmlns:a="http://schemas.openxmlformats.org/drawingml/2006/main">
            <a:pPr>
              <a:defRPr sz="1200" b="1">
                <a:solidFill>
                  <a:srgbClr val="000000"/>
                </a:solidFill>
                <a:latin typeface="Arial"/>
              </a:defRPr>
            </a:pPr>
            <a:r>
              <a:rPr sz="1200" b="1">
                <a:solidFill>
                  <a:srgbClr val="000000"/>
                </a:solidFill>
                <a:latin typeface="Arial"/>
              </a:rPr>
              <a:t>2s10s against its own mean and ±1SD — the entry and exit picture</a:t>
            </a:r>
          </a:p>
        </rich>
      </tx>
    </title>
    <plotArea>
      <lineChart>
        <grouping val="standard"/>
        <ser>
          <idx val="0"/>
          <order val="0"/>
          <tx>
            <v>JPY 2s10s, bp</v>
          </tx>
          <spPr>
            <a:ln xmlns:a="http://schemas.openxmlformats.org/drawingml/2006/main" w="20000">
              <a:solidFill>
                <a:srgbClr val="DB0011"/>
              </a:solidFill>
              <a:prstDash val="solid"/>
            </a:ln>
          </spPr>
          <marker>
            <symbol val="none"/>
            <spPr>
              <a:ln xmlns:a="http://schemas.openxmlformats.org/drawingml/2006/main">
                <a:prstDash val="solid"/>
              </a:ln>
            </spPr>
          </marker>
          <cat>
            <numRef>
              <f>'BullSteepener'!$A$108:$A$387</f>
            </numRef>
          </cat>
          <val>
            <numRef>
              <f>'BullSteepener'!$D$108:$D$387</f>
            </numRef>
          </val>
          <smooth val="0"/>
        </ser>
        <ser>
          <idx val="1"/>
          <order val="1"/>
          <tx>
            <v>5y mean</v>
          </tx>
          <spPr>
            <a:ln xmlns:a="http://schemas.openxmlformats.org/drawingml/2006/main" w="9000">
              <a:solidFill>
                <a:srgbClr val="44546A"/>
              </a:solidFill>
              <a:prstDash val="dash"/>
            </a:ln>
          </spPr>
          <marker>
            <symbol val="none"/>
            <spPr>
              <a:ln xmlns:a="http://schemas.openxmlformats.org/drawingml/2006/main">
                <a:prstDash val="solid"/>
              </a:ln>
            </spPr>
          </marker>
          <cat>
            <numRef>
              <f>'BullSteepener'!$A$108:$A$387</f>
            </numRef>
          </cat>
          <val>
            <numRef>
              <f>'BullSteepener'!$K$108:$K$387</f>
            </numRef>
          </val>
          <smooth val="0"/>
        </ser>
        <ser>
          <idx val="2"/>
          <order val="2"/>
          <tx>
            <v>Entry — mean less 1SD</v>
          </tx>
          <spPr>
            <a:ln xmlns:a="http://schemas.openxmlformats.org/drawingml/2006/main" w="9000">
              <a:solidFill>
                <a:srgbClr val="767576"/>
              </a:solidFill>
              <a:prstDash val="dash"/>
            </a:ln>
          </spPr>
          <marker>
            <symbol val="none"/>
            <spPr>
              <a:ln xmlns:a="http://schemas.openxmlformats.org/drawingml/2006/main">
                <a:prstDash val="solid"/>
              </a:ln>
            </spPr>
          </marker>
          <cat>
            <numRef>
              <f>'BullSteepener'!$A$108:$A$387</f>
            </numRef>
          </cat>
          <val>
            <numRef>
              <f>'BullSteepener'!$L$108:$L$387</f>
            </numRef>
          </val>
          <smooth val="0"/>
        </ser>
        <ser>
          <idx val="3"/>
          <order val="3"/>
          <tx>
            <v>Target — mean plus 1SD</v>
          </tx>
          <spPr>
            <a:ln xmlns:a="http://schemas.openxmlformats.org/drawingml/2006/main" w="9000">
              <a:solidFill>
                <a:srgbClr val="767576"/>
              </a:solidFill>
              <a:prstDash val="dash"/>
            </a:ln>
          </spPr>
          <marker>
            <symbol val="none"/>
            <spPr>
              <a:ln xmlns:a="http://schemas.openxmlformats.org/drawingml/2006/main">
                <a:prstDash val="solid"/>
              </a:ln>
            </spPr>
          </marker>
          <cat>
            <numRef>
              <f>'BullSteepener'!$A$108:$A$387</f>
            </numRef>
          </cat>
          <val>
            <numRef>
              <f>'BullSteepener'!$M$108:$M$387</f>
            </numRef>
          </val>
          <smooth val="0"/>
        </ser>
        <axId val="10"/>
        <axId val="100"/>
      </lineChart>
      <catAx>
        <axId val="10"/>
        <scaling>
          <orientation val="minMax"/>
        </scaling>
        <delete val="0"/>
        <axPos val="l"/>
        <numFmt formatCode="mmm-yy" sourceLinked="0"/>
        <majorTickMark val="none"/>
        <minorTickMark val="none"/>
        <spPr>
          <a:ln xmlns:a="http://schemas.openxmlformats.org/drawingml/2006/main" w="6350">
            <a:solidFill>
              <a:srgbClr val="D0CECE"/>
            </a:solidFill>
            <a:prstDash val="solid"/>
          </a:ln>
        </spPr>
        <txPr>
          <a:bodyPr xmlns:a="http://schemas.openxmlformats.org/drawingml/2006/main"/>
          <a:p xmlns:a="http://schemas.openxmlformats.org/drawingml/2006/main">
            <a:pPr>
              <a:defRPr sz="950" b="0">
                <a:solidFill>
                  <a:srgbClr val="767576"/>
                </a:solidFill>
                <a:latin typeface="Arial"/>
              </a:defRPr>
            </a:pPr>
            <a:r>
              <a:t/>
            </a:r>
            <a:endParaRPr sz="950" b="0">
              <a:solidFill>
                <a:srgbClr val="767576"/>
              </a:solidFill>
              <a:latin typeface="Arial"/>
            </a:endParaRPr>
          </a:p>
        </txPr>
        <crossAx val="100"/>
        <lblOffset val="100"/>
      </catAx>
      <valAx>
        <axId val="100"/>
        <scaling>
          <orientation val="minMax"/>
        </scaling>
        <delete val="0"/>
        <axPos val="l"/>
        <title>
          <tx>
            <rich>
              <a:bodyPr xmlns:a="http://schemas.openxmlformats.org/drawingml/2006/main"/>
              <a:p xmlns:a="http://schemas.openxmlformats.org/drawingml/2006/main">
                <a:pPr>
                  <a:defRPr sz="950" b="0">
                    <a:solidFill>
                      <a:srgbClr val="767576"/>
                    </a:solidFill>
                    <a:latin typeface="Arial"/>
                  </a:defRPr>
                </a:pPr>
                <a:r>
                  <a:t>bp</a:t>
                </a:r>
              </a:p>
            </rich>
          </tx>
        </title>
        <majorTickMark val="none"/>
        <minorTickMark val="none"/>
        <spPr>
          <a:ln xmlns:a="http://schemas.openxmlformats.org/drawingml/2006/main" w="6350">
            <a:solidFill>
              <a:srgbClr val="D0CECE"/>
            </a:solidFill>
            <a:prstDash val="solid"/>
          </a:ln>
        </spPr>
        <txPr>
          <a:bodyPr xmlns:a="http://schemas.openxmlformats.org/drawingml/2006/main"/>
          <a:p xmlns:a="http://schemas.openxmlformats.org/drawingml/2006/main">
            <a:pPr>
              <a:defRPr sz="950" b="0">
                <a:solidFill>
                  <a:srgbClr val="767576"/>
                </a:solidFill>
                <a:latin typeface="Arial"/>
              </a:defRPr>
            </a:pPr>
            <a:r>
              <a:t/>
            </a:r>
            <a:endParaRPr sz="950" b="0">
              <a:solidFill>
                <a:srgbClr val="767576"/>
              </a:solidFill>
              <a:latin typeface="Arial"/>
            </a:endParaRPr>
          </a:p>
        </txPr>
        <crossAx val="10"/>
      </valAx>
    </plotArea>
    <legend>
      <legendPos val="b"/>
      <overlay val="0"/>
      <txPr>
        <a:bodyPr xmlns:a="http://schemas.openxmlformats.org/drawingml/2006/main"/>
        <a:p xmlns:a="http://schemas.openxmlformats.org/drawingml/2006/main">
          <a:pPr>
            <a:defRPr sz="950" b="0">
              <a:solidFill>
                <a:srgbClr val="000000"/>
              </a:solidFill>
              <a:latin typeface="Arial"/>
            </a:defRPr>
          </a:pPr>
          <a:r>
            <a:t/>
          </a:r>
          <a:endParaRPr sz="950" b="0">
            <a:solidFill>
              <a:srgbClr val="000000"/>
            </a:solidFill>
            <a:latin typeface="Arial"/>
          </a:endParaRPr>
        </a:p>
      </txPr>
    </legend>
    <plotVisOnly val="1"/>
    <dispBlanksAs val="gap"/>
  </chart>
  <spPr>
    <a:ln xmlns:a="http://schemas.openxmlformats.org/drawingml/2006/main">
      <a:noFill/>
      <a:prstDash val="solid"/>
    </a:ln>
  </spPr>
</chartSpace>
</file>

<file path=xl/charts/chart34.xml><?xml version="1.0" encoding="utf-8"?>
<chartSpace xmlns="http://schemas.openxmlformats.org/drawingml/2006/chart">
  <chart>
    <title>
      <tx>
        <rich>
          <a:bodyPr xmlns:a="http://schemas.openxmlformats.org/drawingml/2006/main"/>
          <a:p xmlns:a="http://schemas.openxmlformats.org/drawingml/2006/main">
            <a:pPr>
              <a:defRPr sz="1200" b="1">
                <a:solidFill>
                  <a:srgbClr val="000000"/>
                </a:solidFill>
                <a:latin typeface="Arial"/>
              </a:defRPr>
            </a:pPr>
            <a:r>
              <a:rPr sz="1200" b="1">
                <a:solidFill>
                  <a:srgbClr val="000000"/>
                </a:solidFill>
                <a:latin typeface="Arial"/>
              </a:rPr>
              <a:t>Both legs — the 2-year has never rallied</a:t>
            </a:r>
          </a:p>
        </rich>
      </tx>
    </title>
    <plotArea>
      <lineChart>
        <grouping val="standard"/>
        <ser>
          <idx val="0"/>
          <order val="0"/>
          <tx>
            <v>JPY OIS 2y, %</v>
          </tx>
          <spPr>
            <a:ln xmlns:a="http://schemas.openxmlformats.org/drawingml/2006/main" w="20000">
              <a:solidFill>
                <a:srgbClr val="DB0011"/>
              </a:solidFill>
              <a:prstDash val="solid"/>
            </a:ln>
          </spPr>
          <marker>
            <symbol val="none"/>
            <spPr>
              <a:ln xmlns:a="http://schemas.openxmlformats.org/drawingml/2006/main">
                <a:prstDash val="solid"/>
              </a:ln>
            </spPr>
          </marker>
          <cat>
            <numRef>
              <f>'BullSteepener'!$A$108:$A$387</f>
            </numRef>
          </cat>
          <val>
            <numRef>
              <f>'BullSteepener'!$B$108:$B$387</f>
            </numRef>
          </val>
          <smooth val="0"/>
        </ser>
        <ser>
          <idx val="1"/>
          <order val="1"/>
          <tx>
            <v>JPY OIS 10y, %</v>
          </tx>
          <spPr>
            <a:ln xmlns:a="http://schemas.openxmlformats.org/drawingml/2006/main" w="20000">
              <a:solidFill>
                <a:srgbClr val="44546A"/>
              </a:solidFill>
              <a:prstDash val="solid"/>
            </a:ln>
          </spPr>
          <marker>
            <symbol val="none"/>
            <spPr>
              <a:ln xmlns:a="http://schemas.openxmlformats.org/drawingml/2006/main">
                <a:prstDash val="solid"/>
              </a:ln>
            </spPr>
          </marker>
          <cat>
            <numRef>
              <f>'BullSteepener'!$A$108:$A$387</f>
            </numRef>
          </cat>
          <val>
            <numRef>
              <f>'BullSteepener'!$C$108:$C$387</f>
            </numRef>
          </val>
          <smooth val="0"/>
        </ser>
        <axId val="10"/>
        <axId val="100"/>
      </lineChart>
      <catAx>
        <axId val="10"/>
        <scaling>
          <orientation val="minMax"/>
        </scaling>
        <delete val="0"/>
        <axPos val="l"/>
        <numFmt formatCode="mmm-yy" sourceLinked="0"/>
        <majorTickMark val="none"/>
        <minorTickMark val="none"/>
        <spPr>
          <a:ln xmlns:a="http://schemas.openxmlformats.org/drawingml/2006/main" w="6350">
            <a:solidFill>
              <a:srgbClr val="D0CECE"/>
            </a:solidFill>
            <a:prstDash val="solid"/>
          </a:ln>
        </spPr>
        <txPr>
          <a:bodyPr xmlns:a="http://schemas.openxmlformats.org/drawingml/2006/main"/>
          <a:p xmlns:a="http://schemas.openxmlformats.org/drawingml/2006/main">
            <a:pPr>
              <a:defRPr sz="950" b="0">
                <a:solidFill>
                  <a:srgbClr val="767576"/>
                </a:solidFill>
                <a:latin typeface="Arial"/>
              </a:defRPr>
            </a:pPr>
            <a:r>
              <a:t/>
            </a:r>
            <a:endParaRPr sz="950" b="0">
              <a:solidFill>
                <a:srgbClr val="767576"/>
              </a:solidFill>
              <a:latin typeface="Arial"/>
            </a:endParaRPr>
          </a:p>
        </txPr>
        <crossAx val="100"/>
        <lblOffset val="100"/>
      </catAx>
      <valAx>
        <axId val="100"/>
        <scaling>
          <orientation val="minMax"/>
        </scaling>
        <delete val="0"/>
        <axPos val="l"/>
        <title>
          <tx>
            <rich>
              <a:bodyPr xmlns:a="http://schemas.openxmlformats.org/drawingml/2006/main"/>
              <a:p xmlns:a="http://schemas.openxmlformats.org/drawingml/2006/main">
                <a:pPr>
                  <a:defRPr sz="950" b="0">
                    <a:solidFill>
                      <a:srgbClr val="767576"/>
                    </a:solidFill>
                    <a:latin typeface="Arial"/>
                  </a:defRPr>
                </a:pPr>
                <a:r>
                  <a:t>%</a:t>
                </a:r>
              </a:p>
            </rich>
          </tx>
        </title>
        <majorTickMark val="none"/>
        <minorTickMark val="none"/>
        <spPr>
          <a:ln xmlns:a="http://schemas.openxmlformats.org/drawingml/2006/main" w="6350">
            <a:solidFill>
              <a:srgbClr val="D0CECE"/>
            </a:solidFill>
            <a:prstDash val="solid"/>
          </a:ln>
        </spPr>
        <txPr>
          <a:bodyPr xmlns:a="http://schemas.openxmlformats.org/drawingml/2006/main"/>
          <a:p xmlns:a="http://schemas.openxmlformats.org/drawingml/2006/main">
            <a:pPr>
              <a:defRPr sz="950" b="0">
                <a:solidFill>
                  <a:srgbClr val="767576"/>
                </a:solidFill>
                <a:latin typeface="Arial"/>
              </a:defRPr>
            </a:pPr>
            <a:r>
              <a:t/>
            </a:r>
            <a:endParaRPr sz="950" b="0">
              <a:solidFill>
                <a:srgbClr val="767576"/>
              </a:solidFill>
              <a:latin typeface="Arial"/>
            </a:endParaRPr>
          </a:p>
        </txPr>
        <crossAx val="10"/>
      </valAx>
    </plotArea>
    <legend>
      <legendPos val="b"/>
      <overlay val="0"/>
      <txPr>
        <a:bodyPr xmlns:a="http://schemas.openxmlformats.org/drawingml/2006/main"/>
        <a:p xmlns:a="http://schemas.openxmlformats.org/drawingml/2006/main">
          <a:pPr>
            <a:defRPr sz="950" b="0">
              <a:solidFill>
                <a:srgbClr val="000000"/>
              </a:solidFill>
              <a:latin typeface="Arial"/>
            </a:defRPr>
          </a:pPr>
          <a:r>
            <a:t/>
          </a:r>
          <a:endParaRPr sz="950" b="0">
            <a:solidFill>
              <a:srgbClr val="000000"/>
            </a:solidFill>
            <a:latin typeface="Arial"/>
          </a:endParaRPr>
        </a:p>
      </txPr>
    </legend>
    <plotVisOnly val="1"/>
    <dispBlanksAs val="gap"/>
  </chart>
  <spPr>
    <a:ln xmlns:a="http://schemas.openxmlformats.org/drawingml/2006/main">
      <a:noFill/>
      <a:prstDash val="solid"/>
    </a:ln>
  </spPr>
</chartSpace>
</file>

<file path=xl/charts/chart35.xml><?xml version="1.0" encoding="utf-8"?>
<chartSpace xmlns="http://schemas.openxmlformats.org/drawingml/2006/chart">
  <chart>
    <title>
      <tx>
        <rich>
          <a:bodyPr xmlns:a="http://schemas.openxmlformats.org/drawingml/2006/main"/>
          <a:p xmlns:a="http://schemas.openxmlformats.org/drawingml/2006/main">
            <a:pPr>
              <a:defRPr sz="1200" b="1">
                <a:solidFill>
                  <a:srgbClr val="000000"/>
                </a:solidFill>
                <a:latin typeface="Arial"/>
              </a:defRPr>
            </a:pPr>
            <a:r>
              <a:rPr sz="1200" b="1">
                <a:solidFill>
                  <a:srgbClr val="000000"/>
                </a:solidFill>
                <a:latin typeface="Arial"/>
              </a:rPr>
              <a:t>How the curve got here — bear steepening, every window</a:t>
            </a:r>
          </a:p>
        </rich>
      </tx>
    </title>
    <plotArea>
      <barChart>
        <barDir val="col"/>
        <grouping val="clustered"/>
        <ser>
          <idx val="0"/>
          <order val="0"/>
          <tx>
            <v>2y change, bp</v>
          </tx>
          <spPr>
            <a:solidFill xmlns:a="http://schemas.openxmlformats.org/drawingml/2006/main">
              <a:srgbClr val="DB0011"/>
            </a:solidFill>
            <a:ln xmlns:a="http://schemas.openxmlformats.org/drawingml/2006/main">
              <a:noFill/>
              <a:prstDash val="solid"/>
            </a:ln>
          </spPr>
          <cat>
            <numRef>
              <f>'BullSteepener'!$A$90:$A$94</f>
            </numRef>
          </cat>
          <val>
            <numRef>
              <f>'BullSteepener'!$B$90:$B$94</f>
            </numRef>
          </val>
        </ser>
        <ser>
          <idx val="1"/>
          <order val="1"/>
          <tx>
            <v>10y change, bp</v>
          </tx>
          <spPr>
            <a:solidFill xmlns:a="http://schemas.openxmlformats.org/drawingml/2006/main">
              <a:srgbClr val="44546A"/>
            </a:solidFill>
            <a:ln xmlns:a="http://schemas.openxmlformats.org/drawingml/2006/main">
              <a:noFill/>
              <a:prstDash val="solid"/>
            </a:ln>
          </spPr>
          <cat>
            <numRef>
              <f>'BullSteepener'!$A$90:$A$94</f>
            </numRef>
          </cat>
          <val>
            <numRef>
              <f>'BullSteepener'!$C$90:$C$94</f>
            </numRef>
          </val>
        </ser>
        <dLbls>
          <numFmt formatCode="+#,##0;-#,##0"/>
          <txPr>
            <a:bodyPr xmlns:a="http://schemas.openxmlformats.org/drawingml/2006/main"/>
            <a:p xmlns:a="http://schemas.openxmlformats.org/drawingml/2006/main">
              <a:pPr>
                <a:defRPr sz="1000" b="1">
                  <a:solidFill>
                    <a:srgbClr val="000000"/>
                  </a:solidFill>
                  <a:latin typeface="Arial"/>
                </a:defRPr>
              </a:pPr>
              <a:r>
                <a:t/>
              </a:r>
              <a:endParaRPr sz="1000" b="1">
                <a:solidFill>
                  <a:srgbClr val="000000"/>
                </a:solidFill>
                <a:latin typeface="Arial"/>
              </a:endParaRPr>
            </a:p>
          </txPr>
          <showVal val="1"/>
        </dLbls>
        <gapWidth val="60"/>
        <axId val="10"/>
        <axId val="100"/>
      </barChart>
      <catAx>
        <axId val="10"/>
        <scaling>
          <orientation val="minMax"/>
        </scaling>
        <delete val="0"/>
        <axPos val="l"/>
        <majorTickMark val="none"/>
        <minorTickMark val="none"/>
        <spPr>
          <a:ln xmlns:a="http://schemas.openxmlformats.org/drawingml/2006/main" w="6350">
            <a:solidFill>
              <a:srgbClr val="D0CECE"/>
            </a:solidFill>
            <a:prstDash val="solid"/>
          </a:ln>
        </spPr>
        <txPr>
          <a:bodyPr xmlns:a="http://schemas.openxmlformats.org/drawingml/2006/main"/>
          <a:p xmlns:a="http://schemas.openxmlformats.org/drawingml/2006/main">
            <a:pPr>
              <a:defRPr sz="950" b="0">
                <a:solidFill>
                  <a:srgbClr val="767576"/>
                </a:solidFill>
                <a:latin typeface="Arial"/>
              </a:defRPr>
            </a:pPr>
            <a:r>
              <a:t/>
            </a:r>
            <a:endParaRPr sz="950" b="0">
              <a:solidFill>
                <a:srgbClr val="767576"/>
              </a:solidFill>
              <a:latin typeface="Arial"/>
            </a:endParaRPr>
          </a:p>
        </txPr>
        <crossAx val="100"/>
        <lblOffset val="100"/>
      </catAx>
      <valAx>
        <axId val="100"/>
        <scaling>
          <orientation val="minMax"/>
        </scaling>
        <delete val="0"/>
        <axPos val="l"/>
        <majorTickMark val="none"/>
        <minorTickMark val="none"/>
        <spPr>
          <a:ln xmlns:a="http://schemas.openxmlformats.org/drawingml/2006/main" w="6350">
            <a:solidFill>
              <a:srgbClr val="D0CECE"/>
            </a:solidFill>
            <a:prstDash val="solid"/>
          </a:ln>
        </spPr>
        <txPr>
          <a:bodyPr xmlns:a="http://schemas.openxmlformats.org/drawingml/2006/main"/>
          <a:p xmlns:a="http://schemas.openxmlformats.org/drawingml/2006/main">
            <a:pPr>
              <a:defRPr sz="950" b="0">
                <a:solidFill>
                  <a:srgbClr val="767576"/>
                </a:solidFill>
                <a:latin typeface="Arial"/>
              </a:defRPr>
            </a:pPr>
            <a:r>
              <a:t/>
            </a:r>
            <a:endParaRPr sz="950" b="0">
              <a:solidFill>
                <a:srgbClr val="767576"/>
              </a:solidFill>
              <a:latin typeface="Arial"/>
            </a:endParaRPr>
          </a:p>
        </txPr>
        <crossAx val="10"/>
      </valAx>
    </plotArea>
    <legend>
      <legendPos val="b"/>
      <overlay val="0"/>
      <txPr>
        <a:bodyPr xmlns:a="http://schemas.openxmlformats.org/drawingml/2006/main"/>
        <a:p xmlns:a="http://schemas.openxmlformats.org/drawingml/2006/main">
          <a:pPr>
            <a:defRPr sz="950" b="0">
              <a:solidFill>
                <a:srgbClr val="000000"/>
              </a:solidFill>
              <a:latin typeface="Arial"/>
            </a:defRPr>
          </a:pPr>
          <a:r>
            <a:t/>
          </a:r>
          <a:endParaRPr sz="950" b="0">
            <a:solidFill>
              <a:srgbClr val="000000"/>
            </a:solidFill>
            <a:latin typeface="Arial"/>
          </a:endParaRPr>
        </a:p>
      </txPr>
    </legend>
    <plotVisOnly val="1"/>
    <dispBlanksAs val="gap"/>
  </chart>
  <spPr>
    <a:ln xmlns:a="http://schemas.openxmlformats.org/drawingml/2006/main">
      <a:noFill/>
      <a:prstDash val="solid"/>
    </a:ln>
  </spPr>
</chartSpace>
</file>

<file path=xl/charts/chart36.xml><?xml version="1.0" encoding="utf-8"?>
<chartSpace xmlns="http://schemas.openxmlformats.org/drawingml/2006/chart">
  <chart>
    <title>
      <tx>
        <rich>
          <a:bodyPr xmlns:a="http://schemas.openxmlformats.org/drawingml/2006/main"/>
          <a:p xmlns:a="http://schemas.openxmlformats.org/drawingml/2006/main">
            <a:pPr>
              <a:defRPr sz="1200" b="1">
                <a:solidFill>
                  <a:srgbClr val="000000"/>
                </a:solidFill>
                <a:latin typeface="Arial"/>
              </a:defRPr>
            </a:pPr>
            <a:r>
              <a:rPr sz="1200" b="1">
                <a:solidFill>
                  <a:srgbClr val="000000"/>
                </a:solidFill>
                <a:latin typeface="Arial"/>
              </a:rPr>
              <a:t>Z-score — below −1 is the entry zone, above +1 the exit</a:t>
            </a:r>
          </a:p>
        </rich>
      </tx>
    </title>
    <plotArea>
      <lineChart>
        <grouping val="standard"/>
        <ser>
          <idx val="0"/>
          <order val="0"/>
          <tx>
            <v>z-score</v>
          </tx>
          <spPr>
            <a:ln xmlns:a="http://schemas.openxmlformats.org/drawingml/2006/main" w="20000">
              <a:solidFill>
                <a:srgbClr val="DB0011"/>
              </a:solidFill>
              <a:prstDash val="solid"/>
            </a:ln>
          </spPr>
          <marker>
            <symbol val="none"/>
            <spPr>
              <a:ln xmlns:a="http://schemas.openxmlformats.org/drawingml/2006/main">
                <a:prstDash val="solid"/>
              </a:ln>
            </spPr>
          </marker>
          <cat>
            <numRef>
              <f>'BullSteepener'!$A$108:$A$387</f>
            </numRef>
          </cat>
          <val>
            <numRef>
              <f>'BullSteepener'!$G$108:$G$387</f>
            </numRef>
          </val>
          <smooth val="0"/>
        </ser>
        <axId val="10"/>
        <axId val="100"/>
      </lineChart>
      <catAx>
        <axId val="10"/>
        <scaling>
          <orientation val="minMax"/>
        </scaling>
        <delete val="0"/>
        <axPos val="l"/>
        <numFmt formatCode="mmm-yy" sourceLinked="0"/>
        <majorTickMark val="none"/>
        <minorTickMark val="none"/>
        <spPr>
          <a:ln xmlns:a="http://schemas.openxmlformats.org/drawingml/2006/main" w="6350">
            <a:solidFill>
              <a:srgbClr val="D0CECE"/>
            </a:solidFill>
            <a:prstDash val="solid"/>
          </a:ln>
        </spPr>
        <txPr>
          <a:bodyPr xmlns:a="http://schemas.openxmlformats.org/drawingml/2006/main"/>
          <a:p xmlns:a="http://schemas.openxmlformats.org/drawingml/2006/main">
            <a:pPr>
              <a:defRPr sz="950" b="0">
                <a:solidFill>
                  <a:srgbClr val="767576"/>
                </a:solidFill>
                <a:latin typeface="Arial"/>
              </a:defRPr>
            </a:pPr>
            <a:r>
              <a:t/>
            </a:r>
            <a:endParaRPr sz="950" b="0">
              <a:solidFill>
                <a:srgbClr val="767576"/>
              </a:solidFill>
              <a:latin typeface="Arial"/>
            </a:endParaRPr>
          </a:p>
        </txPr>
        <crossAx val="100"/>
        <lblOffset val="100"/>
      </catAx>
      <valAx>
        <axId val="100"/>
        <scaling>
          <orientation val="minMax"/>
        </scaling>
        <delete val="0"/>
        <axPos val="l"/>
        <title>
          <tx>
            <rich>
              <a:bodyPr xmlns:a="http://schemas.openxmlformats.org/drawingml/2006/main"/>
              <a:p xmlns:a="http://schemas.openxmlformats.org/drawingml/2006/main">
                <a:pPr>
                  <a:defRPr sz="950" b="0">
                    <a:solidFill>
                      <a:srgbClr val="767576"/>
                    </a:solidFill>
                    <a:latin typeface="Arial"/>
                  </a:defRPr>
                </a:pPr>
                <a:r>
                  <a:t>SD</a:t>
                </a:r>
              </a:p>
            </rich>
          </tx>
        </title>
        <majorTickMark val="none"/>
        <minorTickMark val="none"/>
        <spPr>
          <a:ln xmlns:a="http://schemas.openxmlformats.org/drawingml/2006/main" w="6350">
            <a:solidFill>
              <a:srgbClr val="D0CECE"/>
            </a:solidFill>
            <a:prstDash val="solid"/>
          </a:ln>
        </spPr>
        <txPr>
          <a:bodyPr xmlns:a="http://schemas.openxmlformats.org/drawingml/2006/main"/>
          <a:p xmlns:a="http://schemas.openxmlformats.org/drawingml/2006/main">
            <a:pPr>
              <a:defRPr sz="950" b="0">
                <a:solidFill>
                  <a:srgbClr val="767576"/>
                </a:solidFill>
                <a:latin typeface="Arial"/>
              </a:defRPr>
            </a:pPr>
            <a:r>
              <a:t/>
            </a:r>
            <a:endParaRPr sz="950" b="0">
              <a:solidFill>
                <a:srgbClr val="767576"/>
              </a:solidFill>
              <a:latin typeface="Arial"/>
            </a:endParaRPr>
          </a:p>
        </txPr>
        <crossAx val="10"/>
      </valAx>
    </plotArea>
    <plotVisOnly val="1"/>
    <dispBlanksAs val="gap"/>
  </chart>
  <spPr>
    <a:ln xmlns:a="http://schemas.openxmlformats.org/drawingml/2006/main">
      <a:noFill/>
      <a:prstDash val="solid"/>
    </a:ln>
  </spPr>
</chartSpace>
</file>

<file path=xl/drawings/_rels/drawing1.xml.rels><Relationships xmlns="http://schemas.openxmlformats.org/package/2006/relationships"><Relationship Type="http://schemas.openxmlformats.org/officeDocument/2006/relationships/chart" Target="/xl/charts/chart1.xml" Id="rId1"/><Relationship Type="http://schemas.openxmlformats.org/officeDocument/2006/relationships/chart" Target="/xl/charts/chart2.xml" Id="rId2"/></Relationships>
</file>

<file path=xl/drawings/_rels/drawing2.xml.rels><Relationships xmlns="http://schemas.openxmlformats.org/package/2006/relationships"><Relationship Type="http://schemas.openxmlformats.org/officeDocument/2006/relationships/chart" Target="/xl/charts/chart3.xml" Id="rId1"/></Relationships>
</file>

<file path=xl/drawings/_rels/drawing3.xml.rels><Relationships xmlns="http://schemas.openxmlformats.org/package/2006/relationships"><Relationship Type="http://schemas.openxmlformats.org/officeDocument/2006/relationships/chart" Target="/xl/charts/chart4.xml" Id="rId1"/></Relationships>
</file>

<file path=xl/drawings/_rels/drawing4.xml.rels><Relationships xmlns="http://schemas.openxmlformats.org/package/2006/relationships"><Relationship Type="http://schemas.openxmlformats.org/officeDocument/2006/relationships/chart" Target="/xl/charts/chart5.xml" Id="rId1"/></Relationships>
</file>

<file path=xl/drawings/_rels/drawing5.xml.rels><Relationships xmlns="http://schemas.openxmlformats.org/package/2006/relationships"><Relationship Type="http://schemas.openxmlformats.org/officeDocument/2006/relationships/chart" Target="/xl/charts/chart6.xml" Id="rId1"/></Relationships>
</file>

<file path=xl/drawings/_rels/drawing6.xml.rels><Relationships xmlns="http://schemas.openxmlformats.org/package/2006/relationships"><Relationship Type="http://schemas.openxmlformats.org/officeDocument/2006/relationships/chart" Target="/xl/charts/chart7.xml" Id="rId1"/><Relationship Type="http://schemas.openxmlformats.org/officeDocument/2006/relationships/chart" Target="/xl/charts/chart8.xml" Id="rId2"/></Relationships>
</file>

<file path=xl/drawings/_rels/drawing7.xml.rels><Relationships xmlns="http://schemas.openxmlformats.org/package/2006/relationships"><Relationship Type="http://schemas.openxmlformats.org/officeDocument/2006/relationships/chart" Target="/xl/charts/chart9.xml" Id="rId1"/></Relationships>
</file>

<file path=xl/drawings/_rels/drawing8.xml.rels><Relationships xmlns="http://schemas.openxmlformats.org/package/2006/relationships"><Relationship Type="http://schemas.openxmlformats.org/officeDocument/2006/relationships/chart" Target="/xl/charts/chart10.xml" Id="rId1"/><Relationship Type="http://schemas.openxmlformats.org/officeDocument/2006/relationships/chart" Target="/xl/charts/chart11.xml" Id="rId2"/><Relationship Type="http://schemas.openxmlformats.org/officeDocument/2006/relationships/chart" Target="/xl/charts/chart12.xml" Id="rId3"/><Relationship Type="http://schemas.openxmlformats.org/officeDocument/2006/relationships/chart" Target="/xl/charts/chart13.xml" Id="rId4"/></Relationships>
</file>

<file path=xl/drawings/_rels/drawing9.xml.rels><Relationships xmlns="http://schemas.openxmlformats.org/package/2006/relationships"><Relationship Type="http://schemas.openxmlformats.org/officeDocument/2006/relationships/chart" Target="/xl/charts/chart14.xml" Id="rId1"/><Relationship Type="http://schemas.openxmlformats.org/officeDocument/2006/relationships/chart" Target="/xl/charts/chart15.xml" Id="rId2"/><Relationship Type="http://schemas.openxmlformats.org/officeDocument/2006/relationships/chart" Target="/xl/charts/chart16.xml" Id="rId3"/><Relationship Type="http://schemas.openxmlformats.org/officeDocument/2006/relationships/chart" Target="/xl/charts/chart17.xml" Id="rId4"/><Relationship Type="http://schemas.openxmlformats.org/officeDocument/2006/relationships/chart" Target="/xl/charts/chart18.xml" Id="rId5"/></Relationships>
</file>

<file path=xl/drawings/_rels/drawing10.xml.rels><Relationships xmlns="http://schemas.openxmlformats.org/package/2006/relationships"><Relationship Type="http://schemas.openxmlformats.org/officeDocument/2006/relationships/chart" Target="/xl/charts/chart19.xml" Id="rId1"/><Relationship Type="http://schemas.openxmlformats.org/officeDocument/2006/relationships/chart" Target="/xl/charts/chart20.xml" Id="rId2"/><Relationship Type="http://schemas.openxmlformats.org/officeDocument/2006/relationships/chart" Target="/xl/charts/chart21.xml" Id="rId3"/></Relationships>
</file>

<file path=xl/drawings/_rels/drawing11.xml.rels><Relationships xmlns="http://schemas.openxmlformats.org/package/2006/relationships"><Relationship Type="http://schemas.openxmlformats.org/officeDocument/2006/relationships/chart" Target="/xl/charts/chart22.xml" Id="rId1"/></Relationships>
</file>

<file path=xl/drawings/_rels/drawing12.xml.rels><Relationships xmlns="http://schemas.openxmlformats.org/package/2006/relationships"><Relationship Type="http://schemas.openxmlformats.org/officeDocument/2006/relationships/chart" Target="/xl/charts/chart23.xml" Id="rId1"/></Relationships>
</file>

<file path=xl/drawings/_rels/drawing13.xml.rels><Relationships xmlns="http://schemas.openxmlformats.org/package/2006/relationships"><Relationship Type="http://schemas.openxmlformats.org/officeDocument/2006/relationships/chart" Target="/xl/charts/chart24.xml" Id="rId1"/></Relationships>
</file>

<file path=xl/drawings/_rels/drawing14.xml.rels><Relationships xmlns="http://schemas.openxmlformats.org/package/2006/relationships"><Relationship Type="http://schemas.openxmlformats.org/officeDocument/2006/relationships/chart" Target="/xl/charts/chart25.xml" Id="rId1"/><Relationship Type="http://schemas.openxmlformats.org/officeDocument/2006/relationships/chart" Target="/xl/charts/chart26.xml" Id="rId2"/></Relationships>
</file>

<file path=xl/drawings/_rels/drawing15.xml.rels><Relationships xmlns="http://schemas.openxmlformats.org/package/2006/relationships"><Relationship Type="http://schemas.openxmlformats.org/officeDocument/2006/relationships/chart" Target="/xl/charts/chart27.xml" Id="rId1"/><Relationship Type="http://schemas.openxmlformats.org/officeDocument/2006/relationships/chart" Target="/xl/charts/chart28.xml" Id="rId2"/><Relationship Type="http://schemas.openxmlformats.org/officeDocument/2006/relationships/chart" Target="/xl/charts/chart29.xml" Id="rId3"/></Relationships>
</file>

<file path=xl/drawings/_rels/drawing16.xml.rels><Relationships xmlns="http://schemas.openxmlformats.org/package/2006/relationships"><Relationship Type="http://schemas.openxmlformats.org/officeDocument/2006/relationships/chart" Target="/xl/charts/chart30.xml" Id="rId1"/><Relationship Type="http://schemas.openxmlformats.org/officeDocument/2006/relationships/chart" Target="/xl/charts/chart31.xml" Id="rId2"/><Relationship Type="http://schemas.openxmlformats.org/officeDocument/2006/relationships/chart" Target="/xl/charts/chart32.xml" Id="rId3"/></Relationships>
</file>

<file path=xl/drawings/_rels/drawing17.xml.rels><Relationships xmlns="http://schemas.openxmlformats.org/package/2006/relationships"><Relationship Type="http://schemas.openxmlformats.org/officeDocument/2006/relationships/chart" Target="/xl/charts/chart33.xml" Id="rId1"/><Relationship Type="http://schemas.openxmlformats.org/officeDocument/2006/relationships/chart" Target="/xl/charts/chart34.xml" Id="rId2"/><Relationship Type="http://schemas.openxmlformats.org/officeDocument/2006/relationships/chart" Target="/xl/charts/chart35.xml" Id="rId3"/><Relationship Type="http://schemas.openxmlformats.org/officeDocument/2006/relationships/chart" Target="/xl/charts/chart36.xml" Id="rId4"/></Relationships>
</file>

<file path=xl/drawings/drawing1.xml><?xml version="1.0" encoding="utf-8"?>
<wsDr xmlns="http://schemas.openxmlformats.org/drawingml/2006/spreadsheetDrawing">
  <oneCellAnchor>
    <from>
      <col>8</col>
      <colOff>0</colOff>
      <row>4</row>
      <rowOff>0</rowOff>
    </from>
    <ext cx="5760000" cy="3096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8</col>
      <colOff>0</colOff>
      <row>25</row>
      <rowOff>0</rowOff>
    </from>
    <ext cx="6300000" cy="3240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wsDr>
</file>

<file path=xl/drawings/drawing2.xml><?xml version="1.0" encoding="utf-8"?>
<wsDr xmlns="http://schemas.openxmlformats.org/drawingml/2006/spreadsheetDrawing">
  <oneCellAnchor>
    <from>
      <col>8</col>
      <colOff>0</colOff>
      <row>7</row>
      <rowOff>0</rowOff>
    </from>
    <ext cx="6840000" cy="342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drawings/drawing3.xml><?xml version="1.0" encoding="utf-8"?>
<wsDr xmlns="http://schemas.openxmlformats.org/drawingml/2006/spreadsheetDrawing">
  <oneCellAnchor>
    <from>
      <col>5</col>
      <colOff>0</colOff>
      <row>13</row>
      <rowOff>0</rowOff>
    </from>
    <ext cx="6840000" cy="342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drawings/drawing4.xml><?xml version="1.0" encoding="utf-8"?>
<wsDr xmlns="http://schemas.openxmlformats.org/drawingml/2006/spreadsheetDrawing">
  <oneCellAnchor>
    <from>
      <col>5</col>
      <colOff>0</colOff>
      <row>15</row>
      <rowOff>0</rowOff>
    </from>
    <ext cx="6840000" cy="342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drawings/drawing5.xml><?xml version="1.0" encoding="utf-8"?>
<wsDr xmlns="http://schemas.openxmlformats.org/drawingml/2006/spreadsheetDrawing">
  <oneCellAnchor>
    <from>
      <col>5</col>
      <colOff>0</colOff>
      <row>17</row>
      <rowOff>0</rowOff>
    </from>
    <ext cx="6840000" cy="342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drawings/drawing6.xml><?xml version="1.0" encoding="utf-8"?>
<wsDr xmlns="http://schemas.openxmlformats.org/drawingml/2006/spreadsheetDrawing">
  <oneCellAnchor>
    <from>
      <col>7</col>
      <colOff>0</colOff>
      <row>4</row>
      <rowOff>0</rowOff>
    </from>
    <ext cx="5400000" cy="3096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7</col>
      <colOff>0</colOff>
      <row>21</row>
      <rowOff>0</rowOff>
    </from>
    <ext cx="6300000" cy="3240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wsDr>
</file>

<file path=xl/drawings/drawing7.xml><?xml version="1.0" encoding="utf-8"?>
<wsDr xmlns="http://schemas.openxmlformats.org/drawingml/2006/spreadsheetDrawing">
  <oneCellAnchor>
    <from>
      <col>6</col>
      <colOff>0</colOff>
      <row>4</row>
      <rowOff>0</rowOff>
    </from>
    <ext cx="6840000" cy="342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drawings/drawing8.xml><?xml version="1.0" encoding="utf-8"?>
<wsDr xmlns="http://schemas.openxmlformats.org/drawingml/2006/spreadsheetDrawing">
  <oneCellAnchor>
    <from>
      <col>1</col>
      <colOff>0</colOff>
      <row>11</row>
      <rowOff>0</rowOff>
    </from>
    <ext cx="5580000" cy="288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1</col>
      <colOff>0</colOff>
      <row>31</row>
      <rowOff>0</rowOff>
    </from>
    <ext cx="5580000" cy="2880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oneCellAnchor>
    <from>
      <col>9</col>
      <colOff>0</colOff>
      <row>51</row>
      <rowOff>0</rowOff>
    </from>
    <ext cx="5580000" cy="2880000"/>
    <graphicFrame>
      <nvGraphicFramePr>
        <cNvPr id="3" name="Chart 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graphicFrame>
    <clientData/>
  </oneCellAnchor>
  <oneCellAnchor>
    <from>
      <col>1</col>
      <colOff>0</colOff>
      <row>71</row>
      <rowOff>0</rowOff>
    </from>
    <ext cx="5580000" cy="2880000"/>
    <graphicFrame>
      <nvGraphicFramePr>
        <cNvPr id="4" name="Chart 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4"/>
        </a:graphicData>
      </a:graphic>
    </graphicFrame>
    <clientData/>
  </oneCellAnchor>
</wsDr>
</file>

<file path=xl/drawings/drawing9.xml><?xml version="1.0" encoding="utf-8"?>
<wsDr xmlns="http://schemas.openxmlformats.org/drawingml/2006/spreadsheetDrawing">
  <oneCellAnchor>
    <from>
      <col>1</col>
      <colOff>0</colOff>
      <row>11</row>
      <rowOff>0</rowOff>
    </from>
    <ext cx="5580000" cy="288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9</col>
      <colOff>0</colOff>
      <row>11</row>
      <rowOff>0</rowOff>
    </from>
    <ext cx="5580000" cy="2880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oneCellAnchor>
    <from>
      <col>1</col>
      <colOff>0</colOff>
      <row>31</row>
      <rowOff>0</rowOff>
    </from>
    <ext cx="5580000" cy="2880000"/>
    <graphicFrame>
      <nvGraphicFramePr>
        <cNvPr id="3" name="Chart 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graphicFrame>
    <clientData/>
  </oneCellAnchor>
  <oneCellAnchor>
    <from>
      <col>1</col>
      <colOff>0</colOff>
      <row>51</row>
      <rowOff>0</rowOff>
    </from>
    <ext cx="5580000" cy="2880000"/>
    <graphicFrame>
      <nvGraphicFramePr>
        <cNvPr id="4" name="Chart 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4"/>
        </a:graphicData>
      </a:graphic>
    </graphicFrame>
    <clientData/>
  </oneCellAnchor>
  <oneCellAnchor>
    <from>
      <col>1</col>
      <colOff>0</colOff>
      <row>71</row>
      <rowOff>0</rowOff>
    </from>
    <ext cx="5580000" cy="2880000"/>
    <graphicFrame>
      <nvGraphicFramePr>
        <cNvPr id="5" name="Chart 5"/>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5"/>
        </a:graphicData>
      </a:graphic>
    </graphicFrame>
    <clientData/>
  </oneCellAnchor>
</wsDr>
</file>

<file path=xl/drawings/drawing10.xml><?xml version="1.0" encoding="utf-8"?>
<wsDr xmlns="http://schemas.openxmlformats.org/drawingml/2006/spreadsheetDrawing">
  <oneCellAnchor>
    <from>
      <col>10</col>
      <colOff>0</colOff>
      <row>4</row>
      <rowOff>0</rowOff>
    </from>
    <ext cx="5400000" cy="288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10</col>
      <colOff>0</colOff>
      <row>21</row>
      <rowOff>0</rowOff>
    </from>
    <ext cx="5400000" cy="2880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oneCellAnchor>
    <from>
      <col>10</col>
      <colOff>0</colOff>
      <row>38</row>
      <rowOff>0</rowOff>
    </from>
    <ext cx="6840000" cy="3420000"/>
    <graphicFrame>
      <nvGraphicFramePr>
        <cNvPr id="3" name="Chart 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graphicFrame>
    <clientData/>
  </oneCellAnchor>
</wsDr>
</file>

<file path=xl/drawings/drawing11.xml><?xml version="1.0" encoding="utf-8"?>
<wsDr xmlns="http://schemas.openxmlformats.org/drawingml/2006/spreadsheetDrawing">
  <oneCellAnchor>
    <from>
      <col>7</col>
      <colOff>0</colOff>
      <row>7</row>
      <rowOff>0</rowOff>
    </from>
    <ext cx="6120000" cy="3096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drawings/drawing12.xml><?xml version="1.0" encoding="utf-8"?>
<wsDr xmlns="http://schemas.openxmlformats.org/drawingml/2006/spreadsheetDrawing">
  <oneCellAnchor>
    <from>
      <col>9</col>
      <colOff>0</colOff>
      <row>4</row>
      <rowOff>0</rowOff>
    </from>
    <ext cx="6840000" cy="324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drawings/drawing13.xml><?xml version="1.0" encoding="utf-8"?>
<wsDr xmlns="http://schemas.openxmlformats.org/drawingml/2006/spreadsheetDrawing">
  <oneCellAnchor>
    <from>
      <col>7</col>
      <colOff>0</colOff>
      <row>4</row>
      <rowOff>0</rowOff>
    </from>
    <ext cx="6300000" cy="324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drawings/drawing14.xml><?xml version="1.0" encoding="utf-8"?>
<wsDr xmlns="http://schemas.openxmlformats.org/drawingml/2006/spreadsheetDrawing">
  <oneCellAnchor>
    <from>
      <col>7</col>
      <colOff>0</colOff>
      <row>13</row>
      <rowOff>0</rowOff>
    </from>
    <ext cx="4680000" cy="270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7</col>
      <colOff>0</colOff>
      <row>26</row>
      <rowOff>0</rowOff>
    </from>
    <ext cx="6840000" cy="3420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wsDr>
</file>

<file path=xl/drawings/drawing15.xml><?xml version="1.0" encoding="utf-8"?>
<wsDr xmlns="http://schemas.openxmlformats.org/drawingml/2006/spreadsheetDrawing">
  <oneCellAnchor>
    <from>
      <col>10</col>
      <colOff>0</colOff>
      <row>16</row>
      <rowOff>0</rowOff>
    </from>
    <ext cx="5400000" cy="288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10</col>
      <colOff>0</colOff>
      <row>33</row>
      <rowOff>0</rowOff>
    </from>
    <ext cx="5400000" cy="2880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oneCellAnchor>
    <from>
      <col>10</col>
      <colOff>0</colOff>
      <row>50</row>
      <rowOff>0</rowOff>
    </from>
    <ext cx="6840000" cy="3420000"/>
    <graphicFrame>
      <nvGraphicFramePr>
        <cNvPr id="3" name="Chart 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graphicFrame>
    <clientData/>
  </oneCellAnchor>
</wsDr>
</file>

<file path=xl/drawings/drawing16.xml><?xml version="1.0" encoding="utf-8"?>
<wsDr xmlns="http://schemas.openxmlformats.org/drawingml/2006/spreadsheetDrawing">
  <oneCellAnchor>
    <from>
      <col>10</col>
      <colOff>0</colOff>
      <row>4</row>
      <rowOff>0</rowOff>
    </from>
    <ext cx="5400000" cy="288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10</col>
      <colOff>0</colOff>
      <row>21</row>
      <rowOff>0</rowOff>
    </from>
    <ext cx="5400000" cy="2880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oneCellAnchor>
    <from>
      <col>10</col>
      <colOff>0</colOff>
      <row>38</row>
      <rowOff>0</rowOff>
    </from>
    <ext cx="6840000" cy="3420000"/>
    <graphicFrame>
      <nvGraphicFramePr>
        <cNvPr id="3" name="Chart 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graphicFrame>
    <clientData/>
  </oneCellAnchor>
</wsDr>
</file>

<file path=xl/drawings/drawing17.xml><?xml version="1.0" encoding="utf-8"?>
<wsDr xmlns="http://schemas.openxmlformats.org/drawingml/2006/spreadsheetDrawing">
  <oneCellAnchor>
    <from>
      <col>13</col>
      <colOff>0</colOff>
      <row>4</row>
      <rowOff>0</rowOff>
    </from>
    <ext cx="7560000" cy="342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13</col>
      <colOff>0</colOff>
      <row>24</row>
      <rowOff>0</rowOff>
    </from>
    <ext cx="7560000" cy="3420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oneCellAnchor>
    <from>
      <col>13</col>
      <colOff>0</colOff>
      <row>44</row>
      <rowOff>0</rowOff>
    </from>
    <ext cx="7560000" cy="3240000"/>
    <graphicFrame>
      <nvGraphicFramePr>
        <cNvPr id="3" name="Chart 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graphicFrame>
    <clientData/>
  </oneCellAnchor>
  <oneCellAnchor>
    <from>
      <col>13</col>
      <colOff>0</colOff>
      <row>64</row>
      <rowOff>0</rowOff>
    </from>
    <ext cx="7560000" cy="3240000"/>
    <graphicFrame>
      <nvGraphicFramePr>
        <cNvPr id="4" name="Chart 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4"/>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drawing" Target="/xl/drawings/drawing1.xml" Id="rId1"/></Relationships>
</file>

<file path=xl/worksheets/_rels/sheet4.xml.rels><Relationships xmlns="http://schemas.openxmlformats.org/package/2006/relationships"><Relationship Type="http://schemas.openxmlformats.org/officeDocument/2006/relationships/drawing" Target="/xl/drawings/drawing2.xml" Id="rId1"/></Relationships>
</file>

<file path=xl/worksheets/_rels/sheet5.xml.rels><Relationships xmlns="http://schemas.openxmlformats.org/package/2006/relationships"><Relationship Type="http://schemas.openxmlformats.org/officeDocument/2006/relationships/drawing" Target="/xl/drawings/drawing3.xml" Id="rId1"/></Relationships>
</file>

<file path=xl/worksheets/_rels/sheet6.xml.rels><Relationships xmlns="http://schemas.openxmlformats.org/package/2006/relationships"><Relationship Type="http://schemas.openxmlformats.org/officeDocument/2006/relationships/drawing" Target="/xl/drawings/drawing4.xml" Id="rId1"/></Relationships>
</file>

<file path=xl/worksheets/_rels/sheet7.xml.rels><Relationships xmlns="http://schemas.openxmlformats.org/package/2006/relationships"><Relationship Type="http://schemas.openxmlformats.org/officeDocument/2006/relationships/drawing" Target="/xl/drawings/drawing5.xml" Id="rId1"/></Relationships>
</file>

<file path=xl/worksheets/_rels/sheet8.xml.rels><Relationships xmlns="http://schemas.openxmlformats.org/package/2006/relationships"><Relationship Type="http://schemas.openxmlformats.org/officeDocument/2006/relationships/drawing" Target="/xl/drawings/drawing6.xml" Id="rId1"/></Relationships>
</file>

<file path=xl/worksheets/_rels/sheet9.xml.rels><Relationships xmlns="http://schemas.openxmlformats.org/package/2006/relationships"><Relationship Type="http://schemas.openxmlformats.org/officeDocument/2006/relationships/drawing" Target="/xl/drawings/drawing7.xml" Id="rId1"/></Relationships>
</file>

<file path=xl/worksheets/_rels/sheet10.xml.rels><Relationships xmlns="http://schemas.openxmlformats.org/package/2006/relationships"><Relationship Type="http://schemas.openxmlformats.org/officeDocument/2006/relationships/drawing" Target="/xl/drawings/drawing8.xml" Id="rId1"/></Relationships>
</file>

<file path=xl/worksheets/_rels/sheet11.xml.rels><Relationships xmlns="http://schemas.openxmlformats.org/package/2006/relationships"><Relationship Type="http://schemas.openxmlformats.org/officeDocument/2006/relationships/drawing" Target="/xl/drawings/drawing9.xml" Id="rId1"/></Relationships>
</file>

<file path=xl/worksheets/_rels/sheet12.xml.rels><Relationships xmlns="http://schemas.openxmlformats.org/package/2006/relationships"><Relationship Type="http://schemas.openxmlformats.org/officeDocument/2006/relationships/drawing" Target="/xl/drawings/drawing10.xml" Id="rId1"/></Relationships>
</file>

<file path=xl/worksheets/_rels/sheet13.xml.rels><Relationships xmlns="http://schemas.openxmlformats.org/package/2006/relationships"><Relationship Type="http://schemas.openxmlformats.org/officeDocument/2006/relationships/drawing" Target="/xl/drawings/drawing11.xml" Id="rId1"/></Relationships>
</file>

<file path=xl/worksheets/_rels/sheet14.xml.rels><Relationships xmlns="http://schemas.openxmlformats.org/package/2006/relationships"><Relationship Type="http://schemas.openxmlformats.org/officeDocument/2006/relationships/drawing" Target="/xl/drawings/drawing12.xml" Id="rId1"/></Relationships>
</file>

<file path=xl/worksheets/_rels/sheet15.xml.rels><Relationships xmlns="http://schemas.openxmlformats.org/package/2006/relationships"><Relationship Type="http://schemas.openxmlformats.org/officeDocument/2006/relationships/drawing" Target="/xl/drawings/drawing13.xml" Id="rId1"/></Relationships>
</file>

<file path=xl/worksheets/_rels/sheet16.xml.rels><Relationships xmlns="http://schemas.openxmlformats.org/package/2006/relationships"><Relationship Type="http://schemas.openxmlformats.org/officeDocument/2006/relationships/drawing" Target="/xl/drawings/drawing14.xml" Id="rId1"/></Relationships>
</file>

<file path=xl/worksheets/_rels/sheet17.xml.rels><Relationships xmlns="http://schemas.openxmlformats.org/package/2006/relationships"><Relationship Type="http://schemas.openxmlformats.org/officeDocument/2006/relationships/drawing" Target="/xl/drawings/drawing15.xml" Id="rId1"/></Relationships>
</file>

<file path=xl/worksheets/_rels/sheet18.xml.rels><Relationships xmlns="http://schemas.openxmlformats.org/package/2006/relationships"><Relationship Type="http://schemas.openxmlformats.org/officeDocument/2006/relationships/drawing" Target="/xl/drawings/drawing16.xml" Id="rId1"/></Relationships>
</file>

<file path=xl/worksheets/_rels/sheet19.xml.rels><Relationships xmlns="http://schemas.openxmlformats.org/package/2006/relationships"><Relationship Type="http://schemas.openxmlformats.org/officeDocument/2006/relationships/drawing" Target="/xl/drawings/drawing17.xml" Id="rId1"/></Relationships>
</file>

<file path=xl/worksheets/sheet1.xml><?xml version="1.0" encoding="utf-8"?>
<worksheet xmlns="http://schemas.openxmlformats.org/spreadsheetml/2006/main">
  <sheetPr>
    <outlinePr summaryBelow="1" summaryRight="1"/>
    <pageSetUpPr/>
  </sheetPr>
  <dimension ref="A1:H24"/>
  <sheetViews>
    <sheetView showGridLines="0" workbookViewId="0">
      <pane ySplit="4" topLeftCell="A5" activePane="bottomLeft" state="frozen"/>
      <selection pane="bottomLeft" activeCell="A1" sqref="A1"/>
    </sheetView>
  </sheetViews>
  <sheetFormatPr baseColWidth="8" defaultRowHeight="15"/>
  <cols>
    <col width="26" customWidth="1" min="1" max="1"/>
    <col width="18" customWidth="1" min="2" max="2"/>
    <col width="78" customWidth="1" min="3" max="3"/>
  </cols>
  <sheetData>
    <row r="1">
      <c r="A1" s="1" t="inlineStr">
        <is>
          <t>Control panel</t>
        </is>
      </c>
    </row>
    <row r="2">
      <c r="A2" s="2" t="inlineStr">
        <is>
          <t>Every formula in this workbook points here. Change a date once and the whole book — and every chart — moves with it.</t>
        </is>
      </c>
    </row>
    <row r="3" ht="4" customHeight="1">
      <c r="A3" s="3" t="n"/>
      <c r="B3" s="3" t="n"/>
      <c r="C3" s="3" t="n"/>
      <c r="D3" s="3" t="n"/>
      <c r="E3" s="3" t="n"/>
      <c r="F3" s="3" t="n"/>
      <c r="G3" s="3" t="n"/>
      <c r="H3" s="3" t="n"/>
    </row>
    <row r="5" ht="18" customHeight="1">
      <c r="A5" s="4" t="inlineStr">
        <is>
          <t>Parameter</t>
        </is>
      </c>
      <c r="B5" s="4" t="inlineStr">
        <is>
          <t>Value</t>
        </is>
      </c>
      <c r="C5" s="4" t="inlineStr">
        <is>
          <t>What it drives</t>
        </is>
      </c>
    </row>
    <row r="6">
      <c r="A6" s="5" t="inlineStr">
        <is>
          <t>As-of date</t>
        </is>
      </c>
      <c r="B6" s="6">
        <f>TODAY()</f>
        <v/>
      </c>
      <c r="C6" s="7" t="inlineStr">
        <is>
          <t>End date for every BDH pull. Set to a fixed date to freeze the book for the presentation.</t>
        </is>
      </c>
    </row>
    <row r="7">
      <c r="A7" s="5" t="inlineStr">
        <is>
          <t>Long history start</t>
        </is>
      </c>
      <c r="B7" s="6">
        <f>DATE(YEAR(AsOf)-3,1,1)</f>
        <v/>
      </c>
      <c r="C7" s="7" t="inlineStr">
        <is>
          <t>Main window: ERP history, stock-bond correlation. Three years keeps the file light; see ROWS_DAILY in the build script before extending it.</t>
        </is>
      </c>
    </row>
    <row r="8">
      <c r="A8" s="5" t="inlineStr">
        <is>
          <t>War window start</t>
        </is>
      </c>
      <c r="B8" s="6">
        <f>DATE(2026,2,25)</f>
        <v/>
      </c>
      <c r="C8" s="7" t="inlineStr">
        <is>
          <t>Pre-Iran-war baseline for the 3.97% to 4.71% 10y chart.</t>
        </is>
      </c>
    </row>
    <row r="9">
      <c r="A9" s="5" t="inlineStr">
        <is>
          <t>Credit history start</t>
        </is>
      </c>
      <c r="B9" s="6">
        <f>DATE(1996,1,1)</f>
        <v/>
      </c>
      <c r="C9" s="7" t="inlineStr">
        <is>
          <t>Full HY OAS history, so the percentile is computed not quoted.</t>
        </is>
      </c>
    </row>
    <row r="10">
      <c r="A10" s="5" t="inlineStr">
        <is>
          <t>YTD start</t>
        </is>
      </c>
      <c r="B10" s="6">
        <f>DATE(YEAR(AsOf),1,1)</f>
        <v/>
      </c>
      <c r="C10" s="7" t="inlineStr">
        <is>
          <t>Year-to-date window for the breadth chart. Follows the as-of date automatically.</t>
        </is>
      </c>
    </row>
    <row r="11">
      <c r="A11" s="5" t="inlineStr">
        <is>
          <t>5y start (monthly)</t>
        </is>
      </c>
      <c r="B11" s="6">
        <f>DATE(YEAR(AsOf)-5,MONTH(AsOf),1)</f>
        <v/>
      </c>
      <c r="C11" s="7" t="inlineStr">
        <is>
          <t>Valuation bands and curve-slope ranges on the Asia tabs. Monthly, so five years is 60 points.</t>
        </is>
      </c>
    </row>
    <row r="12">
      <c r="A12" s="5" t="inlineStr">
        <is>
          <t>10y start (monthly)</t>
        </is>
      </c>
      <c r="B12" s="6">
        <f>DATE(YEAR(AsOf)-10,MONTH(AsOf),1)</f>
        <v/>
      </c>
      <c r="C12" s="7" t="inlineStr">
        <is>
          <t>ERP percentile history. Monthly, 120 points; raise ROWS_MONTHLY in the build script before extending.</t>
        </is>
      </c>
    </row>
    <row r="13">
      <c r="A13" s="5" t="inlineStr">
        <is>
          <t>Correlation window</t>
        </is>
      </c>
      <c r="B13" s="8" t="n">
        <v>60</v>
      </c>
      <c r="C13" s="7" t="inlineStr">
        <is>
          <t>Trading days in the rolling stock-bond correlation.</t>
        </is>
      </c>
    </row>
    <row r="14">
      <c r="A14" s="5" t="inlineStr">
        <is>
          <t>Vol window</t>
        </is>
      </c>
      <c r="B14" s="8" t="n">
        <v>30</v>
      </c>
      <c r="C14" s="7" t="inlineStr">
        <is>
          <t>Trading days for realised vol comparisons.</t>
        </is>
      </c>
    </row>
    <row r="17">
      <c r="A17" s="9" t="inlineStr">
        <is>
          <t>Common BDH option strings</t>
        </is>
      </c>
    </row>
    <row r="18" ht="18" customHeight="1">
      <c r="A18" s="4" t="inlineStr">
        <is>
          <t>Name</t>
        </is>
      </c>
      <c r="B18" s="4" t="inlineStr">
        <is>
          <t>String</t>
        </is>
      </c>
      <c r="C18" s="4" t="inlineStr">
        <is>
          <t>Effect</t>
        </is>
      </c>
    </row>
    <row r="19">
      <c r="A19" s="10" t="inlineStr">
        <is>
          <t>Daily, ascending, filled</t>
        </is>
      </c>
      <c r="B19" s="11" t="inlineStr">
        <is>
          <t>"Dir=V","Sort=A","Fill=P","Days=A"</t>
        </is>
      </c>
      <c r="C19" s="2" t="inlineStr">
        <is>
          <t>Vertical layout, oldest first, previous value carried over non-trading days.</t>
        </is>
      </c>
    </row>
    <row r="20">
      <c r="A20" s="10" t="inlineStr">
        <is>
          <t>Weekly</t>
        </is>
      </c>
      <c r="B20" s="11" t="inlineStr">
        <is>
          <t>"Dir=V","Sort=A","Per=W","Fill=P"</t>
        </is>
      </c>
      <c r="C20" s="2" t="inlineStr">
        <is>
          <t>Weekly periodicity — use for the long credit series if the daily pull is slow.</t>
        </is>
      </c>
    </row>
    <row r="21">
      <c r="A21" s="10" t="inlineStr">
        <is>
          <t>Monthly</t>
        </is>
      </c>
      <c r="B21" s="11" t="inlineStr">
        <is>
          <t>"Dir=V","Sort=A","Per=M"</t>
        </is>
      </c>
      <c r="C21" s="2" t="inlineStr">
        <is>
          <t>Monthly — CPI and other macro releases.</t>
        </is>
      </c>
    </row>
    <row r="24">
      <c r="A24" s="12" t="inlineStr">
        <is>
          <t>Before the presentation: set As-of date to a hard date (=DATE(2026,7,31) or the morning of), hit Bloomberg &gt; Refresh Worksheets, then check the verification list on the Notes tab.</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49"/>
  <sheetViews>
    <sheetView showGridLines="0" workbookViewId="0">
      <pane ySplit="4" topLeftCell="A5" activePane="bottomLeft" state="frozen"/>
      <selection pane="bottomLeft" activeCell="A1" sqref="A1"/>
    </sheetView>
  </sheetViews>
  <sheetFormatPr baseColWidth="8" defaultRowHeight="15"/>
  <cols>
    <col width="30" customWidth="1" min="1" max="1"/>
    <col width="24" customWidth="1" min="2" max="2"/>
    <col width="13" customWidth="1" min="3" max="3"/>
    <col width="13" customWidth="1" min="4" max="4"/>
    <col width="40" customWidth="1" min="5" max="5"/>
    <col width="11" customWidth="1" min="6" max="6"/>
    <col width="11" customWidth="1" min="7" max="7"/>
    <col width="34" customWidth="1" min="8" max="8"/>
  </cols>
  <sheetData>
    <row r="1">
      <c r="A1" s="1" t="inlineStr">
        <is>
          <t>Dashboard refresh — §1 of the memo</t>
        </is>
      </c>
    </row>
    <row r="2">
      <c r="A2" s="2" t="inlineStr">
        <is>
          <t>Live snapshot. Every level in the deck's opening table is sourced here, so nothing is transcribed by hand.</t>
        </is>
      </c>
    </row>
    <row r="3" ht="4" customHeight="1">
      <c r="A3" s="3" t="n"/>
      <c r="B3" s="3" t="n"/>
      <c r="C3" s="3" t="n"/>
      <c r="D3" s="3" t="n"/>
      <c r="E3" s="3" t="n"/>
      <c r="F3" s="3" t="n"/>
      <c r="G3" s="3" t="n"/>
      <c r="H3" s="3" t="n"/>
    </row>
    <row r="5" ht="18" customHeight="1">
      <c r="A5" s="4" t="inlineStr">
        <is>
          <t>Asset</t>
        </is>
      </c>
      <c r="B5" s="4" t="inlineStr">
        <is>
          <t>Ticker</t>
        </is>
      </c>
      <c r="C5" s="4" t="inlineStr">
        <is>
          <t>Field</t>
        </is>
      </c>
      <c r="D5" s="4" t="inlineStr">
        <is>
          <t>Live</t>
        </is>
      </c>
      <c r="E5" s="4" t="inlineStr">
        <is>
          <t>Prev close</t>
        </is>
      </c>
      <c r="F5" s="4" t="inlineStr">
        <is>
          <t>Chg</t>
        </is>
      </c>
      <c r="G5" s="4" t="inlineStr">
        <is>
          <t>% chg</t>
        </is>
      </c>
      <c r="H5" s="4" t="inlineStr">
        <is>
          <t>Memo level (31 Jul 26)</t>
        </is>
      </c>
    </row>
    <row r="6">
      <c r="A6" s="13" t="inlineStr">
        <is>
          <t>S&amp;P 500</t>
        </is>
      </c>
      <c r="B6" s="14" t="inlineStr">
        <is>
          <t>SPX Index</t>
        </is>
      </c>
      <c r="C6" s="14" t="inlineStr">
        <is>
          <t>PX_LAST</t>
        </is>
      </c>
      <c r="D6" s="15">
        <f>BDP($B6,$C6)</f>
        <v/>
      </c>
      <c r="E6" s="15">
        <f>BDP($B6,"PX_CLOSE_1D")</f>
        <v/>
      </c>
      <c r="F6" s="16">
        <f>IFERROR(D6-E6,"")</f>
        <v/>
      </c>
      <c r="G6" s="17">
        <f>IFERROR(D6/E6-1,"")</f>
        <v/>
      </c>
      <c r="H6" s="7" t="inlineStr">
        <is>
          <t>7,489.72</t>
        </is>
      </c>
    </row>
    <row r="7">
      <c r="A7" s="13" t="inlineStr">
        <is>
          <t>Nasdaq Composite</t>
        </is>
      </c>
      <c r="B7" s="14" t="inlineStr">
        <is>
          <t>CCMP Index</t>
        </is>
      </c>
      <c r="C7" s="14" t="inlineStr">
        <is>
          <t>PX_LAST</t>
        </is>
      </c>
      <c r="D7" s="15">
        <f>BDP($B7,$C7)</f>
        <v/>
      </c>
      <c r="E7" s="15">
        <f>BDP($B7,"PX_CLOSE_1D")</f>
        <v/>
      </c>
      <c r="F7" s="16">
        <f>IFERROR(D7-E7,"")</f>
        <v/>
      </c>
      <c r="G7" s="17">
        <f>IFERROR(D7/E7-1,"")</f>
        <v/>
      </c>
      <c r="H7" s="7" t="inlineStr">
        <is>
          <t>25,373.85</t>
        </is>
      </c>
    </row>
    <row r="8">
      <c r="A8" s="13" t="inlineStr">
        <is>
          <t>Nikkei 225</t>
        </is>
      </c>
      <c r="B8" s="14" t="inlineStr">
        <is>
          <t>NKY Index</t>
        </is>
      </c>
      <c r="C8" s="14" t="inlineStr">
        <is>
          <t>PX_LAST</t>
        </is>
      </c>
      <c r="D8" s="15">
        <f>BDP($B8,$C8)</f>
        <v/>
      </c>
      <c r="E8" s="15">
        <f>BDP($B8,"PX_CLOSE_1D")</f>
        <v/>
      </c>
      <c r="F8" s="16">
        <f>IFERROR(D8-E8,"")</f>
        <v/>
      </c>
      <c r="G8" s="17">
        <f>IFERROR(D8/E8-1,"")</f>
        <v/>
      </c>
      <c r="H8" s="7" t="inlineStr">
        <is>
          <t>64,362.02</t>
        </is>
      </c>
    </row>
    <row r="9">
      <c r="A9" s="13" t="inlineStr">
        <is>
          <t>TOPIX</t>
        </is>
      </c>
      <c r="B9" s="14" t="inlineStr">
        <is>
          <t>TPX Index</t>
        </is>
      </c>
      <c r="C9" s="14" t="inlineStr">
        <is>
          <t>PX_LAST</t>
        </is>
      </c>
      <c r="D9" s="15">
        <f>BDP($B9,$C9)</f>
        <v/>
      </c>
      <c r="E9" s="15">
        <f>BDP($B9,"PX_CLOSE_1D")</f>
        <v/>
      </c>
      <c r="F9" s="16">
        <f>IFERROR(D9-E9,"")</f>
        <v/>
      </c>
      <c r="G9" s="17">
        <f>IFERROR(D9/E9-1,"")</f>
        <v/>
      </c>
      <c r="H9" s="7" t="inlineStr">
        <is>
          <t>—</t>
        </is>
      </c>
    </row>
    <row r="10">
      <c r="A10" s="13" t="inlineStr">
        <is>
          <t>KOSPI</t>
        </is>
      </c>
      <c r="B10" s="14" t="inlineStr">
        <is>
          <t>KOSPI Index</t>
        </is>
      </c>
      <c r="C10" s="14" t="inlineStr">
        <is>
          <t>PX_LAST</t>
        </is>
      </c>
      <c r="D10" s="15">
        <f>BDP($B10,$C10)</f>
        <v/>
      </c>
      <c r="E10" s="15">
        <f>BDP($B10,"PX_CLOSE_1D")</f>
        <v/>
      </c>
      <c r="F10" s="16">
        <f>IFERROR(D10-E10,"")</f>
        <v/>
      </c>
      <c r="G10" s="17">
        <f>IFERROR(D10/E10-1,"")</f>
        <v/>
      </c>
      <c r="H10" s="7" t="inlineStr">
        <is>
          <t>6,595.45  (verify vs 6,695.45)</t>
        </is>
      </c>
    </row>
    <row r="11">
      <c r="A11" s="13" t="inlineStr">
        <is>
          <t>KOSPI 200</t>
        </is>
      </c>
      <c r="B11" s="14" t="inlineStr">
        <is>
          <t>KOSPI2 Index</t>
        </is>
      </c>
      <c r="C11" s="14" t="inlineStr">
        <is>
          <t>PX_LAST</t>
        </is>
      </c>
      <c r="D11" s="15">
        <f>BDP($B11,$C11)</f>
        <v/>
      </c>
      <c r="E11" s="15">
        <f>BDP($B11,"PX_CLOSE_1D")</f>
        <v/>
      </c>
      <c r="F11" s="16">
        <f>IFERROR(D11-E11,"")</f>
        <v/>
      </c>
      <c r="G11" s="17">
        <f>IFERROR(D11/E11-1,"")</f>
        <v/>
      </c>
      <c r="H11" s="7" t="inlineStr">
        <is>
          <t>—</t>
        </is>
      </c>
    </row>
    <row r="12">
      <c r="A12" s="13" t="inlineStr">
        <is>
          <t>TAIEX</t>
        </is>
      </c>
      <c r="B12" s="14" t="inlineStr">
        <is>
          <t>TWSE Index</t>
        </is>
      </c>
      <c r="C12" s="14" t="inlineStr">
        <is>
          <t>PX_LAST</t>
        </is>
      </c>
      <c r="D12" s="15">
        <f>BDP($B12,$C12)</f>
        <v/>
      </c>
      <c r="E12" s="15">
        <f>BDP($B12,"PX_CLOSE_1D")</f>
        <v/>
      </c>
      <c r="F12" s="16">
        <f>IFERROR(D12-E12,"")</f>
        <v/>
      </c>
      <c r="G12" s="17">
        <f>IFERROR(D12/E12-1,"")</f>
        <v/>
      </c>
      <c r="H12" s="7" t="inlineStr">
        <is>
          <t>~43,100 (est.)</t>
        </is>
      </c>
    </row>
    <row r="13">
      <c r="A13" s="13" t="inlineStr">
        <is>
          <t>Nifty 50</t>
        </is>
      </c>
      <c r="B13" s="14" t="inlineStr">
        <is>
          <t>NIFTY Index</t>
        </is>
      </c>
      <c r="C13" s="14" t="inlineStr">
        <is>
          <t>PX_LAST</t>
        </is>
      </c>
      <c r="D13" s="15">
        <f>BDP($B13,$C13)</f>
        <v/>
      </c>
      <c r="E13" s="15">
        <f>BDP($B13,"PX_CLOSE_1D")</f>
        <v/>
      </c>
      <c r="F13" s="16">
        <f>IFERROR(D13-E13,"")</f>
        <v/>
      </c>
      <c r="G13" s="17">
        <f>IFERROR(D13/E13-1,"")</f>
        <v/>
      </c>
      <c r="H13" s="7" t="inlineStr">
        <is>
          <t>24,430 (6 Jul)</t>
        </is>
      </c>
    </row>
    <row r="14">
      <c r="A14" s="13" t="inlineStr">
        <is>
          <t>UST 2y</t>
        </is>
      </c>
      <c r="B14" s="14" t="inlineStr">
        <is>
          <t>USGG2YR Index</t>
        </is>
      </c>
      <c r="C14" s="14" t="inlineStr">
        <is>
          <t>PX_LAST</t>
        </is>
      </c>
      <c r="D14" s="15">
        <f>BDP($B14,$C14)</f>
        <v/>
      </c>
      <c r="E14" s="15">
        <f>BDP($B14,"PX_CLOSE_1D")</f>
        <v/>
      </c>
      <c r="F14" s="16">
        <f>IFERROR(D14-E14,"")</f>
        <v/>
      </c>
      <c r="G14" s="17">
        <f>IFERROR(D14/E14-1,"")</f>
        <v/>
      </c>
      <c r="H14" s="7" t="inlineStr">
        <is>
          <t>—</t>
        </is>
      </c>
    </row>
    <row r="15">
      <c r="A15" s="13" t="inlineStr">
        <is>
          <t>UST 5y</t>
        </is>
      </c>
      <c r="B15" s="14" t="inlineStr">
        <is>
          <t>USGG5YR Index</t>
        </is>
      </c>
      <c r="C15" s="14" t="inlineStr">
        <is>
          <t>PX_LAST</t>
        </is>
      </c>
      <c r="D15" s="15">
        <f>BDP($B15,$C15)</f>
        <v/>
      </c>
      <c r="E15" s="15">
        <f>BDP($B15,"PX_CLOSE_1D")</f>
        <v/>
      </c>
      <c r="F15" s="16">
        <f>IFERROR(D15-E15,"")</f>
        <v/>
      </c>
      <c r="G15" s="17">
        <f>IFERROR(D15/E15-1,"")</f>
        <v/>
      </c>
      <c r="H15" s="7" t="inlineStr">
        <is>
          <t>—</t>
        </is>
      </c>
    </row>
    <row r="16">
      <c r="A16" s="13" t="inlineStr">
        <is>
          <t>UST 10y</t>
        </is>
      </c>
      <c r="B16" s="14" t="inlineStr">
        <is>
          <t>USGG10YR Index</t>
        </is>
      </c>
      <c r="C16" s="14" t="inlineStr">
        <is>
          <t>PX_LAST</t>
        </is>
      </c>
      <c r="D16" s="15">
        <f>BDP($B16,$C16)</f>
        <v/>
      </c>
      <c r="E16" s="15">
        <f>BDP($B16,"PX_CLOSE_1D")</f>
        <v/>
      </c>
      <c r="F16" s="16">
        <f>IFERROR(D16-E16,"")</f>
        <v/>
      </c>
      <c r="G16" s="17">
        <f>IFERROR(D16/E16-1,"")</f>
        <v/>
      </c>
      <c r="H16" s="7" t="inlineStr">
        <is>
          <t>4.71</t>
        </is>
      </c>
    </row>
    <row r="17">
      <c r="A17" s="13" t="inlineStr">
        <is>
          <t>UST 30y</t>
        </is>
      </c>
      <c r="B17" s="14" t="inlineStr">
        <is>
          <t>USGG30YR Index</t>
        </is>
      </c>
      <c r="C17" s="14" t="inlineStr">
        <is>
          <t>PX_LAST</t>
        </is>
      </c>
      <c r="D17" s="15">
        <f>BDP($B17,$C17)</f>
        <v/>
      </c>
      <c r="E17" s="15">
        <f>BDP($B17,"PX_CLOSE_1D")</f>
        <v/>
      </c>
      <c r="F17" s="16">
        <f>IFERROR(D17-E17,"")</f>
        <v/>
      </c>
      <c r="G17" s="17">
        <f>IFERROR(D17/E17-1,"")</f>
        <v/>
      </c>
      <c r="H17" s="7" t="inlineStr">
        <is>
          <t>—</t>
        </is>
      </c>
    </row>
    <row r="18">
      <c r="A18" s="13" t="inlineStr">
        <is>
          <t>Fed funds target (upper)</t>
        </is>
      </c>
      <c r="B18" s="14" t="inlineStr">
        <is>
          <t>FDTR Index</t>
        </is>
      </c>
      <c r="C18" s="14" t="inlineStr">
        <is>
          <t>PX_LAST</t>
        </is>
      </c>
      <c r="D18" s="15">
        <f>BDP($B18,$C18)</f>
        <v/>
      </c>
      <c r="E18" s="15">
        <f>BDP($B18,"PX_CLOSE_1D")</f>
        <v/>
      </c>
      <c r="F18" s="16">
        <f>IFERROR(D18-E18,"")</f>
        <v/>
      </c>
      <c r="G18" s="17">
        <f>IFERROR(D18/E18-1,"")</f>
        <v/>
      </c>
      <c r="H18" s="7" t="inlineStr">
        <is>
          <t>3.50–3.75</t>
        </is>
      </c>
    </row>
    <row r="19">
      <c r="A19" s="13" t="inlineStr">
        <is>
          <t>USD/JPY</t>
        </is>
      </c>
      <c r="B19" s="14" t="inlineStr">
        <is>
          <t>USDJPY Curncy</t>
        </is>
      </c>
      <c r="C19" s="14" t="inlineStr">
        <is>
          <t>PX_LAST</t>
        </is>
      </c>
      <c r="D19" s="15">
        <f>BDP($B19,$C19)</f>
        <v/>
      </c>
      <c r="E19" s="15">
        <f>BDP($B19,"PX_CLOSE_1D")</f>
        <v/>
      </c>
      <c r="F19" s="16">
        <f>IFERROR(D19-E19,"")</f>
        <v/>
      </c>
      <c r="G19" s="17">
        <f>IFERROR(D19/E19-1,"")</f>
        <v/>
      </c>
      <c r="H19" s="7" t="inlineStr">
        <is>
          <t>158–163</t>
        </is>
      </c>
    </row>
    <row r="20">
      <c r="A20" s="13" t="inlineStr">
        <is>
          <t>USD/KRW</t>
        </is>
      </c>
      <c r="B20" s="14" t="inlineStr">
        <is>
          <t>USDKRW Curncy</t>
        </is>
      </c>
      <c r="C20" s="14" t="inlineStr">
        <is>
          <t>PX_LAST</t>
        </is>
      </c>
      <c r="D20" s="15">
        <f>BDP($B20,$C20)</f>
        <v/>
      </c>
      <c r="E20" s="15">
        <f>BDP($B20,"PX_CLOSE_1D")</f>
        <v/>
      </c>
      <c r="F20" s="16">
        <f>IFERROR(D20-E20,"")</f>
        <v/>
      </c>
      <c r="G20" s="17">
        <f>IFERROR(D20/E20-1,"")</f>
        <v/>
      </c>
      <c r="H20" s="7" t="inlineStr">
        <is>
          <t>not sourced — §7 flag</t>
        </is>
      </c>
    </row>
    <row r="21">
      <c r="A21" s="13" t="inlineStr">
        <is>
          <t>USD/CNH</t>
        </is>
      </c>
      <c r="B21" s="14" t="inlineStr">
        <is>
          <t>USDCNH Curncy</t>
        </is>
      </c>
      <c r="C21" s="14" t="inlineStr">
        <is>
          <t>PX_LAST</t>
        </is>
      </c>
      <c r="D21" s="15">
        <f>BDP($B21,$C21)</f>
        <v/>
      </c>
      <c r="E21" s="15">
        <f>BDP($B21,"PX_CLOSE_1D")</f>
        <v/>
      </c>
      <c r="F21" s="16">
        <f>IFERROR(D21-E21,"")</f>
        <v/>
      </c>
      <c r="G21" s="17">
        <f>IFERROR(D21/E21-1,"")</f>
        <v/>
      </c>
      <c r="H21" s="7" t="inlineStr">
        <is>
          <t>not sourced — §7 flag</t>
        </is>
      </c>
    </row>
    <row r="22">
      <c r="A22" s="13" t="inlineStr">
        <is>
          <t>USD/INR</t>
        </is>
      </c>
      <c r="B22" s="14" t="inlineStr">
        <is>
          <t>USDINR Curncy</t>
        </is>
      </c>
      <c r="C22" s="14" t="inlineStr">
        <is>
          <t>PX_LAST</t>
        </is>
      </c>
      <c r="D22" s="15">
        <f>BDP($B22,$C22)</f>
        <v/>
      </c>
      <c r="E22" s="15">
        <f>BDP($B22,"PX_CLOSE_1D")</f>
        <v/>
      </c>
      <c r="F22" s="16">
        <f>IFERROR(D22-E22,"")</f>
        <v/>
      </c>
      <c r="G22" s="17">
        <f>IFERROR(D22/E22-1,"")</f>
        <v/>
      </c>
      <c r="H22" s="7" t="inlineStr">
        <is>
          <t>not sourced — §7 flag</t>
        </is>
      </c>
    </row>
    <row r="23">
      <c r="A23" s="13" t="inlineStr">
        <is>
          <t>Brent (front)</t>
        </is>
      </c>
      <c r="B23" s="14" t="inlineStr">
        <is>
          <t>CO1 Comdty</t>
        </is>
      </c>
      <c r="C23" s="14" t="inlineStr">
        <is>
          <t>PX_LAST</t>
        </is>
      </c>
      <c r="D23" s="15">
        <f>BDP($B23,$C23)</f>
        <v/>
      </c>
      <c r="E23" s="15">
        <f>BDP($B23,"PX_CLOSE_1D")</f>
        <v/>
      </c>
      <c r="F23" s="16">
        <f>IFERROR(D23-E23,"")</f>
        <v/>
      </c>
      <c r="G23" s="17">
        <f>IFERROR(D23/E23-1,"")</f>
        <v/>
      </c>
      <c r="H23" s="7" t="inlineStr">
        <is>
          <t>87.93</t>
        </is>
      </c>
    </row>
    <row r="24">
      <c r="A24" s="13" t="inlineStr">
        <is>
          <t>Gold spot</t>
        </is>
      </c>
      <c r="B24" s="14" t="inlineStr">
        <is>
          <t>XAU Curncy</t>
        </is>
      </c>
      <c r="C24" s="14" t="inlineStr">
        <is>
          <t>PX_LAST</t>
        </is>
      </c>
      <c r="D24" s="15">
        <f>BDP($B24,$C24)</f>
        <v/>
      </c>
      <c r="E24" s="15">
        <f>BDP($B24,"PX_CLOSE_1D")</f>
        <v/>
      </c>
      <c r="F24" s="16">
        <f>IFERROR(D24-E24,"")</f>
        <v/>
      </c>
      <c r="G24" s="17">
        <f>IFERROR(D24/E24-1,"")</f>
        <v/>
      </c>
      <c r="H24" s="7" t="inlineStr">
        <is>
          <t>~4,140</t>
        </is>
      </c>
    </row>
    <row r="25">
      <c r="A25" s="13" t="inlineStr">
        <is>
          <t>US retail gasoline, $/gal</t>
        </is>
      </c>
      <c r="B25" s="14" t="inlineStr">
        <is>
          <t>AUTMUSAG Index</t>
        </is>
      </c>
      <c r="C25" s="14" t="inlineStr">
        <is>
          <t>PX_LAST</t>
        </is>
      </c>
      <c r="D25" s="15">
        <f>BDP($B25,$C25)</f>
        <v/>
      </c>
      <c r="E25" s="15">
        <f>BDP($B25,"PX_CLOSE_1D")</f>
        <v/>
      </c>
      <c r="F25" s="16">
        <f>IFERROR(D25-E25,"")</f>
        <v/>
      </c>
      <c r="G25" s="17">
        <f>IFERROR(D25/E25-1,"")</f>
        <v/>
      </c>
      <c r="H25" s="7" t="inlineStr">
        <is>
          <t>$4.11/gal — AAA series, confirmed by help desk</t>
        </is>
      </c>
    </row>
    <row r="26">
      <c r="A26" s="13" t="inlineStr">
        <is>
          <t>US retail gasoline, EIA weekly</t>
        </is>
      </c>
      <c r="B26" s="14" t="inlineStr">
        <is>
          <t>NGAPGRPG Index</t>
        </is>
      </c>
      <c r="C26" s="14" t="inlineStr">
        <is>
          <t>PX_LAST</t>
        </is>
      </c>
      <c r="D26" s="15">
        <f>BDP($B26,$C26)</f>
        <v/>
      </c>
      <c r="E26" s="15">
        <f>BDP($B26,"PX_CLOSE_1D")</f>
        <v/>
      </c>
      <c r="F26" s="16">
        <f>IFERROR(D26-E26,"")</f>
        <v/>
      </c>
      <c r="G26" s="17">
        <f>IFERROR(D26/E26-1,"")</f>
        <v/>
      </c>
      <c r="H26" s="7" t="inlineStr">
        <is>
          <t>alternate if AUTMUSAG is not entitled</t>
        </is>
      </c>
    </row>
    <row r="27">
      <c r="A27" s="13" t="inlineStr">
        <is>
          <t>RBOB gasoline (futures)</t>
        </is>
      </c>
      <c r="B27" s="14" t="inlineStr">
        <is>
          <t>XB1 Comdty</t>
        </is>
      </c>
      <c r="C27" s="14" t="inlineStr">
        <is>
          <t>PX_LAST</t>
        </is>
      </c>
      <c r="D27" s="15">
        <f>BDP($B27,$C27)</f>
        <v/>
      </c>
      <c r="E27" s="15">
        <f>BDP($B27,"PX_CLOSE_1D")</f>
        <v/>
      </c>
      <c r="F27" s="16">
        <f>IFERROR(D27-E27,"")</f>
        <v/>
      </c>
      <c r="G27" s="17">
        <f>IFERROR(D27/E27-1,"")</f>
        <v/>
      </c>
      <c r="H27" s="7" t="inlineStr">
        <is>
          <t>front-month generic — the proxy, not the pump price</t>
        </is>
      </c>
    </row>
    <row r="28">
      <c r="A28" s="13" t="inlineStr">
        <is>
          <t>VIX</t>
        </is>
      </c>
      <c r="B28" s="14" t="inlineStr">
        <is>
          <t>VIX Index</t>
        </is>
      </c>
      <c r="C28" s="14" t="inlineStr">
        <is>
          <t>PX_LAST</t>
        </is>
      </c>
      <c r="D28" s="15">
        <f>BDP($B28,$C28)</f>
        <v/>
      </c>
      <c r="E28" s="15">
        <f>BDP($B28,"PX_CLOSE_1D")</f>
        <v/>
      </c>
      <c r="F28" s="16">
        <f>IFERROR(D28-E28,"")</f>
        <v/>
      </c>
      <c r="G28" s="17">
        <f>IFERROR(D28/E28-1,"")</f>
        <v/>
      </c>
      <c r="H28" s="7" t="inlineStr">
        <is>
          <t>15.99</t>
        </is>
      </c>
    </row>
    <row r="29">
      <c r="A29" s="13" t="inlineStr">
        <is>
          <t>VNKY</t>
        </is>
      </c>
      <c r="B29" s="14" t="inlineStr">
        <is>
          <t>VNKY Index</t>
        </is>
      </c>
      <c r="C29" s="14" t="inlineStr">
        <is>
          <t>PX_LAST</t>
        </is>
      </c>
      <c r="D29" s="15">
        <f>BDP($B29,$C29)</f>
        <v/>
      </c>
      <c r="E29" s="15">
        <f>BDP($B29,"PX_CLOSE_1D")</f>
        <v/>
      </c>
      <c r="F29" s="16">
        <f>IFERROR(D29-E29,"")</f>
        <v/>
      </c>
      <c r="G29" s="17">
        <f>IFERROR(D29/E29-1,"")</f>
        <v/>
      </c>
      <c r="H29" s="7" t="inlineStr">
        <is>
          <t>—</t>
        </is>
      </c>
    </row>
    <row r="30">
      <c r="A30" s="13" t="inlineStr">
        <is>
          <t>VKOSPI</t>
        </is>
      </c>
      <c r="B30" s="14" t="inlineStr">
        <is>
          <t>VKOSPI Index</t>
        </is>
      </c>
      <c r="C30" s="14" t="inlineStr">
        <is>
          <t>PX_LAST</t>
        </is>
      </c>
      <c r="D30" s="15">
        <f>BDP($B30,$C30)</f>
        <v/>
      </c>
      <c r="E30" s="15">
        <f>BDP($B30,"PX_CLOSE_1D")</f>
        <v/>
      </c>
      <c r="F30" s="16">
        <f>IFERROR(D30-E30,"")</f>
        <v/>
      </c>
      <c r="G30" s="17">
        <f>IFERROR(D30/E30-1,"")</f>
        <v/>
      </c>
      <c r="H30" s="7" t="inlineStr">
        <is>
          <t>—</t>
        </is>
      </c>
    </row>
    <row r="31">
      <c r="A31" s="13" t="inlineStr">
        <is>
          <t>US HY OAS</t>
        </is>
      </c>
      <c r="B31" s="14" t="inlineStr">
        <is>
          <t>LF98OAS Index</t>
        </is>
      </c>
      <c r="C31" s="14" t="inlineStr">
        <is>
          <t>PX_LAST</t>
        </is>
      </c>
      <c r="D31" s="15">
        <f>BDP($B31,$C31)</f>
        <v/>
      </c>
      <c r="E31" s="15">
        <f>BDP($B31,"PX_CLOSE_1D")</f>
        <v/>
      </c>
      <c r="F31" s="16">
        <f>IFERROR(D31-E31,"")</f>
        <v/>
      </c>
      <c r="G31" s="17">
        <f>IFERROR(D31/E31-1,"")</f>
        <v/>
      </c>
      <c r="H31" s="7" t="inlineStr">
        <is>
          <t>284bp</t>
        </is>
      </c>
    </row>
    <row r="32">
      <c r="A32" s="13" t="inlineStr">
        <is>
          <t>US IG OAS</t>
        </is>
      </c>
      <c r="B32" s="14" t="inlineStr">
        <is>
          <t>LUACOAS Index</t>
        </is>
      </c>
      <c r="C32" s="14" t="inlineStr">
        <is>
          <t>PX_LAST</t>
        </is>
      </c>
      <c r="D32" s="15">
        <f>BDP($B32,$C32)</f>
        <v/>
      </c>
      <c r="E32" s="15">
        <f>BDP($B32,"PX_CLOSE_1D")</f>
        <v/>
      </c>
      <c r="F32" s="16">
        <f>IFERROR(D32-E32,"")</f>
        <v/>
      </c>
      <c r="G32" s="17">
        <f>IFERROR(D32/E32-1,"")</f>
        <v/>
      </c>
      <c r="H32" s="7" t="inlineStr">
        <is>
          <t>~81bp — flagged stale</t>
        </is>
      </c>
    </row>
    <row r="35">
      <c r="A35" s="9" t="inlineStr">
        <is>
          <t>Macro prints — pulled, not typed</t>
        </is>
      </c>
    </row>
    <row r="36" ht="18" customHeight="1">
      <c r="A36" s="4" t="inlineStr">
        <is>
          <t>Series</t>
        </is>
      </c>
      <c r="B36" s="4" t="inlineStr">
        <is>
          <t>Ticker</t>
        </is>
      </c>
      <c r="C36" s="4" t="inlineStr">
        <is>
          <t>Latest</t>
        </is>
      </c>
      <c r="D36" s="4" t="inlineStr">
        <is>
          <t>Prior</t>
        </is>
      </c>
      <c r="E36" s="4" t="inlineStr">
        <is>
          <t>Memo</t>
        </is>
      </c>
    </row>
    <row r="37">
      <c r="A37" s="10" t="inlineStr">
        <is>
          <t>US CPI y/y</t>
        </is>
      </c>
      <c r="B37" s="11" t="inlineStr">
        <is>
          <t>CPI YOY Index</t>
        </is>
      </c>
      <c r="C37" s="18">
        <f>BDP($B37,"PX_LAST")</f>
        <v/>
      </c>
      <c r="D37" s="18">
        <f>BDP($B37,"PX_CLOSE_1D")</f>
        <v/>
      </c>
      <c r="E37" s="2" t="inlineStr">
        <is>
          <t>headline 3.5% (June)</t>
        </is>
      </c>
    </row>
    <row r="38">
      <c r="A38" s="10" t="inlineStr">
        <is>
          <t>US core CPI y/y</t>
        </is>
      </c>
      <c r="B38" s="11" t="inlineStr">
        <is>
          <t>CPI XYOY Index</t>
        </is>
      </c>
      <c r="C38" s="18">
        <f>BDP($B38,"PX_LAST")</f>
        <v/>
      </c>
      <c r="D38" s="18">
        <f>BDP($B38,"PX_CLOSE_1D")</f>
        <v/>
      </c>
      <c r="E38" s="2" t="inlineStr">
        <is>
          <t>core 2.6% (June)</t>
        </is>
      </c>
    </row>
    <row r="39">
      <c r="A39" s="10" t="inlineStr">
        <is>
          <t>US 10y breakeven</t>
        </is>
      </c>
      <c r="B39" s="11" t="inlineStr">
        <is>
          <t>USGGBE10 Index</t>
        </is>
      </c>
      <c r="C39" s="18">
        <f>BDP($B39,"PX_LAST")</f>
        <v/>
      </c>
      <c r="D39" s="18">
        <f>BDP($B39,"PX_CLOSE_1D")</f>
        <v/>
      </c>
      <c r="E39" s="2" t="inlineStr">
        <is>
          <t>did the oil spike move expectations?</t>
        </is>
      </c>
    </row>
    <row r="40">
      <c r="A40" s="10" t="inlineStr">
        <is>
          <t>China GDP y/y</t>
        </is>
      </c>
      <c r="B40" s="11" t="inlineStr">
        <is>
          <t>CNGDPYOY Index</t>
        </is>
      </c>
      <c r="C40" s="18">
        <f>BDP($B40,"PX_LAST")</f>
        <v/>
      </c>
      <c r="D40" s="18">
        <f>BDP($B40,"PX_CLOSE_1D")</f>
        <v/>
      </c>
      <c r="E40" s="2" t="inlineStr">
        <is>
          <t>+4.3% Q2, weakest since Q4 2022</t>
        </is>
      </c>
    </row>
    <row r="41">
      <c r="A41" s="10" t="inlineStr">
        <is>
          <t>Japan core CPI y/y</t>
        </is>
      </c>
      <c r="B41" s="11" t="inlineStr">
        <is>
          <t>JNCPIXFY Index</t>
        </is>
      </c>
      <c r="C41" s="18">
        <f>BDP($B41,"PX_LAST")</f>
        <v/>
      </c>
      <c r="D41" s="18">
        <f>BDP($B41,"PX_CLOSE_1D")</f>
        <v/>
      </c>
      <c r="E41" s="2" t="inlineStr">
        <is>
          <t>1.6% July</t>
        </is>
      </c>
    </row>
    <row r="42">
      <c r="A42" s="10" t="inlineStr">
        <is>
          <t>Korea CPI y/y</t>
        </is>
      </c>
      <c r="B42" s="11" t="inlineStr">
        <is>
          <t>KOCPIYOY Index</t>
        </is>
      </c>
      <c r="C42" s="18">
        <f>BDP($B42,"PX_LAST")</f>
        <v/>
      </c>
      <c r="D42" s="18">
        <f>BDP($B42,"PX_CLOSE_1D")</f>
        <v/>
      </c>
      <c r="E42" s="2" t="inlineStr">
        <is>
          <t>—</t>
        </is>
      </c>
    </row>
    <row r="43">
      <c r="A43" s="10" t="inlineStr">
        <is>
          <t>India CPI y/y</t>
        </is>
      </c>
      <c r="B43" s="11" t="inlineStr">
        <is>
          <t>INFUTOTY Index</t>
        </is>
      </c>
      <c r="C43" s="18">
        <f>BDP($B43,"PX_LAST")</f>
        <v/>
      </c>
      <c r="D43" s="18">
        <f>BDP($B43,"PX_CLOSE_1D")</f>
        <v/>
      </c>
      <c r="E43" s="2" t="inlineStr">
        <is>
          <t>RBI forecast raised to 5.1%</t>
        </is>
      </c>
    </row>
    <row r="44">
      <c r="A44" s="10" t="inlineStr">
        <is>
          <t>BoJ policy rate</t>
        </is>
      </c>
      <c r="B44" s="11" t="inlineStr">
        <is>
          <t>BOJDTR Index</t>
        </is>
      </c>
      <c r="C44" s="18">
        <f>BDP($B44,"PX_LAST")</f>
        <v/>
      </c>
      <c r="D44" s="18">
        <f>BDP($B44,"PX_CLOSE_1D")</f>
        <v/>
      </c>
      <c r="E44" s="2" t="inlineStr">
        <is>
          <t>1.00%, highest since Sep 1995</t>
        </is>
      </c>
    </row>
    <row r="45">
      <c r="A45" s="10" t="inlineStr">
        <is>
          <t>BoK base rate</t>
        </is>
      </c>
      <c r="B45" s="11" t="inlineStr">
        <is>
          <t>KORP7DR Index</t>
        </is>
      </c>
      <c r="C45" s="18">
        <f>BDP($B45,"PX_LAST")</f>
        <v/>
      </c>
      <c r="D45" s="18">
        <f>BDP($B45,"PX_CLOSE_1D")</f>
        <v/>
      </c>
      <c r="E45" s="2" t="inlineStr">
        <is>
          <t>2.75% — confirm after 16 Jul</t>
        </is>
      </c>
    </row>
    <row r="46">
      <c r="A46" s="10" t="inlineStr">
        <is>
          <t>RBI repo</t>
        </is>
      </c>
      <c r="B46" s="11" t="inlineStr">
        <is>
          <t>INRPYLD Index</t>
        </is>
      </c>
      <c r="C46" s="18">
        <f>BDP($B46,"PX_LAST")</f>
        <v/>
      </c>
      <c r="D46" s="18">
        <f>BDP($B46,"PX_CLOSE_1D")</f>
        <v/>
      </c>
      <c r="E46" s="2" t="inlineStr">
        <is>
          <t>5.25%</t>
        </is>
      </c>
    </row>
    <row r="49">
      <c r="A49" s="12" t="inlineStr">
        <is>
          <t>Column H is the level asserted in the memo, kept only so a mismatch is visible at a glance. It is commentary — never source a slide from it.</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V822"/>
  <sheetViews>
    <sheetView showGridLines="0" workbookViewId="0">
      <pane ySplit="4" topLeftCell="A5" activePane="bottomLeft" state="frozen"/>
      <selection pane="bottomLeft" activeCell="A1" sqref="A1"/>
    </sheetView>
  </sheetViews>
  <sheetFormatPr baseColWidth="8" defaultRowHeight="15"/>
  <cols>
    <col width="12" customWidth="1" min="1" max="1"/>
    <col width="14" customWidth="1" min="2" max="2"/>
    <col width="13" customWidth="1" min="3" max="3"/>
    <col width="14" customWidth="1" min="4" max="4"/>
    <col width="12" customWidth="1" min="5" max="5"/>
    <col width="12" customWidth="1" min="6" max="6"/>
    <col width="12" customWidth="1" min="7" max="7"/>
  </cols>
  <sheetData>
    <row r="1">
      <c r="A1" s="1" t="inlineStr">
        <is>
          <t>Cross-market equity risk premium — §5.1 Lens 1</t>
        </is>
      </c>
    </row>
    <row r="2">
      <c r="A2" s="2" t="inlineStr">
        <is>
          <t>The chart that converts Q3 from asserted to demonstrated: US ERP near zero against materially wider Asian ERPs. Built from forward P/E and the local 10y, not quoted from a bank note.</t>
        </is>
      </c>
    </row>
    <row r="3" ht="4" customHeight="1">
      <c r="A3" s="3" t="n"/>
      <c r="B3" s="3" t="n"/>
      <c r="C3" s="3" t="n"/>
      <c r="D3" s="3" t="n"/>
      <c r="E3" s="3" t="n"/>
      <c r="F3" s="3" t="n"/>
      <c r="G3" s="3" t="n"/>
      <c r="H3" s="3" t="n"/>
    </row>
    <row r="5" ht="18" customHeight="1">
      <c r="A5" s="4" t="inlineStr">
        <is>
          <t>Market</t>
        </is>
      </c>
      <c r="B5" s="4" t="inlineStr">
        <is>
          <t>Index</t>
        </is>
      </c>
      <c r="C5" s="4" t="inlineStr">
        <is>
          <t>Fwd P/E (1BF)</t>
        </is>
      </c>
      <c r="D5" s="4" t="inlineStr">
        <is>
          <t>Earnings yield</t>
        </is>
      </c>
      <c r="E5" s="4" t="inlineStr">
        <is>
          <t>Local 10y ticker</t>
        </is>
      </c>
      <c r="F5" s="4" t="inlineStr">
        <is>
          <t>10y yield</t>
        </is>
      </c>
      <c r="G5" s="4" t="inlineStr">
        <is>
          <t>ERP, bp</t>
        </is>
      </c>
    </row>
    <row r="6">
      <c r="A6" s="5" t="inlineStr">
        <is>
          <t>United States</t>
        </is>
      </c>
      <c r="B6" s="14" t="inlineStr">
        <is>
          <t>SPX Index</t>
        </is>
      </c>
      <c r="C6" s="19">
        <f>BDP($B6,"BEST_PE_RATIO","BEST_FPERIOD_OVERRIDE","1BF")</f>
        <v/>
      </c>
      <c r="D6" s="20">
        <f>IFERROR(1/C6,"")</f>
        <v/>
      </c>
      <c r="E6" s="14" t="inlineStr">
        <is>
          <t>USGG10YR Index</t>
        </is>
      </c>
      <c r="F6" s="21">
        <f>BDP($E6,"PX_LAST")</f>
        <v/>
      </c>
      <c r="G6" s="22">
        <f>IFERROR((D6-F6/100)*10000,"")</f>
        <v/>
      </c>
    </row>
    <row r="7">
      <c r="A7" s="5" t="inlineStr">
        <is>
          <t>Japan</t>
        </is>
      </c>
      <c r="B7" s="14" t="inlineStr">
        <is>
          <t>NKY Index</t>
        </is>
      </c>
      <c r="C7" s="19">
        <f>BDP($B7,"BEST_PE_RATIO","BEST_FPERIOD_OVERRIDE","1BF")</f>
        <v/>
      </c>
      <c r="D7" s="20">
        <f>IFERROR(1/C7,"")</f>
        <v/>
      </c>
      <c r="E7" s="14" t="inlineStr">
        <is>
          <t>GTJPY10Y Govt</t>
        </is>
      </c>
      <c r="F7" s="21">
        <f>BDP($E7,"PX_LAST")</f>
        <v/>
      </c>
      <c r="G7" s="22">
        <f>IFERROR((D7-F7/100)*10000,"")</f>
        <v/>
      </c>
    </row>
    <row r="8">
      <c r="A8" s="5" t="inlineStr">
        <is>
          <t>Japan (TOPIX)</t>
        </is>
      </c>
      <c r="B8" s="14" t="inlineStr">
        <is>
          <t>TPX Index</t>
        </is>
      </c>
      <c r="C8" s="19">
        <f>BDP($B8,"BEST_PE_RATIO","BEST_FPERIOD_OVERRIDE","1BF")</f>
        <v/>
      </c>
      <c r="D8" s="20">
        <f>IFERROR(1/C8,"")</f>
        <v/>
      </c>
      <c r="E8" s="14" t="inlineStr">
        <is>
          <t>GTJPY10Y Govt</t>
        </is>
      </c>
      <c r="F8" s="21">
        <f>BDP($E8,"PX_LAST")</f>
        <v/>
      </c>
      <c r="G8" s="22">
        <f>IFERROR((D8-F8/100)*10000,"")</f>
        <v/>
      </c>
    </row>
    <row r="9">
      <c r="A9" s="5" t="inlineStr">
        <is>
          <t>Korea</t>
        </is>
      </c>
      <c r="B9" s="14" t="inlineStr">
        <is>
          <t>KOSPI2 Index</t>
        </is>
      </c>
      <c r="C9" s="19">
        <f>BDP($B9,"BEST_PE_RATIO","BEST_FPERIOD_OVERRIDE","1BF")</f>
        <v/>
      </c>
      <c r="D9" s="20">
        <f>IFERROR(1/C9,"")</f>
        <v/>
      </c>
      <c r="E9" s="14" t="inlineStr">
        <is>
          <t>GTKRW10Y Govt</t>
        </is>
      </c>
      <c r="F9" s="21">
        <f>BDP($E9,"PX_LAST")</f>
        <v/>
      </c>
      <c r="G9" s="22">
        <f>IFERROR((D9-F9/100)*10000,"")</f>
        <v/>
      </c>
    </row>
    <row r="10">
      <c r="A10" s="5" t="inlineStr">
        <is>
          <t>Taiwan</t>
        </is>
      </c>
      <c r="B10" s="14" t="inlineStr">
        <is>
          <t>TWSE Index</t>
        </is>
      </c>
      <c r="C10" s="19">
        <f>BDP($B10,"BEST_PE_RATIO","BEST_FPERIOD_OVERRIDE","1BF")</f>
        <v/>
      </c>
      <c r="D10" s="20">
        <f>IFERROR(1/C10,"")</f>
        <v/>
      </c>
      <c r="E10" s="14" t="inlineStr">
        <is>
          <t>GTTWD10Y Govt</t>
        </is>
      </c>
      <c r="F10" s="21">
        <f>BDP($E10,"PX_LAST")</f>
        <v/>
      </c>
      <c r="G10" s="22">
        <f>IFERROR((D10-F10/100)*10000,"")</f>
        <v/>
      </c>
    </row>
    <row r="11">
      <c r="A11" s="5" t="inlineStr">
        <is>
          <t>India</t>
        </is>
      </c>
      <c r="B11" s="14" t="inlineStr">
        <is>
          <t>NIFTY Index</t>
        </is>
      </c>
      <c r="C11" s="19">
        <f>BDP($B11,"BEST_PE_RATIO","BEST_FPERIOD_OVERRIDE","1BF")</f>
        <v/>
      </c>
      <c r="D11" s="20">
        <f>IFERROR(1/C11,"")</f>
        <v/>
      </c>
      <c r="E11" s="14" t="inlineStr">
        <is>
          <t>GTINR10Y Govt</t>
        </is>
      </c>
      <c r="F11" s="21">
        <f>BDP($E11,"PX_LAST")</f>
        <v/>
      </c>
      <c r="G11" s="22">
        <f>IFERROR((D11-F11/100)*10000,"")</f>
        <v/>
      </c>
    </row>
    <row r="14">
      <c r="A14" s="9" t="inlineStr">
        <is>
          <t>Consensus EPS — verify the $340 and pull the revision trend</t>
        </is>
      </c>
    </row>
    <row r="15">
      <c r="A15" s="10" t="inlineStr">
        <is>
          <t>SPX BEst EPS, 1BF</t>
        </is>
      </c>
      <c r="C15" s="10">
        <f>BDP("SPX Index","BEST_EPS","BEST_FPERIOD_OVERRIDE","1BF")</f>
        <v/>
      </c>
    </row>
    <row r="16">
      <c r="A16" s="10" t="inlineStr">
        <is>
          <t>4 weeks ago</t>
        </is>
      </c>
      <c r="C16" s="10">
        <f>BDH("SPX Index","BEST_EPS",AsOf-28,AsOf-28,"BEST_FPERIOD_OVERRIDE=1BF","Dir=H","cols=1;rows=1")</f>
        <v/>
      </c>
    </row>
    <row r="19">
      <c r="A19" s="9" t="inlineStr">
        <is>
          <t>S&amp;P 500 ERP history — window set on the Control tab</t>
        </is>
      </c>
      <c r="R19" s="12" t="inlineStr">
        <is>
          <t>Staging — one BQL call per security. Each spills DATE and value; the working columns on the left look them up by date. Blocks: R = S&amp;P 500 fwd P/E (1BF) · V = UST 10y.  If a block comes back with an extra ID column, shift that block's value column by one — nothing else needs to change.</t>
        </is>
      </c>
    </row>
    <row r="20">
      <c r="A20" s="12" t="inlineStr">
        <is>
          <t>Two BQL calls staged to the right, one per security. A is the date spine, B and C are looked up onto it, D and E are computed. The chart reads the full range, so it lengthens on its own as history extends.</t>
        </is>
      </c>
    </row>
    <row r="21">
      <c r="A21" s="9" t="inlineStr">
        <is>
          <t>Date alignment check</t>
        </is>
      </c>
      <c r="C21" s="9">
        <f>IFERROR(SUMPRODUCT(--($R$23:$R$823&lt;&gt;"")*($V$23:$V$823&lt;&gt;"")*($R$23:$R$823&lt;&gt;$V$23:$V$823)),"")</f>
        <v/>
      </c>
      <c r="D21" s="2">
        <f>IF(C21="","",IF(C21=0,"OK — blocks are row-aligned","MISALIGNED: "&amp;C21&amp;" rows differ. Do not use these numbers; switch the value columns to INDEX/MATCH on the date."))</f>
        <v/>
      </c>
    </row>
    <row r="22" ht="18" customHeight="1">
      <c r="A22" s="4" t="inlineStr">
        <is>
          <t>Date</t>
        </is>
      </c>
      <c r="B22" s="4" t="inlineStr">
        <is>
          <t>SPX fwd P/E</t>
        </is>
      </c>
      <c r="C22" s="4" t="inlineStr">
        <is>
          <t>UST 10y, %</t>
        </is>
      </c>
      <c r="D22" s="4" t="inlineStr">
        <is>
          <t>Earnings yield</t>
        </is>
      </c>
      <c r="E22" s="4" t="inlineStr">
        <is>
          <t>ERP, bp</t>
        </is>
      </c>
      <c r="R22" s="10">
        <f>BQL("SPX Index","best_pe_ratio(fpo='1BF', dates=range("&amp;TEXT(StartLong,"yyyy-mm-dd")&amp;","&amp;TEXT(AsOf,"yyyy-mm-dd")&amp;"), fill=prev)")</f>
        <v/>
      </c>
      <c r="V22" s="10">
        <f>BQL("USGG10YR Index","px_last(dates=range("&amp;TEXT(StartLong,"yyyy-mm-dd")&amp;","&amp;TEXT(AsOf,"yyyy-mm-dd")&amp;"), fill=prev)")</f>
        <v/>
      </c>
    </row>
    <row r="23">
      <c r="A23" s="23">
        <f>IFERROR(INDEX($R$23:$R$823,ROW()-22),"")</f>
        <v/>
      </c>
      <c r="B23">
        <f>IFERROR(INDEX($S$23:$S$823,ROW()-22),"")</f>
        <v/>
      </c>
      <c r="C23">
        <f>IFERROR(INDEX($W$23:$W$823,ROW()-22),"")</f>
        <v/>
      </c>
      <c r="D23" s="24">
        <f>IFERROR(1/B23,"")</f>
        <v/>
      </c>
      <c r="E23" s="25">
        <f>IFERROR((D23-C23/100)*10000,"")</f>
        <v/>
      </c>
    </row>
    <row r="24">
      <c r="A24" s="23">
        <f>IFERROR(INDEX($R$23:$R$823,ROW()-22),"")</f>
        <v/>
      </c>
      <c r="B24">
        <f>IFERROR(INDEX($S$23:$S$823,ROW()-22),"")</f>
        <v/>
      </c>
      <c r="C24">
        <f>IFERROR(INDEX($W$23:$W$823,ROW()-22),"")</f>
        <v/>
      </c>
      <c r="D24" s="24">
        <f>IFERROR(1/B24,"")</f>
        <v/>
      </c>
      <c r="E24" s="25">
        <f>IFERROR((D24-C24/100)*10000,"")</f>
        <v/>
      </c>
    </row>
    <row r="25">
      <c r="A25" s="23">
        <f>IFERROR(INDEX($R$23:$R$823,ROW()-22),"")</f>
        <v/>
      </c>
      <c r="B25">
        <f>IFERROR(INDEX($S$23:$S$823,ROW()-22),"")</f>
        <v/>
      </c>
      <c r="C25">
        <f>IFERROR(INDEX($W$23:$W$823,ROW()-22),"")</f>
        <v/>
      </c>
      <c r="D25" s="24">
        <f>IFERROR(1/B25,"")</f>
        <v/>
      </c>
      <c r="E25" s="25">
        <f>IFERROR((D25-C25/100)*10000,"")</f>
        <v/>
      </c>
    </row>
    <row r="26">
      <c r="A26" s="23">
        <f>IFERROR(INDEX($R$23:$R$823,ROW()-22),"")</f>
        <v/>
      </c>
      <c r="B26">
        <f>IFERROR(INDEX($S$23:$S$823,ROW()-22),"")</f>
        <v/>
      </c>
      <c r="C26">
        <f>IFERROR(INDEX($W$23:$W$823,ROW()-22),"")</f>
        <v/>
      </c>
      <c r="D26" s="24">
        <f>IFERROR(1/B26,"")</f>
        <v/>
      </c>
      <c r="E26" s="25">
        <f>IFERROR((D26-C26/100)*10000,"")</f>
        <v/>
      </c>
    </row>
    <row r="27">
      <c r="A27" s="23">
        <f>IFERROR(INDEX($R$23:$R$823,ROW()-22),"")</f>
        <v/>
      </c>
      <c r="B27">
        <f>IFERROR(INDEX($S$23:$S$823,ROW()-22),"")</f>
        <v/>
      </c>
      <c r="C27">
        <f>IFERROR(INDEX($W$23:$W$823,ROW()-22),"")</f>
        <v/>
      </c>
      <c r="D27" s="24">
        <f>IFERROR(1/B27,"")</f>
        <v/>
      </c>
      <c r="E27" s="25">
        <f>IFERROR((D27-C27/100)*10000,"")</f>
        <v/>
      </c>
    </row>
    <row r="28">
      <c r="A28" s="23">
        <f>IFERROR(INDEX($R$23:$R$823,ROW()-22),"")</f>
        <v/>
      </c>
      <c r="B28">
        <f>IFERROR(INDEX($S$23:$S$823,ROW()-22),"")</f>
        <v/>
      </c>
      <c r="C28">
        <f>IFERROR(INDEX($W$23:$W$823,ROW()-22),"")</f>
        <v/>
      </c>
      <c r="D28" s="24">
        <f>IFERROR(1/B28,"")</f>
        <v/>
      </c>
      <c r="E28" s="25">
        <f>IFERROR((D28-C28/100)*10000,"")</f>
        <v/>
      </c>
    </row>
    <row r="29">
      <c r="A29" s="23">
        <f>IFERROR(INDEX($R$23:$R$823,ROW()-22),"")</f>
        <v/>
      </c>
      <c r="B29">
        <f>IFERROR(INDEX($S$23:$S$823,ROW()-22),"")</f>
        <v/>
      </c>
      <c r="C29">
        <f>IFERROR(INDEX($W$23:$W$823,ROW()-22),"")</f>
        <v/>
      </c>
      <c r="D29" s="24">
        <f>IFERROR(1/B29,"")</f>
        <v/>
      </c>
      <c r="E29" s="25">
        <f>IFERROR((D29-C29/100)*10000,"")</f>
        <v/>
      </c>
    </row>
    <row r="30">
      <c r="A30" s="23">
        <f>IFERROR(INDEX($R$23:$R$823,ROW()-22),"")</f>
        <v/>
      </c>
      <c r="B30">
        <f>IFERROR(INDEX($S$23:$S$823,ROW()-22),"")</f>
        <v/>
      </c>
      <c r="C30">
        <f>IFERROR(INDEX($W$23:$W$823,ROW()-22),"")</f>
        <v/>
      </c>
      <c r="D30" s="24">
        <f>IFERROR(1/B30,"")</f>
        <v/>
      </c>
      <c r="E30" s="25">
        <f>IFERROR((D30-C30/100)*10000,"")</f>
        <v/>
      </c>
    </row>
    <row r="31">
      <c r="A31" s="23">
        <f>IFERROR(INDEX($R$23:$R$823,ROW()-22),"")</f>
        <v/>
      </c>
      <c r="B31">
        <f>IFERROR(INDEX($S$23:$S$823,ROW()-22),"")</f>
        <v/>
      </c>
      <c r="C31">
        <f>IFERROR(INDEX($W$23:$W$823,ROW()-22),"")</f>
        <v/>
      </c>
      <c r="D31" s="24">
        <f>IFERROR(1/B31,"")</f>
        <v/>
      </c>
      <c r="E31" s="25">
        <f>IFERROR((D31-C31/100)*10000,"")</f>
        <v/>
      </c>
    </row>
    <row r="32">
      <c r="A32" s="23">
        <f>IFERROR(INDEX($R$23:$R$823,ROW()-22),"")</f>
        <v/>
      </c>
      <c r="B32">
        <f>IFERROR(INDEX($S$23:$S$823,ROW()-22),"")</f>
        <v/>
      </c>
      <c r="C32">
        <f>IFERROR(INDEX($W$23:$W$823,ROW()-22),"")</f>
        <v/>
      </c>
      <c r="D32" s="24">
        <f>IFERROR(1/B32,"")</f>
        <v/>
      </c>
      <c r="E32" s="25">
        <f>IFERROR((D32-C32/100)*10000,"")</f>
        <v/>
      </c>
    </row>
    <row r="33">
      <c r="A33" s="23">
        <f>IFERROR(INDEX($R$23:$R$823,ROW()-22),"")</f>
        <v/>
      </c>
      <c r="B33">
        <f>IFERROR(INDEX($S$23:$S$823,ROW()-22),"")</f>
        <v/>
      </c>
      <c r="C33">
        <f>IFERROR(INDEX($W$23:$W$823,ROW()-22),"")</f>
        <v/>
      </c>
      <c r="D33" s="24">
        <f>IFERROR(1/B33,"")</f>
        <v/>
      </c>
      <c r="E33" s="25">
        <f>IFERROR((D33-C33/100)*10000,"")</f>
        <v/>
      </c>
    </row>
    <row r="34">
      <c r="A34" s="23">
        <f>IFERROR(INDEX($R$23:$R$823,ROW()-22),"")</f>
        <v/>
      </c>
      <c r="B34">
        <f>IFERROR(INDEX($S$23:$S$823,ROW()-22),"")</f>
        <v/>
      </c>
      <c r="C34">
        <f>IFERROR(INDEX($W$23:$W$823,ROW()-22),"")</f>
        <v/>
      </c>
      <c r="D34" s="24">
        <f>IFERROR(1/B34,"")</f>
        <v/>
      </c>
      <c r="E34" s="25">
        <f>IFERROR((D34-C34/100)*10000,"")</f>
        <v/>
      </c>
    </row>
    <row r="35">
      <c r="A35" s="23">
        <f>IFERROR(INDEX($R$23:$R$823,ROW()-22),"")</f>
        <v/>
      </c>
      <c r="B35">
        <f>IFERROR(INDEX($S$23:$S$823,ROW()-22),"")</f>
        <v/>
      </c>
      <c r="C35">
        <f>IFERROR(INDEX($W$23:$W$823,ROW()-22),"")</f>
        <v/>
      </c>
      <c r="D35" s="24">
        <f>IFERROR(1/B35,"")</f>
        <v/>
      </c>
      <c r="E35" s="25">
        <f>IFERROR((D35-C35/100)*10000,"")</f>
        <v/>
      </c>
    </row>
    <row r="36">
      <c r="A36" s="23">
        <f>IFERROR(INDEX($R$23:$R$823,ROW()-22),"")</f>
        <v/>
      </c>
      <c r="B36">
        <f>IFERROR(INDEX($S$23:$S$823,ROW()-22),"")</f>
        <v/>
      </c>
      <c r="C36">
        <f>IFERROR(INDEX($W$23:$W$823,ROW()-22),"")</f>
        <v/>
      </c>
      <c r="D36" s="24">
        <f>IFERROR(1/B36,"")</f>
        <v/>
      </c>
      <c r="E36" s="25">
        <f>IFERROR((D36-C36/100)*10000,"")</f>
        <v/>
      </c>
    </row>
    <row r="37">
      <c r="A37" s="23">
        <f>IFERROR(INDEX($R$23:$R$823,ROW()-22),"")</f>
        <v/>
      </c>
      <c r="B37">
        <f>IFERROR(INDEX($S$23:$S$823,ROW()-22),"")</f>
        <v/>
      </c>
      <c r="C37">
        <f>IFERROR(INDEX($W$23:$W$823,ROW()-22),"")</f>
        <v/>
      </c>
      <c r="D37" s="24">
        <f>IFERROR(1/B37,"")</f>
        <v/>
      </c>
      <c r="E37" s="25">
        <f>IFERROR((D37-C37/100)*10000,"")</f>
        <v/>
      </c>
    </row>
    <row r="38">
      <c r="A38" s="23">
        <f>IFERROR(INDEX($R$23:$R$823,ROW()-22),"")</f>
        <v/>
      </c>
      <c r="B38">
        <f>IFERROR(INDEX($S$23:$S$823,ROW()-22),"")</f>
        <v/>
      </c>
      <c r="C38">
        <f>IFERROR(INDEX($W$23:$W$823,ROW()-22),"")</f>
        <v/>
      </c>
      <c r="D38" s="24">
        <f>IFERROR(1/B38,"")</f>
        <v/>
      </c>
      <c r="E38" s="25">
        <f>IFERROR((D38-C38/100)*10000,"")</f>
        <v/>
      </c>
    </row>
    <row r="39">
      <c r="A39" s="23">
        <f>IFERROR(INDEX($R$23:$R$823,ROW()-22),"")</f>
        <v/>
      </c>
      <c r="B39">
        <f>IFERROR(INDEX($S$23:$S$823,ROW()-22),"")</f>
        <v/>
      </c>
      <c r="C39">
        <f>IFERROR(INDEX($W$23:$W$823,ROW()-22),"")</f>
        <v/>
      </c>
      <c r="D39" s="24">
        <f>IFERROR(1/B39,"")</f>
        <v/>
      </c>
      <c r="E39" s="25">
        <f>IFERROR((D39-C39/100)*10000,"")</f>
        <v/>
      </c>
    </row>
    <row r="40">
      <c r="A40" s="23">
        <f>IFERROR(INDEX($R$23:$R$823,ROW()-22),"")</f>
        <v/>
      </c>
      <c r="B40">
        <f>IFERROR(INDEX($S$23:$S$823,ROW()-22),"")</f>
        <v/>
      </c>
      <c r="C40">
        <f>IFERROR(INDEX($W$23:$W$823,ROW()-22),"")</f>
        <v/>
      </c>
      <c r="D40" s="24">
        <f>IFERROR(1/B40,"")</f>
        <v/>
      </c>
      <c r="E40" s="25">
        <f>IFERROR((D40-C40/100)*10000,"")</f>
        <v/>
      </c>
    </row>
    <row r="41">
      <c r="A41" s="23">
        <f>IFERROR(INDEX($R$23:$R$823,ROW()-22),"")</f>
        <v/>
      </c>
      <c r="B41">
        <f>IFERROR(INDEX($S$23:$S$823,ROW()-22),"")</f>
        <v/>
      </c>
      <c r="C41">
        <f>IFERROR(INDEX($W$23:$W$823,ROW()-22),"")</f>
        <v/>
      </c>
      <c r="D41" s="24">
        <f>IFERROR(1/B41,"")</f>
        <v/>
      </c>
      <c r="E41" s="25">
        <f>IFERROR((D41-C41/100)*10000,"")</f>
        <v/>
      </c>
    </row>
    <row r="42">
      <c r="A42" s="23">
        <f>IFERROR(INDEX($R$23:$R$823,ROW()-22),"")</f>
        <v/>
      </c>
      <c r="B42">
        <f>IFERROR(INDEX($S$23:$S$823,ROW()-22),"")</f>
        <v/>
      </c>
      <c r="C42">
        <f>IFERROR(INDEX($W$23:$W$823,ROW()-22),"")</f>
        <v/>
      </c>
      <c r="D42" s="24">
        <f>IFERROR(1/B42,"")</f>
        <v/>
      </c>
      <c r="E42" s="25">
        <f>IFERROR((D42-C42/100)*10000,"")</f>
        <v/>
      </c>
    </row>
    <row r="43">
      <c r="A43" s="23">
        <f>IFERROR(INDEX($R$23:$R$823,ROW()-22),"")</f>
        <v/>
      </c>
      <c r="B43">
        <f>IFERROR(INDEX($S$23:$S$823,ROW()-22),"")</f>
        <v/>
      </c>
      <c r="C43">
        <f>IFERROR(INDEX($W$23:$W$823,ROW()-22),"")</f>
        <v/>
      </c>
      <c r="D43" s="24">
        <f>IFERROR(1/B43,"")</f>
        <v/>
      </c>
      <c r="E43" s="25">
        <f>IFERROR((D43-C43/100)*10000,"")</f>
        <v/>
      </c>
    </row>
    <row r="44">
      <c r="A44" s="23">
        <f>IFERROR(INDEX($R$23:$R$823,ROW()-22),"")</f>
        <v/>
      </c>
      <c r="B44">
        <f>IFERROR(INDEX($S$23:$S$823,ROW()-22),"")</f>
        <v/>
      </c>
      <c r="C44">
        <f>IFERROR(INDEX($W$23:$W$823,ROW()-22),"")</f>
        <v/>
      </c>
      <c r="D44" s="24">
        <f>IFERROR(1/B44,"")</f>
        <v/>
      </c>
      <c r="E44" s="25">
        <f>IFERROR((D44-C44/100)*10000,"")</f>
        <v/>
      </c>
    </row>
    <row r="45">
      <c r="A45" s="23">
        <f>IFERROR(INDEX($R$23:$R$823,ROW()-22),"")</f>
        <v/>
      </c>
      <c r="B45">
        <f>IFERROR(INDEX($S$23:$S$823,ROW()-22),"")</f>
        <v/>
      </c>
      <c r="C45">
        <f>IFERROR(INDEX($W$23:$W$823,ROW()-22),"")</f>
        <v/>
      </c>
      <c r="D45" s="24">
        <f>IFERROR(1/B45,"")</f>
        <v/>
      </c>
      <c r="E45" s="25">
        <f>IFERROR((D45-C45/100)*10000,"")</f>
        <v/>
      </c>
    </row>
    <row r="46">
      <c r="A46" s="23">
        <f>IFERROR(INDEX($R$23:$R$823,ROW()-22),"")</f>
        <v/>
      </c>
      <c r="B46">
        <f>IFERROR(INDEX($S$23:$S$823,ROW()-22),"")</f>
        <v/>
      </c>
      <c r="C46">
        <f>IFERROR(INDEX($W$23:$W$823,ROW()-22),"")</f>
        <v/>
      </c>
      <c r="D46" s="24">
        <f>IFERROR(1/B46,"")</f>
        <v/>
      </c>
      <c r="E46" s="25">
        <f>IFERROR((D46-C46/100)*10000,"")</f>
        <v/>
      </c>
    </row>
    <row r="47">
      <c r="A47" s="23">
        <f>IFERROR(INDEX($R$23:$R$823,ROW()-22),"")</f>
        <v/>
      </c>
      <c r="B47">
        <f>IFERROR(INDEX($S$23:$S$823,ROW()-22),"")</f>
        <v/>
      </c>
      <c r="C47">
        <f>IFERROR(INDEX($W$23:$W$823,ROW()-22),"")</f>
        <v/>
      </c>
      <c r="D47" s="24">
        <f>IFERROR(1/B47,"")</f>
        <v/>
      </c>
      <c r="E47" s="25">
        <f>IFERROR((D47-C47/100)*10000,"")</f>
        <v/>
      </c>
    </row>
    <row r="48">
      <c r="A48" s="23">
        <f>IFERROR(INDEX($R$23:$R$823,ROW()-22),"")</f>
        <v/>
      </c>
      <c r="B48">
        <f>IFERROR(INDEX($S$23:$S$823,ROW()-22),"")</f>
        <v/>
      </c>
      <c r="C48">
        <f>IFERROR(INDEX($W$23:$W$823,ROW()-22),"")</f>
        <v/>
      </c>
      <c r="D48" s="24">
        <f>IFERROR(1/B48,"")</f>
        <v/>
      </c>
      <c r="E48" s="25">
        <f>IFERROR((D48-C48/100)*10000,"")</f>
        <v/>
      </c>
    </row>
    <row r="49">
      <c r="A49" s="23">
        <f>IFERROR(INDEX($R$23:$R$823,ROW()-22),"")</f>
        <v/>
      </c>
      <c r="B49">
        <f>IFERROR(INDEX($S$23:$S$823,ROW()-22),"")</f>
        <v/>
      </c>
      <c r="C49">
        <f>IFERROR(INDEX($W$23:$W$823,ROW()-22),"")</f>
        <v/>
      </c>
      <c r="D49" s="24">
        <f>IFERROR(1/B49,"")</f>
        <v/>
      </c>
      <c r="E49" s="25">
        <f>IFERROR((D49-C49/100)*10000,"")</f>
        <v/>
      </c>
    </row>
    <row r="50">
      <c r="A50" s="23">
        <f>IFERROR(INDEX($R$23:$R$823,ROW()-22),"")</f>
        <v/>
      </c>
      <c r="B50">
        <f>IFERROR(INDEX($S$23:$S$823,ROW()-22),"")</f>
        <v/>
      </c>
      <c r="C50">
        <f>IFERROR(INDEX($W$23:$W$823,ROW()-22),"")</f>
        <v/>
      </c>
      <c r="D50" s="24">
        <f>IFERROR(1/B50,"")</f>
        <v/>
      </c>
      <c r="E50" s="25">
        <f>IFERROR((D50-C50/100)*10000,"")</f>
        <v/>
      </c>
    </row>
    <row r="51">
      <c r="A51" s="23">
        <f>IFERROR(INDEX($R$23:$R$823,ROW()-22),"")</f>
        <v/>
      </c>
      <c r="B51">
        <f>IFERROR(INDEX($S$23:$S$823,ROW()-22),"")</f>
        <v/>
      </c>
      <c r="C51">
        <f>IFERROR(INDEX($W$23:$W$823,ROW()-22),"")</f>
        <v/>
      </c>
      <c r="D51" s="24">
        <f>IFERROR(1/B51,"")</f>
        <v/>
      </c>
      <c r="E51" s="25">
        <f>IFERROR((D51-C51/100)*10000,"")</f>
        <v/>
      </c>
    </row>
    <row r="52">
      <c r="A52" s="23">
        <f>IFERROR(INDEX($R$23:$R$823,ROW()-22),"")</f>
        <v/>
      </c>
      <c r="B52">
        <f>IFERROR(INDEX($S$23:$S$823,ROW()-22),"")</f>
        <v/>
      </c>
      <c r="C52">
        <f>IFERROR(INDEX($W$23:$W$823,ROW()-22),"")</f>
        <v/>
      </c>
      <c r="D52" s="24">
        <f>IFERROR(1/B52,"")</f>
        <v/>
      </c>
      <c r="E52" s="25">
        <f>IFERROR((D52-C52/100)*10000,"")</f>
        <v/>
      </c>
    </row>
    <row r="53">
      <c r="A53" s="23">
        <f>IFERROR(INDEX($R$23:$R$823,ROW()-22),"")</f>
        <v/>
      </c>
      <c r="B53">
        <f>IFERROR(INDEX($S$23:$S$823,ROW()-22),"")</f>
        <v/>
      </c>
      <c r="C53">
        <f>IFERROR(INDEX($W$23:$W$823,ROW()-22),"")</f>
        <v/>
      </c>
      <c r="D53" s="24">
        <f>IFERROR(1/B53,"")</f>
        <v/>
      </c>
      <c r="E53" s="25">
        <f>IFERROR((D53-C53/100)*10000,"")</f>
        <v/>
      </c>
    </row>
    <row r="54">
      <c r="A54" s="23">
        <f>IFERROR(INDEX($R$23:$R$823,ROW()-22),"")</f>
        <v/>
      </c>
      <c r="B54">
        <f>IFERROR(INDEX($S$23:$S$823,ROW()-22),"")</f>
        <v/>
      </c>
      <c r="C54">
        <f>IFERROR(INDEX($W$23:$W$823,ROW()-22),"")</f>
        <v/>
      </c>
      <c r="D54" s="24">
        <f>IFERROR(1/B54,"")</f>
        <v/>
      </c>
      <c r="E54" s="25">
        <f>IFERROR((D54-C54/100)*10000,"")</f>
        <v/>
      </c>
    </row>
    <row r="55">
      <c r="A55" s="23">
        <f>IFERROR(INDEX($R$23:$R$823,ROW()-22),"")</f>
        <v/>
      </c>
      <c r="B55">
        <f>IFERROR(INDEX($S$23:$S$823,ROW()-22),"")</f>
        <v/>
      </c>
      <c r="C55">
        <f>IFERROR(INDEX($W$23:$W$823,ROW()-22),"")</f>
        <v/>
      </c>
      <c r="D55" s="24">
        <f>IFERROR(1/B55,"")</f>
        <v/>
      </c>
      <c r="E55" s="25">
        <f>IFERROR((D55-C55/100)*10000,"")</f>
        <v/>
      </c>
    </row>
    <row r="56">
      <c r="A56" s="23">
        <f>IFERROR(INDEX($R$23:$R$823,ROW()-22),"")</f>
        <v/>
      </c>
      <c r="B56">
        <f>IFERROR(INDEX($S$23:$S$823,ROW()-22),"")</f>
        <v/>
      </c>
      <c r="C56">
        <f>IFERROR(INDEX($W$23:$W$823,ROW()-22),"")</f>
        <v/>
      </c>
      <c r="D56" s="24">
        <f>IFERROR(1/B56,"")</f>
        <v/>
      </c>
      <c r="E56" s="25">
        <f>IFERROR((D56-C56/100)*10000,"")</f>
        <v/>
      </c>
    </row>
    <row r="57">
      <c r="A57" s="23">
        <f>IFERROR(INDEX($R$23:$R$823,ROW()-22),"")</f>
        <v/>
      </c>
      <c r="B57">
        <f>IFERROR(INDEX($S$23:$S$823,ROW()-22),"")</f>
        <v/>
      </c>
      <c r="C57">
        <f>IFERROR(INDEX($W$23:$W$823,ROW()-22),"")</f>
        <v/>
      </c>
      <c r="D57" s="24">
        <f>IFERROR(1/B57,"")</f>
        <v/>
      </c>
      <c r="E57" s="25">
        <f>IFERROR((D57-C57/100)*10000,"")</f>
        <v/>
      </c>
    </row>
    <row r="58">
      <c r="A58" s="23">
        <f>IFERROR(INDEX($R$23:$R$823,ROW()-22),"")</f>
        <v/>
      </c>
      <c r="B58">
        <f>IFERROR(INDEX($S$23:$S$823,ROW()-22),"")</f>
        <v/>
      </c>
      <c r="C58">
        <f>IFERROR(INDEX($W$23:$W$823,ROW()-22),"")</f>
        <v/>
      </c>
      <c r="D58" s="24">
        <f>IFERROR(1/B58,"")</f>
        <v/>
      </c>
      <c r="E58" s="25">
        <f>IFERROR((D58-C58/100)*10000,"")</f>
        <v/>
      </c>
    </row>
    <row r="59">
      <c r="A59" s="23">
        <f>IFERROR(INDEX($R$23:$R$823,ROW()-22),"")</f>
        <v/>
      </c>
      <c r="B59">
        <f>IFERROR(INDEX($S$23:$S$823,ROW()-22),"")</f>
        <v/>
      </c>
      <c r="C59">
        <f>IFERROR(INDEX($W$23:$W$823,ROW()-22),"")</f>
        <v/>
      </c>
      <c r="D59" s="24">
        <f>IFERROR(1/B59,"")</f>
        <v/>
      </c>
      <c r="E59" s="25">
        <f>IFERROR((D59-C59/100)*10000,"")</f>
        <v/>
      </c>
    </row>
    <row r="60">
      <c r="A60" s="23">
        <f>IFERROR(INDEX($R$23:$R$823,ROW()-22),"")</f>
        <v/>
      </c>
      <c r="B60">
        <f>IFERROR(INDEX($S$23:$S$823,ROW()-22),"")</f>
        <v/>
      </c>
      <c r="C60">
        <f>IFERROR(INDEX($W$23:$W$823,ROW()-22),"")</f>
        <v/>
      </c>
      <c r="D60" s="24">
        <f>IFERROR(1/B60,"")</f>
        <v/>
      </c>
      <c r="E60" s="25">
        <f>IFERROR((D60-C60/100)*10000,"")</f>
        <v/>
      </c>
    </row>
    <row r="61">
      <c r="A61" s="23">
        <f>IFERROR(INDEX($R$23:$R$823,ROW()-22),"")</f>
        <v/>
      </c>
      <c r="B61">
        <f>IFERROR(INDEX($S$23:$S$823,ROW()-22),"")</f>
        <v/>
      </c>
      <c r="C61">
        <f>IFERROR(INDEX($W$23:$W$823,ROW()-22),"")</f>
        <v/>
      </c>
      <c r="D61" s="24">
        <f>IFERROR(1/B61,"")</f>
        <v/>
      </c>
      <c r="E61" s="25">
        <f>IFERROR((D61-C61/100)*10000,"")</f>
        <v/>
      </c>
    </row>
    <row r="62">
      <c r="A62" s="23">
        <f>IFERROR(INDEX($R$23:$R$823,ROW()-22),"")</f>
        <v/>
      </c>
      <c r="B62">
        <f>IFERROR(INDEX($S$23:$S$823,ROW()-22),"")</f>
        <v/>
      </c>
      <c r="C62">
        <f>IFERROR(INDEX($W$23:$W$823,ROW()-22),"")</f>
        <v/>
      </c>
      <c r="D62" s="24">
        <f>IFERROR(1/B62,"")</f>
        <v/>
      </c>
      <c r="E62" s="25">
        <f>IFERROR((D62-C62/100)*10000,"")</f>
        <v/>
      </c>
    </row>
    <row r="63">
      <c r="A63" s="23">
        <f>IFERROR(INDEX($R$23:$R$823,ROW()-22),"")</f>
        <v/>
      </c>
      <c r="B63">
        <f>IFERROR(INDEX($S$23:$S$823,ROW()-22),"")</f>
        <v/>
      </c>
      <c r="C63">
        <f>IFERROR(INDEX($W$23:$W$823,ROW()-22),"")</f>
        <v/>
      </c>
      <c r="D63" s="24">
        <f>IFERROR(1/B63,"")</f>
        <v/>
      </c>
      <c r="E63" s="25">
        <f>IFERROR((D63-C63/100)*10000,"")</f>
        <v/>
      </c>
    </row>
    <row r="64">
      <c r="A64" s="23">
        <f>IFERROR(INDEX($R$23:$R$823,ROW()-22),"")</f>
        <v/>
      </c>
      <c r="B64">
        <f>IFERROR(INDEX($S$23:$S$823,ROW()-22),"")</f>
        <v/>
      </c>
      <c r="C64">
        <f>IFERROR(INDEX($W$23:$W$823,ROW()-22),"")</f>
        <v/>
      </c>
      <c r="D64" s="24">
        <f>IFERROR(1/B64,"")</f>
        <v/>
      </c>
      <c r="E64" s="25">
        <f>IFERROR((D64-C64/100)*10000,"")</f>
        <v/>
      </c>
    </row>
    <row r="65">
      <c r="A65" s="23">
        <f>IFERROR(INDEX($R$23:$R$823,ROW()-22),"")</f>
        <v/>
      </c>
      <c r="B65">
        <f>IFERROR(INDEX($S$23:$S$823,ROW()-22),"")</f>
        <v/>
      </c>
      <c r="C65">
        <f>IFERROR(INDEX($W$23:$W$823,ROW()-22),"")</f>
        <v/>
      </c>
      <c r="D65" s="24">
        <f>IFERROR(1/B65,"")</f>
        <v/>
      </c>
      <c r="E65" s="25">
        <f>IFERROR((D65-C65/100)*10000,"")</f>
        <v/>
      </c>
    </row>
    <row r="66">
      <c r="A66" s="23">
        <f>IFERROR(INDEX($R$23:$R$823,ROW()-22),"")</f>
        <v/>
      </c>
      <c r="B66">
        <f>IFERROR(INDEX($S$23:$S$823,ROW()-22),"")</f>
        <v/>
      </c>
      <c r="C66">
        <f>IFERROR(INDEX($W$23:$W$823,ROW()-22),"")</f>
        <v/>
      </c>
      <c r="D66" s="24">
        <f>IFERROR(1/B66,"")</f>
        <v/>
      </c>
      <c r="E66" s="25">
        <f>IFERROR((D66-C66/100)*10000,"")</f>
        <v/>
      </c>
    </row>
    <row r="67">
      <c r="A67" s="23">
        <f>IFERROR(INDEX($R$23:$R$823,ROW()-22),"")</f>
        <v/>
      </c>
      <c r="B67">
        <f>IFERROR(INDEX($S$23:$S$823,ROW()-22),"")</f>
        <v/>
      </c>
      <c r="C67">
        <f>IFERROR(INDEX($W$23:$W$823,ROW()-22),"")</f>
        <v/>
      </c>
      <c r="D67" s="24">
        <f>IFERROR(1/B67,"")</f>
        <v/>
      </c>
      <c r="E67" s="25">
        <f>IFERROR((D67-C67/100)*10000,"")</f>
        <v/>
      </c>
    </row>
    <row r="68">
      <c r="A68" s="23">
        <f>IFERROR(INDEX($R$23:$R$823,ROW()-22),"")</f>
        <v/>
      </c>
      <c r="B68">
        <f>IFERROR(INDEX($S$23:$S$823,ROW()-22),"")</f>
        <v/>
      </c>
      <c r="C68">
        <f>IFERROR(INDEX($W$23:$W$823,ROW()-22),"")</f>
        <v/>
      </c>
      <c r="D68" s="24">
        <f>IFERROR(1/B68,"")</f>
        <v/>
      </c>
      <c r="E68" s="25">
        <f>IFERROR((D68-C68/100)*10000,"")</f>
        <v/>
      </c>
    </row>
    <row r="69">
      <c r="A69" s="23">
        <f>IFERROR(INDEX($R$23:$R$823,ROW()-22),"")</f>
        <v/>
      </c>
      <c r="B69">
        <f>IFERROR(INDEX($S$23:$S$823,ROW()-22),"")</f>
        <v/>
      </c>
      <c r="C69">
        <f>IFERROR(INDEX($W$23:$W$823,ROW()-22),"")</f>
        <v/>
      </c>
      <c r="D69" s="24">
        <f>IFERROR(1/B69,"")</f>
        <v/>
      </c>
      <c r="E69" s="25">
        <f>IFERROR((D69-C69/100)*10000,"")</f>
        <v/>
      </c>
    </row>
    <row r="70">
      <c r="A70" s="23">
        <f>IFERROR(INDEX($R$23:$R$823,ROW()-22),"")</f>
        <v/>
      </c>
      <c r="B70">
        <f>IFERROR(INDEX($S$23:$S$823,ROW()-22),"")</f>
        <v/>
      </c>
      <c r="C70">
        <f>IFERROR(INDEX($W$23:$W$823,ROW()-22),"")</f>
        <v/>
      </c>
      <c r="D70" s="24">
        <f>IFERROR(1/B70,"")</f>
        <v/>
      </c>
      <c r="E70" s="25">
        <f>IFERROR((D70-C70/100)*10000,"")</f>
        <v/>
      </c>
    </row>
    <row r="71">
      <c r="A71" s="23">
        <f>IFERROR(INDEX($R$23:$R$823,ROW()-22),"")</f>
        <v/>
      </c>
      <c r="B71">
        <f>IFERROR(INDEX($S$23:$S$823,ROW()-22),"")</f>
        <v/>
      </c>
      <c r="C71">
        <f>IFERROR(INDEX($W$23:$W$823,ROW()-22),"")</f>
        <v/>
      </c>
      <c r="D71" s="24">
        <f>IFERROR(1/B71,"")</f>
        <v/>
      </c>
      <c r="E71" s="25">
        <f>IFERROR((D71-C71/100)*10000,"")</f>
        <v/>
      </c>
    </row>
    <row r="72">
      <c r="A72" s="23">
        <f>IFERROR(INDEX($R$23:$R$823,ROW()-22),"")</f>
        <v/>
      </c>
      <c r="B72">
        <f>IFERROR(INDEX($S$23:$S$823,ROW()-22),"")</f>
        <v/>
      </c>
      <c r="C72">
        <f>IFERROR(INDEX($W$23:$W$823,ROW()-22),"")</f>
        <v/>
      </c>
      <c r="D72" s="24">
        <f>IFERROR(1/B72,"")</f>
        <v/>
      </c>
      <c r="E72" s="25">
        <f>IFERROR((D72-C72/100)*10000,"")</f>
        <v/>
      </c>
    </row>
    <row r="73">
      <c r="A73" s="23">
        <f>IFERROR(INDEX($R$23:$R$823,ROW()-22),"")</f>
        <v/>
      </c>
      <c r="B73">
        <f>IFERROR(INDEX($S$23:$S$823,ROW()-22),"")</f>
        <v/>
      </c>
      <c r="C73">
        <f>IFERROR(INDEX($W$23:$W$823,ROW()-22),"")</f>
        <v/>
      </c>
      <c r="D73" s="24">
        <f>IFERROR(1/B73,"")</f>
        <v/>
      </c>
      <c r="E73" s="25">
        <f>IFERROR((D73-C73/100)*10000,"")</f>
        <v/>
      </c>
    </row>
    <row r="74">
      <c r="A74" s="23">
        <f>IFERROR(INDEX($R$23:$R$823,ROW()-22),"")</f>
        <v/>
      </c>
      <c r="B74">
        <f>IFERROR(INDEX($S$23:$S$823,ROW()-22),"")</f>
        <v/>
      </c>
      <c r="C74">
        <f>IFERROR(INDEX($W$23:$W$823,ROW()-22),"")</f>
        <v/>
      </c>
      <c r="D74" s="24">
        <f>IFERROR(1/B74,"")</f>
        <v/>
      </c>
      <c r="E74" s="25">
        <f>IFERROR((D74-C74/100)*10000,"")</f>
        <v/>
      </c>
    </row>
    <row r="75">
      <c r="A75" s="23">
        <f>IFERROR(INDEX($R$23:$R$823,ROW()-22),"")</f>
        <v/>
      </c>
      <c r="B75">
        <f>IFERROR(INDEX($S$23:$S$823,ROW()-22),"")</f>
        <v/>
      </c>
      <c r="C75">
        <f>IFERROR(INDEX($W$23:$W$823,ROW()-22),"")</f>
        <v/>
      </c>
      <c r="D75" s="24">
        <f>IFERROR(1/B75,"")</f>
        <v/>
      </c>
      <c r="E75" s="25">
        <f>IFERROR((D75-C75/100)*10000,"")</f>
        <v/>
      </c>
    </row>
    <row r="76">
      <c r="A76" s="23">
        <f>IFERROR(INDEX($R$23:$R$823,ROW()-22),"")</f>
        <v/>
      </c>
      <c r="B76">
        <f>IFERROR(INDEX($S$23:$S$823,ROW()-22),"")</f>
        <v/>
      </c>
      <c r="C76">
        <f>IFERROR(INDEX($W$23:$W$823,ROW()-22),"")</f>
        <v/>
      </c>
      <c r="D76" s="24">
        <f>IFERROR(1/B76,"")</f>
        <v/>
      </c>
      <c r="E76" s="25">
        <f>IFERROR((D76-C76/100)*10000,"")</f>
        <v/>
      </c>
    </row>
    <row r="77">
      <c r="A77" s="23">
        <f>IFERROR(INDEX($R$23:$R$823,ROW()-22),"")</f>
        <v/>
      </c>
      <c r="B77">
        <f>IFERROR(INDEX($S$23:$S$823,ROW()-22),"")</f>
        <v/>
      </c>
      <c r="C77">
        <f>IFERROR(INDEX($W$23:$W$823,ROW()-22),"")</f>
        <v/>
      </c>
      <c r="D77" s="24">
        <f>IFERROR(1/B77,"")</f>
        <v/>
      </c>
      <c r="E77" s="25">
        <f>IFERROR((D77-C77/100)*10000,"")</f>
        <v/>
      </c>
    </row>
    <row r="78">
      <c r="A78" s="23">
        <f>IFERROR(INDEX($R$23:$R$823,ROW()-22),"")</f>
        <v/>
      </c>
      <c r="B78">
        <f>IFERROR(INDEX($S$23:$S$823,ROW()-22),"")</f>
        <v/>
      </c>
      <c r="C78">
        <f>IFERROR(INDEX($W$23:$W$823,ROW()-22),"")</f>
        <v/>
      </c>
      <c r="D78" s="24">
        <f>IFERROR(1/B78,"")</f>
        <v/>
      </c>
      <c r="E78" s="25">
        <f>IFERROR((D78-C78/100)*10000,"")</f>
        <v/>
      </c>
    </row>
    <row r="79">
      <c r="A79" s="23">
        <f>IFERROR(INDEX($R$23:$R$823,ROW()-22),"")</f>
        <v/>
      </c>
      <c r="B79">
        <f>IFERROR(INDEX($S$23:$S$823,ROW()-22),"")</f>
        <v/>
      </c>
      <c r="C79">
        <f>IFERROR(INDEX($W$23:$W$823,ROW()-22),"")</f>
        <v/>
      </c>
      <c r="D79" s="24">
        <f>IFERROR(1/B79,"")</f>
        <v/>
      </c>
      <c r="E79" s="25">
        <f>IFERROR((D79-C79/100)*10000,"")</f>
        <v/>
      </c>
    </row>
    <row r="80">
      <c r="A80" s="23">
        <f>IFERROR(INDEX($R$23:$R$823,ROW()-22),"")</f>
        <v/>
      </c>
      <c r="B80">
        <f>IFERROR(INDEX($S$23:$S$823,ROW()-22),"")</f>
        <v/>
      </c>
      <c r="C80">
        <f>IFERROR(INDEX($W$23:$W$823,ROW()-22),"")</f>
        <v/>
      </c>
      <c r="D80" s="24">
        <f>IFERROR(1/B80,"")</f>
        <v/>
      </c>
      <c r="E80" s="25">
        <f>IFERROR((D80-C80/100)*10000,"")</f>
        <v/>
      </c>
    </row>
    <row r="81">
      <c r="A81" s="23">
        <f>IFERROR(INDEX($R$23:$R$823,ROW()-22),"")</f>
        <v/>
      </c>
      <c r="B81">
        <f>IFERROR(INDEX($S$23:$S$823,ROW()-22),"")</f>
        <v/>
      </c>
      <c r="C81">
        <f>IFERROR(INDEX($W$23:$W$823,ROW()-22),"")</f>
        <v/>
      </c>
      <c r="D81" s="24">
        <f>IFERROR(1/B81,"")</f>
        <v/>
      </c>
      <c r="E81" s="25">
        <f>IFERROR((D81-C81/100)*10000,"")</f>
        <v/>
      </c>
    </row>
    <row r="82">
      <c r="A82" s="23">
        <f>IFERROR(INDEX($R$23:$R$823,ROW()-22),"")</f>
        <v/>
      </c>
      <c r="B82">
        <f>IFERROR(INDEX($S$23:$S$823,ROW()-22),"")</f>
        <v/>
      </c>
      <c r="C82">
        <f>IFERROR(INDEX($W$23:$W$823,ROW()-22),"")</f>
        <v/>
      </c>
      <c r="D82" s="24">
        <f>IFERROR(1/B82,"")</f>
        <v/>
      </c>
      <c r="E82" s="25">
        <f>IFERROR((D82-C82/100)*10000,"")</f>
        <v/>
      </c>
    </row>
    <row r="83">
      <c r="A83" s="23">
        <f>IFERROR(INDEX($R$23:$R$823,ROW()-22),"")</f>
        <v/>
      </c>
      <c r="B83">
        <f>IFERROR(INDEX($S$23:$S$823,ROW()-22),"")</f>
        <v/>
      </c>
      <c r="C83">
        <f>IFERROR(INDEX($W$23:$W$823,ROW()-22),"")</f>
        <v/>
      </c>
      <c r="D83" s="24">
        <f>IFERROR(1/B83,"")</f>
        <v/>
      </c>
      <c r="E83" s="25">
        <f>IFERROR((D83-C83/100)*10000,"")</f>
        <v/>
      </c>
    </row>
    <row r="84">
      <c r="A84" s="23">
        <f>IFERROR(INDEX($R$23:$R$823,ROW()-22),"")</f>
        <v/>
      </c>
      <c r="B84">
        <f>IFERROR(INDEX($S$23:$S$823,ROW()-22),"")</f>
        <v/>
      </c>
      <c r="C84">
        <f>IFERROR(INDEX($W$23:$W$823,ROW()-22),"")</f>
        <v/>
      </c>
      <c r="D84" s="24">
        <f>IFERROR(1/B84,"")</f>
        <v/>
      </c>
      <c r="E84" s="25">
        <f>IFERROR((D84-C84/100)*10000,"")</f>
        <v/>
      </c>
    </row>
    <row r="85">
      <c r="A85" s="23">
        <f>IFERROR(INDEX($R$23:$R$823,ROW()-22),"")</f>
        <v/>
      </c>
      <c r="B85">
        <f>IFERROR(INDEX($S$23:$S$823,ROW()-22),"")</f>
        <v/>
      </c>
      <c r="C85">
        <f>IFERROR(INDEX($W$23:$W$823,ROW()-22),"")</f>
        <v/>
      </c>
      <c r="D85" s="24">
        <f>IFERROR(1/B85,"")</f>
        <v/>
      </c>
      <c r="E85" s="25">
        <f>IFERROR((D85-C85/100)*10000,"")</f>
        <v/>
      </c>
    </row>
    <row r="86">
      <c r="A86" s="23">
        <f>IFERROR(INDEX($R$23:$R$823,ROW()-22),"")</f>
        <v/>
      </c>
      <c r="B86">
        <f>IFERROR(INDEX($S$23:$S$823,ROW()-22),"")</f>
        <v/>
      </c>
      <c r="C86">
        <f>IFERROR(INDEX($W$23:$W$823,ROW()-22),"")</f>
        <v/>
      </c>
      <c r="D86" s="24">
        <f>IFERROR(1/B86,"")</f>
        <v/>
      </c>
      <c r="E86" s="25">
        <f>IFERROR((D86-C86/100)*10000,"")</f>
        <v/>
      </c>
    </row>
    <row r="87">
      <c r="A87" s="23">
        <f>IFERROR(INDEX($R$23:$R$823,ROW()-22),"")</f>
        <v/>
      </c>
      <c r="B87">
        <f>IFERROR(INDEX($S$23:$S$823,ROW()-22),"")</f>
        <v/>
      </c>
      <c r="C87">
        <f>IFERROR(INDEX($W$23:$W$823,ROW()-22),"")</f>
        <v/>
      </c>
      <c r="D87" s="24">
        <f>IFERROR(1/B87,"")</f>
        <v/>
      </c>
      <c r="E87" s="25">
        <f>IFERROR((D87-C87/100)*10000,"")</f>
        <v/>
      </c>
    </row>
    <row r="88">
      <c r="A88" s="23">
        <f>IFERROR(INDEX($R$23:$R$823,ROW()-22),"")</f>
        <v/>
      </c>
      <c r="B88">
        <f>IFERROR(INDEX($S$23:$S$823,ROW()-22),"")</f>
        <v/>
      </c>
      <c r="C88">
        <f>IFERROR(INDEX($W$23:$W$823,ROW()-22),"")</f>
        <v/>
      </c>
      <c r="D88" s="24">
        <f>IFERROR(1/B88,"")</f>
        <v/>
      </c>
      <c r="E88" s="25">
        <f>IFERROR((D88-C88/100)*10000,"")</f>
        <v/>
      </c>
    </row>
    <row r="89">
      <c r="A89" s="23">
        <f>IFERROR(INDEX($R$23:$R$823,ROW()-22),"")</f>
        <v/>
      </c>
      <c r="B89">
        <f>IFERROR(INDEX($S$23:$S$823,ROW()-22),"")</f>
        <v/>
      </c>
      <c r="C89">
        <f>IFERROR(INDEX($W$23:$W$823,ROW()-22),"")</f>
        <v/>
      </c>
      <c r="D89" s="24">
        <f>IFERROR(1/B89,"")</f>
        <v/>
      </c>
      <c r="E89" s="25">
        <f>IFERROR((D89-C89/100)*10000,"")</f>
        <v/>
      </c>
    </row>
    <row r="90">
      <c r="A90" s="23">
        <f>IFERROR(INDEX($R$23:$R$823,ROW()-22),"")</f>
        <v/>
      </c>
      <c r="B90">
        <f>IFERROR(INDEX($S$23:$S$823,ROW()-22),"")</f>
        <v/>
      </c>
      <c r="C90">
        <f>IFERROR(INDEX($W$23:$W$823,ROW()-22),"")</f>
        <v/>
      </c>
      <c r="D90" s="24">
        <f>IFERROR(1/B90,"")</f>
        <v/>
      </c>
      <c r="E90" s="25">
        <f>IFERROR((D90-C90/100)*10000,"")</f>
        <v/>
      </c>
    </row>
    <row r="91">
      <c r="A91" s="23">
        <f>IFERROR(INDEX($R$23:$R$823,ROW()-22),"")</f>
        <v/>
      </c>
      <c r="B91">
        <f>IFERROR(INDEX($S$23:$S$823,ROW()-22),"")</f>
        <v/>
      </c>
      <c r="C91">
        <f>IFERROR(INDEX($W$23:$W$823,ROW()-22),"")</f>
        <v/>
      </c>
      <c r="D91" s="24">
        <f>IFERROR(1/B91,"")</f>
        <v/>
      </c>
      <c r="E91" s="25">
        <f>IFERROR((D91-C91/100)*10000,"")</f>
        <v/>
      </c>
    </row>
    <row r="92">
      <c r="A92" s="23">
        <f>IFERROR(INDEX($R$23:$R$823,ROW()-22),"")</f>
        <v/>
      </c>
      <c r="B92">
        <f>IFERROR(INDEX($S$23:$S$823,ROW()-22),"")</f>
        <v/>
      </c>
      <c r="C92">
        <f>IFERROR(INDEX($W$23:$W$823,ROW()-22),"")</f>
        <v/>
      </c>
      <c r="D92" s="24">
        <f>IFERROR(1/B92,"")</f>
        <v/>
      </c>
      <c r="E92" s="25">
        <f>IFERROR((D92-C92/100)*10000,"")</f>
        <v/>
      </c>
    </row>
    <row r="93">
      <c r="A93" s="23">
        <f>IFERROR(INDEX($R$23:$R$823,ROW()-22),"")</f>
        <v/>
      </c>
      <c r="B93">
        <f>IFERROR(INDEX($S$23:$S$823,ROW()-22),"")</f>
        <v/>
      </c>
      <c r="C93">
        <f>IFERROR(INDEX($W$23:$W$823,ROW()-22),"")</f>
        <v/>
      </c>
      <c r="D93" s="24">
        <f>IFERROR(1/B93,"")</f>
        <v/>
      </c>
      <c r="E93" s="25">
        <f>IFERROR((D93-C93/100)*10000,"")</f>
        <v/>
      </c>
    </row>
    <row r="94">
      <c r="A94" s="23">
        <f>IFERROR(INDEX($R$23:$R$823,ROW()-22),"")</f>
        <v/>
      </c>
      <c r="B94">
        <f>IFERROR(INDEX($S$23:$S$823,ROW()-22),"")</f>
        <v/>
      </c>
      <c r="C94">
        <f>IFERROR(INDEX($W$23:$W$823,ROW()-22),"")</f>
        <v/>
      </c>
      <c r="D94" s="24">
        <f>IFERROR(1/B94,"")</f>
        <v/>
      </c>
      <c r="E94" s="25">
        <f>IFERROR((D94-C94/100)*10000,"")</f>
        <v/>
      </c>
    </row>
    <row r="95">
      <c r="A95" s="23">
        <f>IFERROR(INDEX($R$23:$R$823,ROW()-22),"")</f>
        <v/>
      </c>
      <c r="B95">
        <f>IFERROR(INDEX($S$23:$S$823,ROW()-22),"")</f>
        <v/>
      </c>
      <c r="C95">
        <f>IFERROR(INDEX($W$23:$W$823,ROW()-22),"")</f>
        <v/>
      </c>
      <c r="D95" s="24">
        <f>IFERROR(1/B95,"")</f>
        <v/>
      </c>
      <c r="E95" s="25">
        <f>IFERROR((D95-C95/100)*10000,"")</f>
        <v/>
      </c>
    </row>
    <row r="96">
      <c r="A96" s="23">
        <f>IFERROR(INDEX($R$23:$R$823,ROW()-22),"")</f>
        <v/>
      </c>
      <c r="B96">
        <f>IFERROR(INDEX($S$23:$S$823,ROW()-22),"")</f>
        <v/>
      </c>
      <c r="C96">
        <f>IFERROR(INDEX($W$23:$W$823,ROW()-22),"")</f>
        <v/>
      </c>
      <c r="D96" s="24">
        <f>IFERROR(1/B96,"")</f>
        <v/>
      </c>
      <c r="E96" s="25">
        <f>IFERROR((D96-C96/100)*10000,"")</f>
        <v/>
      </c>
    </row>
    <row r="97">
      <c r="A97" s="23">
        <f>IFERROR(INDEX($R$23:$R$823,ROW()-22),"")</f>
        <v/>
      </c>
      <c r="B97">
        <f>IFERROR(INDEX($S$23:$S$823,ROW()-22),"")</f>
        <v/>
      </c>
      <c r="C97">
        <f>IFERROR(INDEX($W$23:$W$823,ROW()-22),"")</f>
        <v/>
      </c>
      <c r="D97" s="24">
        <f>IFERROR(1/B97,"")</f>
        <v/>
      </c>
      <c r="E97" s="25">
        <f>IFERROR((D97-C97/100)*10000,"")</f>
        <v/>
      </c>
    </row>
    <row r="98">
      <c r="A98" s="23">
        <f>IFERROR(INDEX($R$23:$R$823,ROW()-22),"")</f>
        <v/>
      </c>
      <c r="B98">
        <f>IFERROR(INDEX($S$23:$S$823,ROW()-22),"")</f>
        <v/>
      </c>
      <c r="C98">
        <f>IFERROR(INDEX($W$23:$W$823,ROW()-22),"")</f>
        <v/>
      </c>
      <c r="D98" s="24">
        <f>IFERROR(1/B98,"")</f>
        <v/>
      </c>
      <c r="E98" s="25">
        <f>IFERROR((D98-C98/100)*10000,"")</f>
        <v/>
      </c>
    </row>
    <row r="99">
      <c r="A99" s="23">
        <f>IFERROR(INDEX($R$23:$R$823,ROW()-22),"")</f>
        <v/>
      </c>
      <c r="B99">
        <f>IFERROR(INDEX($S$23:$S$823,ROW()-22),"")</f>
        <v/>
      </c>
      <c r="C99">
        <f>IFERROR(INDEX($W$23:$W$823,ROW()-22),"")</f>
        <v/>
      </c>
      <c r="D99" s="24">
        <f>IFERROR(1/B99,"")</f>
        <v/>
      </c>
      <c r="E99" s="25">
        <f>IFERROR((D99-C99/100)*10000,"")</f>
        <v/>
      </c>
    </row>
    <row r="100">
      <c r="A100" s="23">
        <f>IFERROR(INDEX($R$23:$R$823,ROW()-22),"")</f>
        <v/>
      </c>
      <c r="B100">
        <f>IFERROR(INDEX($S$23:$S$823,ROW()-22),"")</f>
        <v/>
      </c>
      <c r="C100">
        <f>IFERROR(INDEX($W$23:$W$823,ROW()-22),"")</f>
        <v/>
      </c>
      <c r="D100" s="24">
        <f>IFERROR(1/B100,"")</f>
        <v/>
      </c>
      <c r="E100" s="25">
        <f>IFERROR((D100-C100/100)*10000,"")</f>
        <v/>
      </c>
    </row>
    <row r="101">
      <c r="A101" s="23">
        <f>IFERROR(INDEX($R$23:$R$823,ROW()-22),"")</f>
        <v/>
      </c>
      <c r="B101">
        <f>IFERROR(INDEX($S$23:$S$823,ROW()-22),"")</f>
        <v/>
      </c>
      <c r="C101">
        <f>IFERROR(INDEX($W$23:$W$823,ROW()-22),"")</f>
        <v/>
      </c>
      <c r="D101" s="24">
        <f>IFERROR(1/B101,"")</f>
        <v/>
      </c>
      <c r="E101" s="25">
        <f>IFERROR((D101-C101/100)*10000,"")</f>
        <v/>
      </c>
    </row>
    <row r="102">
      <c r="A102" s="23">
        <f>IFERROR(INDEX($R$23:$R$823,ROW()-22),"")</f>
        <v/>
      </c>
      <c r="B102">
        <f>IFERROR(INDEX($S$23:$S$823,ROW()-22),"")</f>
        <v/>
      </c>
      <c r="C102">
        <f>IFERROR(INDEX($W$23:$W$823,ROW()-22),"")</f>
        <v/>
      </c>
      <c r="D102" s="24">
        <f>IFERROR(1/B102,"")</f>
        <v/>
      </c>
      <c r="E102" s="25">
        <f>IFERROR((D102-C102/100)*10000,"")</f>
        <v/>
      </c>
    </row>
    <row r="103">
      <c r="A103" s="23">
        <f>IFERROR(INDEX($R$23:$R$823,ROW()-22),"")</f>
        <v/>
      </c>
      <c r="B103">
        <f>IFERROR(INDEX($S$23:$S$823,ROW()-22),"")</f>
        <v/>
      </c>
      <c r="C103">
        <f>IFERROR(INDEX($W$23:$W$823,ROW()-22),"")</f>
        <v/>
      </c>
      <c r="D103" s="24">
        <f>IFERROR(1/B103,"")</f>
        <v/>
      </c>
      <c r="E103" s="25">
        <f>IFERROR((D103-C103/100)*10000,"")</f>
        <v/>
      </c>
    </row>
    <row r="104">
      <c r="A104" s="23">
        <f>IFERROR(INDEX($R$23:$R$823,ROW()-22),"")</f>
        <v/>
      </c>
      <c r="B104">
        <f>IFERROR(INDEX($S$23:$S$823,ROW()-22),"")</f>
        <v/>
      </c>
      <c r="C104">
        <f>IFERROR(INDEX($W$23:$W$823,ROW()-22),"")</f>
        <v/>
      </c>
      <c r="D104" s="24">
        <f>IFERROR(1/B104,"")</f>
        <v/>
      </c>
      <c r="E104" s="25">
        <f>IFERROR((D104-C104/100)*10000,"")</f>
        <v/>
      </c>
    </row>
    <row r="105">
      <c r="A105" s="23">
        <f>IFERROR(INDEX($R$23:$R$823,ROW()-22),"")</f>
        <v/>
      </c>
      <c r="B105">
        <f>IFERROR(INDEX($S$23:$S$823,ROW()-22),"")</f>
        <v/>
      </c>
      <c r="C105">
        <f>IFERROR(INDEX($W$23:$W$823,ROW()-22),"")</f>
        <v/>
      </c>
      <c r="D105" s="24">
        <f>IFERROR(1/B105,"")</f>
        <v/>
      </c>
      <c r="E105" s="25">
        <f>IFERROR((D105-C105/100)*10000,"")</f>
        <v/>
      </c>
    </row>
    <row r="106">
      <c r="A106" s="23">
        <f>IFERROR(INDEX($R$23:$R$823,ROW()-22),"")</f>
        <v/>
      </c>
      <c r="B106">
        <f>IFERROR(INDEX($S$23:$S$823,ROW()-22),"")</f>
        <v/>
      </c>
      <c r="C106">
        <f>IFERROR(INDEX($W$23:$W$823,ROW()-22),"")</f>
        <v/>
      </c>
      <c r="D106" s="24">
        <f>IFERROR(1/B106,"")</f>
        <v/>
      </c>
      <c r="E106" s="25">
        <f>IFERROR((D106-C106/100)*10000,"")</f>
        <v/>
      </c>
    </row>
    <row r="107">
      <c r="A107" s="23">
        <f>IFERROR(INDEX($R$23:$R$823,ROW()-22),"")</f>
        <v/>
      </c>
      <c r="B107">
        <f>IFERROR(INDEX($S$23:$S$823,ROW()-22),"")</f>
        <v/>
      </c>
      <c r="C107">
        <f>IFERROR(INDEX($W$23:$W$823,ROW()-22),"")</f>
        <v/>
      </c>
      <c r="D107" s="24">
        <f>IFERROR(1/B107,"")</f>
        <v/>
      </c>
      <c r="E107" s="25">
        <f>IFERROR((D107-C107/100)*10000,"")</f>
        <v/>
      </c>
    </row>
    <row r="108">
      <c r="A108" s="23">
        <f>IFERROR(INDEX($R$23:$R$823,ROW()-22),"")</f>
        <v/>
      </c>
      <c r="B108">
        <f>IFERROR(INDEX($S$23:$S$823,ROW()-22),"")</f>
        <v/>
      </c>
      <c r="C108">
        <f>IFERROR(INDEX($W$23:$W$823,ROW()-22),"")</f>
        <v/>
      </c>
      <c r="D108" s="24">
        <f>IFERROR(1/B108,"")</f>
        <v/>
      </c>
      <c r="E108" s="25">
        <f>IFERROR((D108-C108/100)*10000,"")</f>
        <v/>
      </c>
    </row>
    <row r="109">
      <c r="A109" s="23">
        <f>IFERROR(INDEX($R$23:$R$823,ROW()-22),"")</f>
        <v/>
      </c>
      <c r="B109">
        <f>IFERROR(INDEX($S$23:$S$823,ROW()-22),"")</f>
        <v/>
      </c>
      <c r="C109">
        <f>IFERROR(INDEX($W$23:$W$823,ROW()-22),"")</f>
        <v/>
      </c>
      <c r="D109" s="24">
        <f>IFERROR(1/B109,"")</f>
        <v/>
      </c>
      <c r="E109" s="25">
        <f>IFERROR((D109-C109/100)*10000,"")</f>
        <v/>
      </c>
    </row>
    <row r="110">
      <c r="A110" s="23">
        <f>IFERROR(INDEX($R$23:$R$823,ROW()-22),"")</f>
        <v/>
      </c>
      <c r="B110">
        <f>IFERROR(INDEX($S$23:$S$823,ROW()-22),"")</f>
        <v/>
      </c>
      <c r="C110">
        <f>IFERROR(INDEX($W$23:$W$823,ROW()-22),"")</f>
        <v/>
      </c>
      <c r="D110" s="24">
        <f>IFERROR(1/B110,"")</f>
        <v/>
      </c>
      <c r="E110" s="25">
        <f>IFERROR((D110-C110/100)*10000,"")</f>
        <v/>
      </c>
    </row>
    <row r="111">
      <c r="A111" s="23">
        <f>IFERROR(INDEX($R$23:$R$823,ROW()-22),"")</f>
        <v/>
      </c>
      <c r="B111">
        <f>IFERROR(INDEX($S$23:$S$823,ROW()-22),"")</f>
        <v/>
      </c>
      <c r="C111">
        <f>IFERROR(INDEX($W$23:$W$823,ROW()-22),"")</f>
        <v/>
      </c>
      <c r="D111" s="24">
        <f>IFERROR(1/B111,"")</f>
        <v/>
      </c>
      <c r="E111" s="25">
        <f>IFERROR((D111-C111/100)*10000,"")</f>
        <v/>
      </c>
    </row>
    <row r="112">
      <c r="A112" s="23">
        <f>IFERROR(INDEX($R$23:$R$823,ROW()-22),"")</f>
        <v/>
      </c>
      <c r="B112">
        <f>IFERROR(INDEX($S$23:$S$823,ROW()-22),"")</f>
        <v/>
      </c>
      <c r="C112">
        <f>IFERROR(INDEX($W$23:$W$823,ROW()-22),"")</f>
        <v/>
      </c>
      <c r="D112" s="24">
        <f>IFERROR(1/B112,"")</f>
        <v/>
      </c>
      <c r="E112" s="25">
        <f>IFERROR((D112-C112/100)*10000,"")</f>
        <v/>
      </c>
    </row>
    <row r="113">
      <c r="A113" s="23">
        <f>IFERROR(INDEX($R$23:$R$823,ROW()-22),"")</f>
        <v/>
      </c>
      <c r="B113">
        <f>IFERROR(INDEX($S$23:$S$823,ROW()-22),"")</f>
        <v/>
      </c>
      <c r="C113">
        <f>IFERROR(INDEX($W$23:$W$823,ROW()-22),"")</f>
        <v/>
      </c>
      <c r="D113" s="24">
        <f>IFERROR(1/B113,"")</f>
        <v/>
      </c>
      <c r="E113" s="25">
        <f>IFERROR((D113-C113/100)*10000,"")</f>
        <v/>
      </c>
    </row>
    <row r="114">
      <c r="A114" s="23">
        <f>IFERROR(INDEX($R$23:$R$823,ROW()-22),"")</f>
        <v/>
      </c>
      <c r="B114">
        <f>IFERROR(INDEX($S$23:$S$823,ROW()-22),"")</f>
        <v/>
      </c>
      <c r="C114">
        <f>IFERROR(INDEX($W$23:$W$823,ROW()-22),"")</f>
        <v/>
      </c>
      <c r="D114" s="24">
        <f>IFERROR(1/B114,"")</f>
        <v/>
      </c>
      <c r="E114" s="25">
        <f>IFERROR((D114-C114/100)*10000,"")</f>
        <v/>
      </c>
    </row>
    <row r="115">
      <c r="A115" s="23">
        <f>IFERROR(INDEX($R$23:$R$823,ROW()-22),"")</f>
        <v/>
      </c>
      <c r="B115">
        <f>IFERROR(INDEX($S$23:$S$823,ROW()-22),"")</f>
        <v/>
      </c>
      <c r="C115">
        <f>IFERROR(INDEX($W$23:$W$823,ROW()-22),"")</f>
        <v/>
      </c>
      <c r="D115" s="24">
        <f>IFERROR(1/B115,"")</f>
        <v/>
      </c>
      <c r="E115" s="25">
        <f>IFERROR((D115-C115/100)*10000,"")</f>
        <v/>
      </c>
    </row>
    <row r="116">
      <c r="A116" s="23">
        <f>IFERROR(INDEX($R$23:$R$823,ROW()-22),"")</f>
        <v/>
      </c>
      <c r="B116">
        <f>IFERROR(INDEX($S$23:$S$823,ROW()-22),"")</f>
        <v/>
      </c>
      <c r="C116">
        <f>IFERROR(INDEX($W$23:$W$823,ROW()-22),"")</f>
        <v/>
      </c>
      <c r="D116" s="24">
        <f>IFERROR(1/B116,"")</f>
        <v/>
      </c>
      <c r="E116" s="25">
        <f>IFERROR((D116-C116/100)*10000,"")</f>
        <v/>
      </c>
    </row>
    <row r="117">
      <c r="A117" s="23">
        <f>IFERROR(INDEX($R$23:$R$823,ROW()-22),"")</f>
        <v/>
      </c>
      <c r="B117">
        <f>IFERROR(INDEX($S$23:$S$823,ROW()-22),"")</f>
        <v/>
      </c>
      <c r="C117">
        <f>IFERROR(INDEX($W$23:$W$823,ROW()-22),"")</f>
        <v/>
      </c>
      <c r="D117" s="24">
        <f>IFERROR(1/B117,"")</f>
        <v/>
      </c>
      <c r="E117" s="25">
        <f>IFERROR((D117-C117/100)*10000,"")</f>
        <v/>
      </c>
    </row>
    <row r="118">
      <c r="A118" s="23">
        <f>IFERROR(INDEX($R$23:$R$823,ROW()-22),"")</f>
        <v/>
      </c>
      <c r="B118">
        <f>IFERROR(INDEX($S$23:$S$823,ROW()-22),"")</f>
        <v/>
      </c>
      <c r="C118">
        <f>IFERROR(INDEX($W$23:$W$823,ROW()-22),"")</f>
        <v/>
      </c>
      <c r="D118" s="24">
        <f>IFERROR(1/B118,"")</f>
        <v/>
      </c>
      <c r="E118" s="25">
        <f>IFERROR((D118-C118/100)*10000,"")</f>
        <v/>
      </c>
    </row>
    <row r="119">
      <c r="A119" s="23">
        <f>IFERROR(INDEX($R$23:$R$823,ROW()-22),"")</f>
        <v/>
      </c>
      <c r="B119">
        <f>IFERROR(INDEX($S$23:$S$823,ROW()-22),"")</f>
        <v/>
      </c>
      <c r="C119">
        <f>IFERROR(INDEX($W$23:$W$823,ROW()-22),"")</f>
        <v/>
      </c>
      <c r="D119" s="24">
        <f>IFERROR(1/B119,"")</f>
        <v/>
      </c>
      <c r="E119" s="25">
        <f>IFERROR((D119-C119/100)*10000,"")</f>
        <v/>
      </c>
    </row>
    <row r="120">
      <c r="A120" s="23">
        <f>IFERROR(INDEX($R$23:$R$823,ROW()-22),"")</f>
        <v/>
      </c>
      <c r="B120">
        <f>IFERROR(INDEX($S$23:$S$823,ROW()-22),"")</f>
        <v/>
      </c>
      <c r="C120">
        <f>IFERROR(INDEX($W$23:$W$823,ROW()-22),"")</f>
        <v/>
      </c>
      <c r="D120" s="24">
        <f>IFERROR(1/B120,"")</f>
        <v/>
      </c>
      <c r="E120" s="25">
        <f>IFERROR((D120-C120/100)*10000,"")</f>
        <v/>
      </c>
    </row>
    <row r="121">
      <c r="A121" s="23">
        <f>IFERROR(INDEX($R$23:$R$823,ROW()-22),"")</f>
        <v/>
      </c>
      <c r="B121">
        <f>IFERROR(INDEX($S$23:$S$823,ROW()-22),"")</f>
        <v/>
      </c>
      <c r="C121">
        <f>IFERROR(INDEX($W$23:$W$823,ROW()-22),"")</f>
        <v/>
      </c>
      <c r="D121" s="24">
        <f>IFERROR(1/B121,"")</f>
        <v/>
      </c>
      <c r="E121" s="25">
        <f>IFERROR((D121-C121/100)*10000,"")</f>
        <v/>
      </c>
    </row>
    <row r="122">
      <c r="A122" s="23">
        <f>IFERROR(INDEX($R$23:$R$823,ROW()-22),"")</f>
        <v/>
      </c>
      <c r="B122">
        <f>IFERROR(INDEX($S$23:$S$823,ROW()-22),"")</f>
        <v/>
      </c>
      <c r="C122">
        <f>IFERROR(INDEX($W$23:$W$823,ROW()-22),"")</f>
        <v/>
      </c>
      <c r="D122" s="24">
        <f>IFERROR(1/B122,"")</f>
        <v/>
      </c>
      <c r="E122" s="25">
        <f>IFERROR((D122-C122/100)*10000,"")</f>
        <v/>
      </c>
    </row>
    <row r="123">
      <c r="A123" s="23">
        <f>IFERROR(INDEX($R$23:$R$823,ROW()-22),"")</f>
        <v/>
      </c>
      <c r="B123">
        <f>IFERROR(INDEX($S$23:$S$823,ROW()-22),"")</f>
        <v/>
      </c>
      <c r="C123">
        <f>IFERROR(INDEX($W$23:$W$823,ROW()-22),"")</f>
        <v/>
      </c>
      <c r="D123" s="24">
        <f>IFERROR(1/B123,"")</f>
        <v/>
      </c>
      <c r="E123" s="25">
        <f>IFERROR((D123-C123/100)*10000,"")</f>
        <v/>
      </c>
    </row>
    <row r="124">
      <c r="A124" s="23">
        <f>IFERROR(INDEX($R$23:$R$823,ROW()-22),"")</f>
        <v/>
      </c>
      <c r="B124">
        <f>IFERROR(INDEX($S$23:$S$823,ROW()-22),"")</f>
        <v/>
      </c>
      <c r="C124">
        <f>IFERROR(INDEX($W$23:$W$823,ROW()-22),"")</f>
        <v/>
      </c>
      <c r="D124" s="24">
        <f>IFERROR(1/B124,"")</f>
        <v/>
      </c>
      <c r="E124" s="25">
        <f>IFERROR((D124-C124/100)*10000,"")</f>
        <v/>
      </c>
    </row>
    <row r="125">
      <c r="A125" s="23">
        <f>IFERROR(INDEX($R$23:$R$823,ROW()-22),"")</f>
        <v/>
      </c>
      <c r="B125">
        <f>IFERROR(INDEX($S$23:$S$823,ROW()-22),"")</f>
        <v/>
      </c>
      <c r="C125">
        <f>IFERROR(INDEX($W$23:$W$823,ROW()-22),"")</f>
        <v/>
      </c>
      <c r="D125" s="24">
        <f>IFERROR(1/B125,"")</f>
        <v/>
      </c>
      <c r="E125" s="25">
        <f>IFERROR((D125-C125/100)*10000,"")</f>
        <v/>
      </c>
    </row>
    <row r="126">
      <c r="A126" s="23">
        <f>IFERROR(INDEX($R$23:$R$823,ROW()-22),"")</f>
        <v/>
      </c>
      <c r="B126">
        <f>IFERROR(INDEX($S$23:$S$823,ROW()-22),"")</f>
        <v/>
      </c>
      <c r="C126">
        <f>IFERROR(INDEX($W$23:$W$823,ROW()-22),"")</f>
        <v/>
      </c>
      <c r="D126" s="24">
        <f>IFERROR(1/B126,"")</f>
        <v/>
      </c>
      <c r="E126" s="25">
        <f>IFERROR((D126-C126/100)*10000,"")</f>
        <v/>
      </c>
    </row>
    <row r="127">
      <c r="A127" s="23">
        <f>IFERROR(INDEX($R$23:$R$823,ROW()-22),"")</f>
        <v/>
      </c>
      <c r="B127">
        <f>IFERROR(INDEX($S$23:$S$823,ROW()-22),"")</f>
        <v/>
      </c>
      <c r="C127">
        <f>IFERROR(INDEX($W$23:$W$823,ROW()-22),"")</f>
        <v/>
      </c>
      <c r="D127" s="24">
        <f>IFERROR(1/B127,"")</f>
        <v/>
      </c>
      <c r="E127" s="25">
        <f>IFERROR((D127-C127/100)*10000,"")</f>
        <v/>
      </c>
    </row>
    <row r="128">
      <c r="A128" s="23">
        <f>IFERROR(INDEX($R$23:$R$823,ROW()-22),"")</f>
        <v/>
      </c>
      <c r="B128">
        <f>IFERROR(INDEX($S$23:$S$823,ROW()-22),"")</f>
        <v/>
      </c>
      <c r="C128">
        <f>IFERROR(INDEX($W$23:$W$823,ROW()-22),"")</f>
        <v/>
      </c>
      <c r="D128" s="24">
        <f>IFERROR(1/B128,"")</f>
        <v/>
      </c>
      <c r="E128" s="25">
        <f>IFERROR((D128-C128/100)*10000,"")</f>
        <v/>
      </c>
    </row>
    <row r="129">
      <c r="A129" s="23">
        <f>IFERROR(INDEX($R$23:$R$823,ROW()-22),"")</f>
        <v/>
      </c>
      <c r="B129">
        <f>IFERROR(INDEX($S$23:$S$823,ROW()-22),"")</f>
        <v/>
      </c>
      <c r="C129">
        <f>IFERROR(INDEX($W$23:$W$823,ROW()-22),"")</f>
        <v/>
      </c>
      <c r="D129" s="24">
        <f>IFERROR(1/B129,"")</f>
        <v/>
      </c>
      <c r="E129" s="25">
        <f>IFERROR((D129-C129/100)*10000,"")</f>
        <v/>
      </c>
    </row>
    <row r="130">
      <c r="A130" s="23">
        <f>IFERROR(INDEX($R$23:$R$823,ROW()-22),"")</f>
        <v/>
      </c>
      <c r="B130">
        <f>IFERROR(INDEX($S$23:$S$823,ROW()-22),"")</f>
        <v/>
      </c>
      <c r="C130">
        <f>IFERROR(INDEX($W$23:$W$823,ROW()-22),"")</f>
        <v/>
      </c>
      <c r="D130" s="24">
        <f>IFERROR(1/B130,"")</f>
        <v/>
      </c>
      <c r="E130" s="25">
        <f>IFERROR((D130-C130/100)*10000,"")</f>
        <v/>
      </c>
    </row>
    <row r="131">
      <c r="A131" s="23">
        <f>IFERROR(INDEX($R$23:$R$823,ROW()-22),"")</f>
        <v/>
      </c>
      <c r="B131">
        <f>IFERROR(INDEX($S$23:$S$823,ROW()-22),"")</f>
        <v/>
      </c>
      <c r="C131">
        <f>IFERROR(INDEX($W$23:$W$823,ROW()-22),"")</f>
        <v/>
      </c>
      <c r="D131" s="24">
        <f>IFERROR(1/B131,"")</f>
        <v/>
      </c>
      <c r="E131" s="25">
        <f>IFERROR((D131-C131/100)*10000,"")</f>
        <v/>
      </c>
    </row>
    <row r="132">
      <c r="A132" s="23">
        <f>IFERROR(INDEX($R$23:$R$823,ROW()-22),"")</f>
        <v/>
      </c>
      <c r="B132">
        <f>IFERROR(INDEX($S$23:$S$823,ROW()-22),"")</f>
        <v/>
      </c>
      <c r="C132">
        <f>IFERROR(INDEX($W$23:$W$823,ROW()-22),"")</f>
        <v/>
      </c>
      <c r="D132" s="24">
        <f>IFERROR(1/B132,"")</f>
        <v/>
      </c>
      <c r="E132" s="25">
        <f>IFERROR((D132-C132/100)*10000,"")</f>
        <v/>
      </c>
    </row>
    <row r="133">
      <c r="A133" s="23">
        <f>IFERROR(INDEX($R$23:$R$823,ROW()-22),"")</f>
        <v/>
      </c>
      <c r="B133">
        <f>IFERROR(INDEX($S$23:$S$823,ROW()-22),"")</f>
        <v/>
      </c>
      <c r="C133">
        <f>IFERROR(INDEX($W$23:$W$823,ROW()-22),"")</f>
        <v/>
      </c>
      <c r="D133" s="24">
        <f>IFERROR(1/B133,"")</f>
        <v/>
      </c>
      <c r="E133" s="25">
        <f>IFERROR((D133-C133/100)*10000,"")</f>
        <v/>
      </c>
    </row>
    <row r="134">
      <c r="A134" s="23">
        <f>IFERROR(INDEX($R$23:$R$823,ROW()-22),"")</f>
        <v/>
      </c>
      <c r="B134">
        <f>IFERROR(INDEX($S$23:$S$823,ROW()-22),"")</f>
        <v/>
      </c>
      <c r="C134">
        <f>IFERROR(INDEX($W$23:$W$823,ROW()-22),"")</f>
        <v/>
      </c>
      <c r="D134" s="24">
        <f>IFERROR(1/B134,"")</f>
        <v/>
      </c>
      <c r="E134" s="25">
        <f>IFERROR((D134-C134/100)*10000,"")</f>
        <v/>
      </c>
    </row>
    <row r="135">
      <c r="A135" s="23">
        <f>IFERROR(INDEX($R$23:$R$823,ROW()-22),"")</f>
        <v/>
      </c>
      <c r="B135">
        <f>IFERROR(INDEX($S$23:$S$823,ROW()-22),"")</f>
        <v/>
      </c>
      <c r="C135">
        <f>IFERROR(INDEX($W$23:$W$823,ROW()-22),"")</f>
        <v/>
      </c>
      <c r="D135" s="24">
        <f>IFERROR(1/B135,"")</f>
        <v/>
      </c>
      <c r="E135" s="25">
        <f>IFERROR((D135-C135/100)*10000,"")</f>
        <v/>
      </c>
    </row>
    <row r="136">
      <c r="A136" s="23">
        <f>IFERROR(INDEX($R$23:$R$823,ROW()-22),"")</f>
        <v/>
      </c>
      <c r="B136">
        <f>IFERROR(INDEX($S$23:$S$823,ROW()-22),"")</f>
        <v/>
      </c>
      <c r="C136">
        <f>IFERROR(INDEX($W$23:$W$823,ROW()-22),"")</f>
        <v/>
      </c>
      <c r="D136" s="24">
        <f>IFERROR(1/B136,"")</f>
        <v/>
      </c>
      <c r="E136" s="25">
        <f>IFERROR((D136-C136/100)*10000,"")</f>
        <v/>
      </c>
    </row>
    <row r="137">
      <c r="A137" s="23">
        <f>IFERROR(INDEX($R$23:$R$823,ROW()-22),"")</f>
        <v/>
      </c>
      <c r="B137">
        <f>IFERROR(INDEX($S$23:$S$823,ROW()-22),"")</f>
        <v/>
      </c>
      <c r="C137">
        <f>IFERROR(INDEX($W$23:$W$823,ROW()-22),"")</f>
        <v/>
      </c>
      <c r="D137" s="24">
        <f>IFERROR(1/B137,"")</f>
        <v/>
      </c>
      <c r="E137" s="25">
        <f>IFERROR((D137-C137/100)*10000,"")</f>
        <v/>
      </c>
    </row>
    <row r="138">
      <c r="A138" s="23">
        <f>IFERROR(INDEX($R$23:$R$823,ROW()-22),"")</f>
        <v/>
      </c>
      <c r="B138">
        <f>IFERROR(INDEX($S$23:$S$823,ROW()-22),"")</f>
        <v/>
      </c>
      <c r="C138">
        <f>IFERROR(INDEX($W$23:$W$823,ROW()-22),"")</f>
        <v/>
      </c>
      <c r="D138" s="24">
        <f>IFERROR(1/B138,"")</f>
        <v/>
      </c>
      <c r="E138" s="25">
        <f>IFERROR((D138-C138/100)*10000,"")</f>
        <v/>
      </c>
    </row>
    <row r="139">
      <c r="A139" s="23">
        <f>IFERROR(INDEX($R$23:$R$823,ROW()-22),"")</f>
        <v/>
      </c>
      <c r="B139">
        <f>IFERROR(INDEX($S$23:$S$823,ROW()-22),"")</f>
        <v/>
      </c>
      <c r="C139">
        <f>IFERROR(INDEX($W$23:$W$823,ROW()-22),"")</f>
        <v/>
      </c>
      <c r="D139" s="24">
        <f>IFERROR(1/B139,"")</f>
        <v/>
      </c>
      <c r="E139" s="25">
        <f>IFERROR((D139-C139/100)*10000,"")</f>
        <v/>
      </c>
    </row>
    <row r="140">
      <c r="A140" s="23">
        <f>IFERROR(INDEX($R$23:$R$823,ROW()-22),"")</f>
        <v/>
      </c>
      <c r="B140">
        <f>IFERROR(INDEX($S$23:$S$823,ROW()-22),"")</f>
        <v/>
      </c>
      <c r="C140">
        <f>IFERROR(INDEX($W$23:$W$823,ROW()-22),"")</f>
        <v/>
      </c>
      <c r="D140" s="24">
        <f>IFERROR(1/B140,"")</f>
        <v/>
      </c>
      <c r="E140" s="25">
        <f>IFERROR((D140-C140/100)*10000,"")</f>
        <v/>
      </c>
    </row>
    <row r="141">
      <c r="A141" s="23">
        <f>IFERROR(INDEX($R$23:$R$823,ROW()-22),"")</f>
        <v/>
      </c>
      <c r="B141">
        <f>IFERROR(INDEX($S$23:$S$823,ROW()-22),"")</f>
        <v/>
      </c>
      <c r="C141">
        <f>IFERROR(INDEX($W$23:$W$823,ROW()-22),"")</f>
        <v/>
      </c>
      <c r="D141" s="24">
        <f>IFERROR(1/B141,"")</f>
        <v/>
      </c>
      <c r="E141" s="25">
        <f>IFERROR((D141-C141/100)*10000,"")</f>
        <v/>
      </c>
    </row>
    <row r="142">
      <c r="A142" s="23">
        <f>IFERROR(INDEX($R$23:$R$823,ROW()-22),"")</f>
        <v/>
      </c>
      <c r="B142">
        <f>IFERROR(INDEX($S$23:$S$823,ROW()-22),"")</f>
        <v/>
      </c>
      <c r="C142">
        <f>IFERROR(INDEX($W$23:$W$823,ROW()-22),"")</f>
        <v/>
      </c>
      <c r="D142" s="24">
        <f>IFERROR(1/B142,"")</f>
        <v/>
      </c>
      <c r="E142" s="25">
        <f>IFERROR((D142-C142/100)*10000,"")</f>
        <v/>
      </c>
    </row>
    <row r="143">
      <c r="A143" s="23">
        <f>IFERROR(INDEX($R$23:$R$823,ROW()-22),"")</f>
        <v/>
      </c>
      <c r="B143">
        <f>IFERROR(INDEX($S$23:$S$823,ROW()-22),"")</f>
        <v/>
      </c>
      <c r="C143">
        <f>IFERROR(INDEX($W$23:$W$823,ROW()-22),"")</f>
        <v/>
      </c>
      <c r="D143" s="24">
        <f>IFERROR(1/B143,"")</f>
        <v/>
      </c>
      <c r="E143" s="25">
        <f>IFERROR((D143-C143/100)*10000,"")</f>
        <v/>
      </c>
    </row>
    <row r="144">
      <c r="A144" s="23">
        <f>IFERROR(INDEX($R$23:$R$823,ROW()-22),"")</f>
        <v/>
      </c>
      <c r="B144">
        <f>IFERROR(INDEX($S$23:$S$823,ROW()-22),"")</f>
        <v/>
      </c>
      <c r="C144">
        <f>IFERROR(INDEX($W$23:$W$823,ROW()-22),"")</f>
        <v/>
      </c>
      <c r="D144" s="24">
        <f>IFERROR(1/B144,"")</f>
        <v/>
      </c>
      <c r="E144" s="25">
        <f>IFERROR((D144-C144/100)*10000,"")</f>
        <v/>
      </c>
    </row>
    <row r="145">
      <c r="A145" s="23">
        <f>IFERROR(INDEX($R$23:$R$823,ROW()-22),"")</f>
        <v/>
      </c>
      <c r="B145">
        <f>IFERROR(INDEX($S$23:$S$823,ROW()-22),"")</f>
        <v/>
      </c>
      <c r="C145">
        <f>IFERROR(INDEX($W$23:$W$823,ROW()-22),"")</f>
        <v/>
      </c>
      <c r="D145" s="24">
        <f>IFERROR(1/B145,"")</f>
        <v/>
      </c>
      <c r="E145" s="25">
        <f>IFERROR((D145-C145/100)*10000,"")</f>
        <v/>
      </c>
    </row>
    <row r="146">
      <c r="A146" s="23">
        <f>IFERROR(INDEX($R$23:$R$823,ROW()-22),"")</f>
        <v/>
      </c>
      <c r="B146">
        <f>IFERROR(INDEX($S$23:$S$823,ROW()-22),"")</f>
        <v/>
      </c>
      <c r="C146">
        <f>IFERROR(INDEX($W$23:$W$823,ROW()-22),"")</f>
        <v/>
      </c>
      <c r="D146" s="24">
        <f>IFERROR(1/B146,"")</f>
        <v/>
      </c>
      <c r="E146" s="25">
        <f>IFERROR((D146-C146/100)*10000,"")</f>
        <v/>
      </c>
    </row>
    <row r="147">
      <c r="A147" s="23">
        <f>IFERROR(INDEX($R$23:$R$823,ROW()-22),"")</f>
        <v/>
      </c>
      <c r="B147">
        <f>IFERROR(INDEX($S$23:$S$823,ROW()-22),"")</f>
        <v/>
      </c>
      <c r="C147">
        <f>IFERROR(INDEX($W$23:$W$823,ROW()-22),"")</f>
        <v/>
      </c>
      <c r="D147" s="24">
        <f>IFERROR(1/B147,"")</f>
        <v/>
      </c>
      <c r="E147" s="25">
        <f>IFERROR((D147-C147/100)*10000,"")</f>
        <v/>
      </c>
    </row>
    <row r="148">
      <c r="A148" s="23">
        <f>IFERROR(INDEX($R$23:$R$823,ROW()-22),"")</f>
        <v/>
      </c>
      <c r="B148">
        <f>IFERROR(INDEX($S$23:$S$823,ROW()-22),"")</f>
        <v/>
      </c>
      <c r="C148">
        <f>IFERROR(INDEX($W$23:$W$823,ROW()-22),"")</f>
        <v/>
      </c>
      <c r="D148" s="24">
        <f>IFERROR(1/B148,"")</f>
        <v/>
      </c>
      <c r="E148" s="25">
        <f>IFERROR((D148-C148/100)*10000,"")</f>
        <v/>
      </c>
    </row>
    <row r="149">
      <c r="A149" s="23">
        <f>IFERROR(INDEX($R$23:$R$823,ROW()-22),"")</f>
        <v/>
      </c>
      <c r="B149">
        <f>IFERROR(INDEX($S$23:$S$823,ROW()-22),"")</f>
        <v/>
      </c>
      <c r="C149">
        <f>IFERROR(INDEX($W$23:$W$823,ROW()-22),"")</f>
        <v/>
      </c>
      <c r="D149" s="24">
        <f>IFERROR(1/B149,"")</f>
        <v/>
      </c>
      <c r="E149" s="25">
        <f>IFERROR((D149-C149/100)*10000,"")</f>
        <v/>
      </c>
    </row>
    <row r="150">
      <c r="A150" s="23">
        <f>IFERROR(INDEX($R$23:$R$823,ROW()-22),"")</f>
        <v/>
      </c>
      <c r="B150">
        <f>IFERROR(INDEX($S$23:$S$823,ROW()-22),"")</f>
        <v/>
      </c>
      <c r="C150">
        <f>IFERROR(INDEX($W$23:$W$823,ROW()-22),"")</f>
        <v/>
      </c>
      <c r="D150" s="24">
        <f>IFERROR(1/B150,"")</f>
        <v/>
      </c>
      <c r="E150" s="25">
        <f>IFERROR((D150-C150/100)*10000,"")</f>
        <v/>
      </c>
    </row>
    <row r="151">
      <c r="A151" s="23">
        <f>IFERROR(INDEX($R$23:$R$823,ROW()-22),"")</f>
        <v/>
      </c>
      <c r="B151">
        <f>IFERROR(INDEX($S$23:$S$823,ROW()-22),"")</f>
        <v/>
      </c>
      <c r="C151">
        <f>IFERROR(INDEX($W$23:$W$823,ROW()-22),"")</f>
        <v/>
      </c>
      <c r="D151" s="24">
        <f>IFERROR(1/B151,"")</f>
        <v/>
      </c>
      <c r="E151" s="25">
        <f>IFERROR((D151-C151/100)*10000,"")</f>
        <v/>
      </c>
    </row>
    <row r="152">
      <c r="A152" s="23">
        <f>IFERROR(INDEX($R$23:$R$823,ROW()-22),"")</f>
        <v/>
      </c>
      <c r="B152">
        <f>IFERROR(INDEX($S$23:$S$823,ROW()-22),"")</f>
        <v/>
      </c>
      <c r="C152">
        <f>IFERROR(INDEX($W$23:$W$823,ROW()-22),"")</f>
        <v/>
      </c>
      <c r="D152" s="24">
        <f>IFERROR(1/B152,"")</f>
        <v/>
      </c>
      <c r="E152" s="25">
        <f>IFERROR((D152-C152/100)*10000,"")</f>
        <v/>
      </c>
    </row>
    <row r="153">
      <c r="A153" s="23">
        <f>IFERROR(INDEX($R$23:$R$823,ROW()-22),"")</f>
        <v/>
      </c>
      <c r="B153">
        <f>IFERROR(INDEX($S$23:$S$823,ROW()-22),"")</f>
        <v/>
      </c>
      <c r="C153">
        <f>IFERROR(INDEX($W$23:$W$823,ROW()-22),"")</f>
        <v/>
      </c>
      <c r="D153" s="24">
        <f>IFERROR(1/B153,"")</f>
        <v/>
      </c>
      <c r="E153" s="25">
        <f>IFERROR((D153-C153/100)*10000,"")</f>
        <v/>
      </c>
    </row>
    <row r="154">
      <c r="A154" s="23">
        <f>IFERROR(INDEX($R$23:$R$823,ROW()-22),"")</f>
        <v/>
      </c>
      <c r="B154">
        <f>IFERROR(INDEX($S$23:$S$823,ROW()-22),"")</f>
        <v/>
      </c>
      <c r="C154">
        <f>IFERROR(INDEX($W$23:$W$823,ROW()-22),"")</f>
        <v/>
      </c>
      <c r="D154" s="24">
        <f>IFERROR(1/B154,"")</f>
        <v/>
      </c>
      <c r="E154" s="25">
        <f>IFERROR((D154-C154/100)*10000,"")</f>
        <v/>
      </c>
    </row>
    <row r="155">
      <c r="A155" s="23">
        <f>IFERROR(INDEX($R$23:$R$823,ROW()-22),"")</f>
        <v/>
      </c>
      <c r="B155">
        <f>IFERROR(INDEX($S$23:$S$823,ROW()-22),"")</f>
        <v/>
      </c>
      <c r="C155">
        <f>IFERROR(INDEX($W$23:$W$823,ROW()-22),"")</f>
        <v/>
      </c>
      <c r="D155" s="24">
        <f>IFERROR(1/B155,"")</f>
        <v/>
      </c>
      <c r="E155" s="25">
        <f>IFERROR((D155-C155/100)*10000,"")</f>
        <v/>
      </c>
    </row>
    <row r="156">
      <c r="A156" s="23">
        <f>IFERROR(INDEX($R$23:$R$823,ROW()-22),"")</f>
        <v/>
      </c>
      <c r="B156">
        <f>IFERROR(INDEX($S$23:$S$823,ROW()-22),"")</f>
        <v/>
      </c>
      <c r="C156">
        <f>IFERROR(INDEX($W$23:$W$823,ROW()-22),"")</f>
        <v/>
      </c>
      <c r="D156" s="24">
        <f>IFERROR(1/B156,"")</f>
        <v/>
      </c>
      <c r="E156" s="25">
        <f>IFERROR((D156-C156/100)*10000,"")</f>
        <v/>
      </c>
    </row>
    <row r="157">
      <c r="A157" s="23">
        <f>IFERROR(INDEX($R$23:$R$823,ROW()-22),"")</f>
        <v/>
      </c>
      <c r="B157">
        <f>IFERROR(INDEX($S$23:$S$823,ROW()-22),"")</f>
        <v/>
      </c>
      <c r="C157">
        <f>IFERROR(INDEX($W$23:$W$823,ROW()-22),"")</f>
        <v/>
      </c>
      <c r="D157" s="24">
        <f>IFERROR(1/B157,"")</f>
        <v/>
      </c>
      <c r="E157" s="25">
        <f>IFERROR((D157-C157/100)*10000,"")</f>
        <v/>
      </c>
    </row>
    <row r="158">
      <c r="A158" s="23">
        <f>IFERROR(INDEX($R$23:$R$823,ROW()-22),"")</f>
        <v/>
      </c>
      <c r="B158">
        <f>IFERROR(INDEX($S$23:$S$823,ROW()-22),"")</f>
        <v/>
      </c>
      <c r="C158">
        <f>IFERROR(INDEX($W$23:$W$823,ROW()-22),"")</f>
        <v/>
      </c>
      <c r="D158" s="24">
        <f>IFERROR(1/B158,"")</f>
        <v/>
      </c>
      <c r="E158" s="25">
        <f>IFERROR((D158-C158/100)*10000,"")</f>
        <v/>
      </c>
    </row>
    <row r="159">
      <c r="A159" s="23">
        <f>IFERROR(INDEX($R$23:$R$823,ROW()-22),"")</f>
        <v/>
      </c>
      <c r="B159">
        <f>IFERROR(INDEX($S$23:$S$823,ROW()-22),"")</f>
        <v/>
      </c>
      <c r="C159">
        <f>IFERROR(INDEX($W$23:$W$823,ROW()-22),"")</f>
        <v/>
      </c>
      <c r="D159" s="24">
        <f>IFERROR(1/B159,"")</f>
        <v/>
      </c>
      <c r="E159" s="25">
        <f>IFERROR((D159-C159/100)*10000,"")</f>
        <v/>
      </c>
    </row>
    <row r="160">
      <c r="A160" s="23">
        <f>IFERROR(INDEX($R$23:$R$823,ROW()-22),"")</f>
        <v/>
      </c>
      <c r="B160">
        <f>IFERROR(INDEX($S$23:$S$823,ROW()-22),"")</f>
        <v/>
      </c>
      <c r="C160">
        <f>IFERROR(INDEX($W$23:$W$823,ROW()-22),"")</f>
        <v/>
      </c>
      <c r="D160" s="24">
        <f>IFERROR(1/B160,"")</f>
        <v/>
      </c>
      <c r="E160" s="25">
        <f>IFERROR((D160-C160/100)*10000,"")</f>
        <v/>
      </c>
    </row>
    <row r="161">
      <c r="A161" s="23">
        <f>IFERROR(INDEX($R$23:$R$823,ROW()-22),"")</f>
        <v/>
      </c>
      <c r="B161">
        <f>IFERROR(INDEX($S$23:$S$823,ROW()-22),"")</f>
        <v/>
      </c>
      <c r="C161">
        <f>IFERROR(INDEX($W$23:$W$823,ROW()-22),"")</f>
        <v/>
      </c>
      <c r="D161" s="24">
        <f>IFERROR(1/B161,"")</f>
        <v/>
      </c>
      <c r="E161" s="25">
        <f>IFERROR((D161-C161/100)*10000,"")</f>
        <v/>
      </c>
    </row>
    <row r="162">
      <c r="A162" s="23">
        <f>IFERROR(INDEX($R$23:$R$823,ROW()-22),"")</f>
        <v/>
      </c>
      <c r="B162">
        <f>IFERROR(INDEX($S$23:$S$823,ROW()-22),"")</f>
        <v/>
      </c>
      <c r="C162">
        <f>IFERROR(INDEX($W$23:$W$823,ROW()-22),"")</f>
        <v/>
      </c>
      <c r="D162" s="24">
        <f>IFERROR(1/B162,"")</f>
        <v/>
      </c>
      <c r="E162" s="25">
        <f>IFERROR((D162-C162/100)*10000,"")</f>
        <v/>
      </c>
    </row>
    <row r="163">
      <c r="A163" s="23">
        <f>IFERROR(INDEX($R$23:$R$823,ROW()-22),"")</f>
        <v/>
      </c>
      <c r="B163">
        <f>IFERROR(INDEX($S$23:$S$823,ROW()-22),"")</f>
        <v/>
      </c>
      <c r="C163">
        <f>IFERROR(INDEX($W$23:$W$823,ROW()-22),"")</f>
        <v/>
      </c>
      <c r="D163" s="24">
        <f>IFERROR(1/B163,"")</f>
        <v/>
      </c>
      <c r="E163" s="25">
        <f>IFERROR((D163-C163/100)*10000,"")</f>
        <v/>
      </c>
    </row>
    <row r="164">
      <c r="A164" s="23">
        <f>IFERROR(INDEX($R$23:$R$823,ROW()-22),"")</f>
        <v/>
      </c>
      <c r="B164">
        <f>IFERROR(INDEX($S$23:$S$823,ROW()-22),"")</f>
        <v/>
      </c>
      <c r="C164">
        <f>IFERROR(INDEX($W$23:$W$823,ROW()-22),"")</f>
        <v/>
      </c>
      <c r="D164" s="24">
        <f>IFERROR(1/B164,"")</f>
        <v/>
      </c>
      <c r="E164" s="25">
        <f>IFERROR((D164-C164/100)*10000,"")</f>
        <v/>
      </c>
    </row>
    <row r="165">
      <c r="A165" s="23">
        <f>IFERROR(INDEX($R$23:$R$823,ROW()-22),"")</f>
        <v/>
      </c>
      <c r="B165">
        <f>IFERROR(INDEX($S$23:$S$823,ROW()-22),"")</f>
        <v/>
      </c>
      <c r="C165">
        <f>IFERROR(INDEX($W$23:$W$823,ROW()-22),"")</f>
        <v/>
      </c>
      <c r="D165" s="24">
        <f>IFERROR(1/B165,"")</f>
        <v/>
      </c>
      <c r="E165" s="25">
        <f>IFERROR((D165-C165/100)*10000,"")</f>
        <v/>
      </c>
    </row>
    <row r="166">
      <c r="A166" s="23">
        <f>IFERROR(INDEX($R$23:$R$823,ROW()-22),"")</f>
        <v/>
      </c>
      <c r="B166">
        <f>IFERROR(INDEX($S$23:$S$823,ROW()-22),"")</f>
        <v/>
      </c>
      <c r="C166">
        <f>IFERROR(INDEX($W$23:$W$823,ROW()-22),"")</f>
        <v/>
      </c>
      <c r="D166" s="24">
        <f>IFERROR(1/B166,"")</f>
        <v/>
      </c>
      <c r="E166" s="25">
        <f>IFERROR((D166-C166/100)*10000,"")</f>
        <v/>
      </c>
    </row>
    <row r="167">
      <c r="A167" s="23">
        <f>IFERROR(INDEX($R$23:$R$823,ROW()-22),"")</f>
        <v/>
      </c>
      <c r="B167">
        <f>IFERROR(INDEX($S$23:$S$823,ROW()-22),"")</f>
        <v/>
      </c>
      <c r="C167">
        <f>IFERROR(INDEX($W$23:$W$823,ROW()-22),"")</f>
        <v/>
      </c>
      <c r="D167" s="24">
        <f>IFERROR(1/B167,"")</f>
        <v/>
      </c>
      <c r="E167" s="25">
        <f>IFERROR((D167-C167/100)*10000,"")</f>
        <v/>
      </c>
    </row>
    <row r="168">
      <c r="A168" s="23">
        <f>IFERROR(INDEX($R$23:$R$823,ROW()-22),"")</f>
        <v/>
      </c>
      <c r="B168">
        <f>IFERROR(INDEX($S$23:$S$823,ROW()-22),"")</f>
        <v/>
      </c>
      <c r="C168">
        <f>IFERROR(INDEX($W$23:$W$823,ROW()-22),"")</f>
        <v/>
      </c>
      <c r="D168" s="24">
        <f>IFERROR(1/B168,"")</f>
        <v/>
      </c>
      <c r="E168" s="25">
        <f>IFERROR((D168-C168/100)*10000,"")</f>
        <v/>
      </c>
    </row>
    <row r="169">
      <c r="A169" s="23">
        <f>IFERROR(INDEX($R$23:$R$823,ROW()-22),"")</f>
        <v/>
      </c>
      <c r="B169">
        <f>IFERROR(INDEX($S$23:$S$823,ROW()-22),"")</f>
        <v/>
      </c>
      <c r="C169">
        <f>IFERROR(INDEX($W$23:$W$823,ROW()-22),"")</f>
        <v/>
      </c>
      <c r="D169" s="24">
        <f>IFERROR(1/B169,"")</f>
        <v/>
      </c>
      <c r="E169" s="25">
        <f>IFERROR((D169-C169/100)*10000,"")</f>
        <v/>
      </c>
    </row>
    <row r="170">
      <c r="A170" s="23">
        <f>IFERROR(INDEX($R$23:$R$823,ROW()-22),"")</f>
        <v/>
      </c>
      <c r="B170">
        <f>IFERROR(INDEX($S$23:$S$823,ROW()-22),"")</f>
        <v/>
      </c>
      <c r="C170">
        <f>IFERROR(INDEX($W$23:$W$823,ROW()-22),"")</f>
        <v/>
      </c>
      <c r="D170" s="24">
        <f>IFERROR(1/B170,"")</f>
        <v/>
      </c>
      <c r="E170" s="25">
        <f>IFERROR((D170-C170/100)*10000,"")</f>
        <v/>
      </c>
    </row>
    <row r="171">
      <c r="A171" s="23">
        <f>IFERROR(INDEX($R$23:$R$823,ROW()-22),"")</f>
        <v/>
      </c>
      <c r="B171">
        <f>IFERROR(INDEX($S$23:$S$823,ROW()-22),"")</f>
        <v/>
      </c>
      <c r="C171">
        <f>IFERROR(INDEX($W$23:$W$823,ROW()-22),"")</f>
        <v/>
      </c>
      <c r="D171" s="24">
        <f>IFERROR(1/B171,"")</f>
        <v/>
      </c>
      <c r="E171" s="25">
        <f>IFERROR((D171-C171/100)*10000,"")</f>
        <v/>
      </c>
    </row>
    <row r="172">
      <c r="A172" s="23">
        <f>IFERROR(INDEX($R$23:$R$823,ROW()-22),"")</f>
        <v/>
      </c>
      <c r="B172">
        <f>IFERROR(INDEX($S$23:$S$823,ROW()-22),"")</f>
        <v/>
      </c>
      <c r="C172">
        <f>IFERROR(INDEX($W$23:$W$823,ROW()-22),"")</f>
        <v/>
      </c>
      <c r="D172" s="24">
        <f>IFERROR(1/B172,"")</f>
        <v/>
      </c>
      <c r="E172" s="25">
        <f>IFERROR((D172-C172/100)*10000,"")</f>
        <v/>
      </c>
    </row>
    <row r="173">
      <c r="A173" s="23">
        <f>IFERROR(INDEX($R$23:$R$823,ROW()-22),"")</f>
        <v/>
      </c>
      <c r="B173">
        <f>IFERROR(INDEX($S$23:$S$823,ROW()-22),"")</f>
        <v/>
      </c>
      <c r="C173">
        <f>IFERROR(INDEX($W$23:$W$823,ROW()-22),"")</f>
        <v/>
      </c>
      <c r="D173" s="24">
        <f>IFERROR(1/B173,"")</f>
        <v/>
      </c>
      <c r="E173" s="25">
        <f>IFERROR((D173-C173/100)*10000,"")</f>
        <v/>
      </c>
    </row>
    <row r="174">
      <c r="A174" s="23">
        <f>IFERROR(INDEX($R$23:$R$823,ROW()-22),"")</f>
        <v/>
      </c>
      <c r="B174">
        <f>IFERROR(INDEX($S$23:$S$823,ROW()-22),"")</f>
        <v/>
      </c>
      <c r="C174">
        <f>IFERROR(INDEX($W$23:$W$823,ROW()-22),"")</f>
        <v/>
      </c>
      <c r="D174" s="24">
        <f>IFERROR(1/B174,"")</f>
        <v/>
      </c>
      <c r="E174" s="25">
        <f>IFERROR((D174-C174/100)*10000,"")</f>
        <v/>
      </c>
    </row>
    <row r="175">
      <c r="A175" s="23">
        <f>IFERROR(INDEX($R$23:$R$823,ROW()-22),"")</f>
        <v/>
      </c>
      <c r="B175">
        <f>IFERROR(INDEX($S$23:$S$823,ROW()-22),"")</f>
        <v/>
      </c>
      <c r="C175">
        <f>IFERROR(INDEX($W$23:$W$823,ROW()-22),"")</f>
        <v/>
      </c>
      <c r="D175" s="24">
        <f>IFERROR(1/B175,"")</f>
        <v/>
      </c>
      <c r="E175" s="25">
        <f>IFERROR((D175-C175/100)*10000,"")</f>
        <v/>
      </c>
    </row>
    <row r="176">
      <c r="A176" s="23">
        <f>IFERROR(INDEX($R$23:$R$823,ROW()-22),"")</f>
        <v/>
      </c>
      <c r="B176">
        <f>IFERROR(INDEX($S$23:$S$823,ROW()-22),"")</f>
        <v/>
      </c>
      <c r="C176">
        <f>IFERROR(INDEX($W$23:$W$823,ROW()-22),"")</f>
        <v/>
      </c>
      <c r="D176" s="24">
        <f>IFERROR(1/B176,"")</f>
        <v/>
      </c>
      <c r="E176" s="25">
        <f>IFERROR((D176-C176/100)*10000,"")</f>
        <v/>
      </c>
    </row>
    <row r="177">
      <c r="A177" s="23">
        <f>IFERROR(INDEX($R$23:$R$823,ROW()-22),"")</f>
        <v/>
      </c>
      <c r="B177">
        <f>IFERROR(INDEX($S$23:$S$823,ROW()-22),"")</f>
        <v/>
      </c>
      <c r="C177">
        <f>IFERROR(INDEX($W$23:$W$823,ROW()-22),"")</f>
        <v/>
      </c>
      <c r="D177" s="24">
        <f>IFERROR(1/B177,"")</f>
        <v/>
      </c>
      <c r="E177" s="25">
        <f>IFERROR((D177-C177/100)*10000,"")</f>
        <v/>
      </c>
    </row>
    <row r="178">
      <c r="A178" s="23">
        <f>IFERROR(INDEX($R$23:$R$823,ROW()-22),"")</f>
        <v/>
      </c>
      <c r="B178">
        <f>IFERROR(INDEX($S$23:$S$823,ROW()-22),"")</f>
        <v/>
      </c>
      <c r="C178">
        <f>IFERROR(INDEX($W$23:$W$823,ROW()-22),"")</f>
        <v/>
      </c>
      <c r="D178" s="24">
        <f>IFERROR(1/B178,"")</f>
        <v/>
      </c>
      <c r="E178" s="25">
        <f>IFERROR((D178-C178/100)*10000,"")</f>
        <v/>
      </c>
    </row>
    <row r="179">
      <c r="A179" s="23">
        <f>IFERROR(INDEX($R$23:$R$823,ROW()-22),"")</f>
        <v/>
      </c>
      <c r="B179">
        <f>IFERROR(INDEX($S$23:$S$823,ROW()-22),"")</f>
        <v/>
      </c>
      <c r="C179">
        <f>IFERROR(INDEX($W$23:$W$823,ROW()-22),"")</f>
        <v/>
      </c>
      <c r="D179" s="24">
        <f>IFERROR(1/B179,"")</f>
        <v/>
      </c>
      <c r="E179" s="25">
        <f>IFERROR((D179-C179/100)*10000,"")</f>
        <v/>
      </c>
    </row>
    <row r="180">
      <c r="A180" s="23">
        <f>IFERROR(INDEX($R$23:$R$823,ROW()-22),"")</f>
        <v/>
      </c>
      <c r="B180">
        <f>IFERROR(INDEX($S$23:$S$823,ROW()-22),"")</f>
        <v/>
      </c>
      <c r="C180">
        <f>IFERROR(INDEX($W$23:$W$823,ROW()-22),"")</f>
        <v/>
      </c>
      <c r="D180" s="24">
        <f>IFERROR(1/B180,"")</f>
        <v/>
      </c>
      <c r="E180" s="25">
        <f>IFERROR((D180-C180/100)*10000,"")</f>
        <v/>
      </c>
    </row>
    <row r="181">
      <c r="A181" s="23">
        <f>IFERROR(INDEX($R$23:$R$823,ROW()-22),"")</f>
        <v/>
      </c>
      <c r="B181">
        <f>IFERROR(INDEX($S$23:$S$823,ROW()-22),"")</f>
        <v/>
      </c>
      <c r="C181">
        <f>IFERROR(INDEX($W$23:$W$823,ROW()-22),"")</f>
        <v/>
      </c>
      <c r="D181" s="24">
        <f>IFERROR(1/B181,"")</f>
        <v/>
      </c>
      <c r="E181" s="25">
        <f>IFERROR((D181-C181/100)*10000,"")</f>
        <v/>
      </c>
    </row>
    <row r="182">
      <c r="A182" s="23">
        <f>IFERROR(INDEX($R$23:$R$823,ROW()-22),"")</f>
        <v/>
      </c>
      <c r="B182">
        <f>IFERROR(INDEX($S$23:$S$823,ROW()-22),"")</f>
        <v/>
      </c>
      <c r="C182">
        <f>IFERROR(INDEX($W$23:$W$823,ROW()-22),"")</f>
        <v/>
      </c>
      <c r="D182" s="24">
        <f>IFERROR(1/B182,"")</f>
        <v/>
      </c>
      <c r="E182" s="25">
        <f>IFERROR((D182-C182/100)*10000,"")</f>
        <v/>
      </c>
    </row>
    <row r="183">
      <c r="A183" s="23">
        <f>IFERROR(INDEX($R$23:$R$823,ROW()-22),"")</f>
        <v/>
      </c>
      <c r="B183">
        <f>IFERROR(INDEX($S$23:$S$823,ROW()-22),"")</f>
        <v/>
      </c>
      <c r="C183">
        <f>IFERROR(INDEX($W$23:$W$823,ROW()-22),"")</f>
        <v/>
      </c>
      <c r="D183" s="24">
        <f>IFERROR(1/B183,"")</f>
        <v/>
      </c>
      <c r="E183" s="25">
        <f>IFERROR((D183-C183/100)*10000,"")</f>
        <v/>
      </c>
    </row>
    <row r="184">
      <c r="A184" s="23">
        <f>IFERROR(INDEX($R$23:$R$823,ROW()-22),"")</f>
        <v/>
      </c>
      <c r="B184">
        <f>IFERROR(INDEX($S$23:$S$823,ROW()-22),"")</f>
        <v/>
      </c>
      <c r="C184">
        <f>IFERROR(INDEX($W$23:$W$823,ROW()-22),"")</f>
        <v/>
      </c>
      <c r="D184" s="24">
        <f>IFERROR(1/B184,"")</f>
        <v/>
      </c>
      <c r="E184" s="25">
        <f>IFERROR((D184-C184/100)*10000,"")</f>
        <v/>
      </c>
    </row>
    <row r="185">
      <c r="A185" s="23">
        <f>IFERROR(INDEX($R$23:$R$823,ROW()-22),"")</f>
        <v/>
      </c>
      <c r="B185">
        <f>IFERROR(INDEX($S$23:$S$823,ROW()-22),"")</f>
        <v/>
      </c>
      <c r="C185">
        <f>IFERROR(INDEX($W$23:$W$823,ROW()-22),"")</f>
        <v/>
      </c>
      <c r="D185" s="24">
        <f>IFERROR(1/B185,"")</f>
        <v/>
      </c>
      <c r="E185" s="25">
        <f>IFERROR((D185-C185/100)*10000,"")</f>
        <v/>
      </c>
    </row>
    <row r="186">
      <c r="A186" s="23">
        <f>IFERROR(INDEX($R$23:$R$823,ROW()-22),"")</f>
        <v/>
      </c>
      <c r="B186">
        <f>IFERROR(INDEX($S$23:$S$823,ROW()-22),"")</f>
        <v/>
      </c>
      <c r="C186">
        <f>IFERROR(INDEX($W$23:$W$823,ROW()-22),"")</f>
        <v/>
      </c>
      <c r="D186" s="24">
        <f>IFERROR(1/B186,"")</f>
        <v/>
      </c>
      <c r="E186" s="25">
        <f>IFERROR((D186-C186/100)*10000,"")</f>
        <v/>
      </c>
    </row>
    <row r="187">
      <c r="A187" s="23">
        <f>IFERROR(INDEX($R$23:$R$823,ROW()-22),"")</f>
        <v/>
      </c>
      <c r="B187">
        <f>IFERROR(INDEX($S$23:$S$823,ROW()-22),"")</f>
        <v/>
      </c>
      <c r="C187">
        <f>IFERROR(INDEX($W$23:$W$823,ROW()-22),"")</f>
        <v/>
      </c>
      <c r="D187" s="24">
        <f>IFERROR(1/B187,"")</f>
        <v/>
      </c>
      <c r="E187" s="25">
        <f>IFERROR((D187-C187/100)*10000,"")</f>
        <v/>
      </c>
    </row>
    <row r="188">
      <c r="A188" s="23">
        <f>IFERROR(INDEX($R$23:$R$823,ROW()-22),"")</f>
        <v/>
      </c>
      <c r="B188">
        <f>IFERROR(INDEX($S$23:$S$823,ROW()-22),"")</f>
        <v/>
      </c>
      <c r="C188">
        <f>IFERROR(INDEX($W$23:$W$823,ROW()-22),"")</f>
        <v/>
      </c>
      <c r="D188" s="24">
        <f>IFERROR(1/B188,"")</f>
        <v/>
      </c>
      <c r="E188" s="25">
        <f>IFERROR((D188-C188/100)*10000,"")</f>
        <v/>
      </c>
    </row>
    <row r="189">
      <c r="A189" s="23">
        <f>IFERROR(INDEX($R$23:$R$823,ROW()-22),"")</f>
        <v/>
      </c>
      <c r="B189">
        <f>IFERROR(INDEX($S$23:$S$823,ROW()-22),"")</f>
        <v/>
      </c>
      <c r="C189">
        <f>IFERROR(INDEX($W$23:$W$823,ROW()-22),"")</f>
        <v/>
      </c>
      <c r="D189" s="24">
        <f>IFERROR(1/B189,"")</f>
        <v/>
      </c>
      <c r="E189" s="25">
        <f>IFERROR((D189-C189/100)*10000,"")</f>
        <v/>
      </c>
    </row>
    <row r="190">
      <c r="A190" s="23">
        <f>IFERROR(INDEX($R$23:$R$823,ROW()-22),"")</f>
        <v/>
      </c>
      <c r="B190">
        <f>IFERROR(INDEX($S$23:$S$823,ROW()-22),"")</f>
        <v/>
      </c>
      <c r="C190">
        <f>IFERROR(INDEX($W$23:$W$823,ROW()-22),"")</f>
        <v/>
      </c>
      <c r="D190" s="24">
        <f>IFERROR(1/B190,"")</f>
        <v/>
      </c>
      <c r="E190" s="25">
        <f>IFERROR((D190-C190/100)*10000,"")</f>
        <v/>
      </c>
    </row>
    <row r="191">
      <c r="A191" s="23">
        <f>IFERROR(INDEX($R$23:$R$823,ROW()-22),"")</f>
        <v/>
      </c>
      <c r="B191">
        <f>IFERROR(INDEX($S$23:$S$823,ROW()-22),"")</f>
        <v/>
      </c>
      <c r="C191">
        <f>IFERROR(INDEX($W$23:$W$823,ROW()-22),"")</f>
        <v/>
      </c>
      <c r="D191" s="24">
        <f>IFERROR(1/B191,"")</f>
        <v/>
      </c>
      <c r="E191" s="25">
        <f>IFERROR((D191-C191/100)*10000,"")</f>
        <v/>
      </c>
    </row>
    <row r="192">
      <c r="A192" s="23">
        <f>IFERROR(INDEX($R$23:$R$823,ROW()-22),"")</f>
        <v/>
      </c>
      <c r="B192">
        <f>IFERROR(INDEX($S$23:$S$823,ROW()-22),"")</f>
        <v/>
      </c>
      <c r="C192">
        <f>IFERROR(INDEX($W$23:$W$823,ROW()-22),"")</f>
        <v/>
      </c>
      <c r="D192" s="24">
        <f>IFERROR(1/B192,"")</f>
        <v/>
      </c>
      <c r="E192" s="25">
        <f>IFERROR((D192-C192/100)*10000,"")</f>
        <v/>
      </c>
    </row>
    <row r="193">
      <c r="A193" s="23">
        <f>IFERROR(INDEX($R$23:$R$823,ROW()-22),"")</f>
        <v/>
      </c>
      <c r="B193">
        <f>IFERROR(INDEX($S$23:$S$823,ROW()-22),"")</f>
        <v/>
      </c>
      <c r="C193">
        <f>IFERROR(INDEX($W$23:$W$823,ROW()-22),"")</f>
        <v/>
      </c>
      <c r="D193" s="24">
        <f>IFERROR(1/B193,"")</f>
        <v/>
      </c>
      <c r="E193" s="25">
        <f>IFERROR((D193-C193/100)*10000,"")</f>
        <v/>
      </c>
    </row>
    <row r="194">
      <c r="A194" s="23">
        <f>IFERROR(INDEX($R$23:$R$823,ROW()-22),"")</f>
        <v/>
      </c>
      <c r="B194">
        <f>IFERROR(INDEX($S$23:$S$823,ROW()-22),"")</f>
        <v/>
      </c>
      <c r="C194">
        <f>IFERROR(INDEX($W$23:$W$823,ROW()-22),"")</f>
        <v/>
      </c>
      <c r="D194" s="24">
        <f>IFERROR(1/B194,"")</f>
        <v/>
      </c>
      <c r="E194" s="25">
        <f>IFERROR((D194-C194/100)*10000,"")</f>
        <v/>
      </c>
    </row>
    <row r="195">
      <c r="A195" s="23">
        <f>IFERROR(INDEX($R$23:$R$823,ROW()-22),"")</f>
        <v/>
      </c>
      <c r="B195">
        <f>IFERROR(INDEX($S$23:$S$823,ROW()-22),"")</f>
        <v/>
      </c>
      <c r="C195">
        <f>IFERROR(INDEX($W$23:$W$823,ROW()-22),"")</f>
        <v/>
      </c>
      <c r="D195" s="24">
        <f>IFERROR(1/B195,"")</f>
        <v/>
      </c>
      <c r="E195" s="25">
        <f>IFERROR((D195-C195/100)*10000,"")</f>
        <v/>
      </c>
    </row>
    <row r="196">
      <c r="A196" s="23">
        <f>IFERROR(INDEX($R$23:$R$823,ROW()-22),"")</f>
        <v/>
      </c>
      <c r="B196">
        <f>IFERROR(INDEX($S$23:$S$823,ROW()-22),"")</f>
        <v/>
      </c>
      <c r="C196">
        <f>IFERROR(INDEX($W$23:$W$823,ROW()-22),"")</f>
        <v/>
      </c>
      <c r="D196" s="24">
        <f>IFERROR(1/B196,"")</f>
        <v/>
      </c>
      <c r="E196" s="25">
        <f>IFERROR((D196-C196/100)*10000,"")</f>
        <v/>
      </c>
    </row>
    <row r="197">
      <c r="A197" s="23">
        <f>IFERROR(INDEX($R$23:$R$823,ROW()-22),"")</f>
        <v/>
      </c>
      <c r="B197">
        <f>IFERROR(INDEX($S$23:$S$823,ROW()-22),"")</f>
        <v/>
      </c>
      <c r="C197">
        <f>IFERROR(INDEX($W$23:$W$823,ROW()-22),"")</f>
        <v/>
      </c>
      <c r="D197" s="24">
        <f>IFERROR(1/B197,"")</f>
        <v/>
      </c>
      <c r="E197" s="25">
        <f>IFERROR((D197-C197/100)*10000,"")</f>
        <v/>
      </c>
    </row>
    <row r="198">
      <c r="A198" s="23">
        <f>IFERROR(INDEX($R$23:$R$823,ROW()-22),"")</f>
        <v/>
      </c>
      <c r="B198">
        <f>IFERROR(INDEX($S$23:$S$823,ROW()-22),"")</f>
        <v/>
      </c>
      <c r="C198">
        <f>IFERROR(INDEX($W$23:$W$823,ROW()-22),"")</f>
        <v/>
      </c>
      <c r="D198" s="24">
        <f>IFERROR(1/B198,"")</f>
        <v/>
      </c>
      <c r="E198" s="25">
        <f>IFERROR((D198-C198/100)*10000,"")</f>
        <v/>
      </c>
    </row>
    <row r="199">
      <c r="A199" s="23">
        <f>IFERROR(INDEX($R$23:$R$823,ROW()-22),"")</f>
        <v/>
      </c>
      <c r="B199">
        <f>IFERROR(INDEX($S$23:$S$823,ROW()-22),"")</f>
        <v/>
      </c>
      <c r="C199">
        <f>IFERROR(INDEX($W$23:$W$823,ROW()-22),"")</f>
        <v/>
      </c>
      <c r="D199" s="24">
        <f>IFERROR(1/B199,"")</f>
        <v/>
      </c>
      <c r="E199" s="25">
        <f>IFERROR((D199-C199/100)*10000,"")</f>
        <v/>
      </c>
    </row>
    <row r="200">
      <c r="A200" s="23">
        <f>IFERROR(INDEX($R$23:$R$823,ROW()-22),"")</f>
        <v/>
      </c>
      <c r="B200">
        <f>IFERROR(INDEX($S$23:$S$823,ROW()-22),"")</f>
        <v/>
      </c>
      <c r="C200">
        <f>IFERROR(INDEX($W$23:$W$823,ROW()-22),"")</f>
        <v/>
      </c>
      <c r="D200" s="24">
        <f>IFERROR(1/B200,"")</f>
        <v/>
      </c>
      <c r="E200" s="25">
        <f>IFERROR((D200-C200/100)*10000,"")</f>
        <v/>
      </c>
    </row>
    <row r="201">
      <c r="A201" s="23">
        <f>IFERROR(INDEX($R$23:$R$823,ROW()-22),"")</f>
        <v/>
      </c>
      <c r="B201">
        <f>IFERROR(INDEX($S$23:$S$823,ROW()-22),"")</f>
        <v/>
      </c>
      <c r="C201">
        <f>IFERROR(INDEX($W$23:$W$823,ROW()-22),"")</f>
        <v/>
      </c>
      <c r="D201" s="24">
        <f>IFERROR(1/B201,"")</f>
        <v/>
      </c>
      <c r="E201" s="25">
        <f>IFERROR((D201-C201/100)*10000,"")</f>
        <v/>
      </c>
    </row>
    <row r="202">
      <c r="A202" s="23">
        <f>IFERROR(INDEX($R$23:$R$823,ROW()-22),"")</f>
        <v/>
      </c>
      <c r="B202">
        <f>IFERROR(INDEX($S$23:$S$823,ROW()-22),"")</f>
        <v/>
      </c>
      <c r="C202">
        <f>IFERROR(INDEX($W$23:$W$823,ROW()-22),"")</f>
        <v/>
      </c>
      <c r="D202" s="24">
        <f>IFERROR(1/B202,"")</f>
        <v/>
      </c>
      <c r="E202" s="25">
        <f>IFERROR((D202-C202/100)*10000,"")</f>
        <v/>
      </c>
    </row>
    <row r="203">
      <c r="A203" s="23">
        <f>IFERROR(INDEX($R$23:$R$823,ROW()-22),"")</f>
        <v/>
      </c>
      <c r="B203">
        <f>IFERROR(INDEX($S$23:$S$823,ROW()-22),"")</f>
        <v/>
      </c>
      <c r="C203">
        <f>IFERROR(INDEX($W$23:$W$823,ROW()-22),"")</f>
        <v/>
      </c>
      <c r="D203" s="24">
        <f>IFERROR(1/B203,"")</f>
        <v/>
      </c>
      <c r="E203" s="25">
        <f>IFERROR((D203-C203/100)*10000,"")</f>
        <v/>
      </c>
    </row>
    <row r="204">
      <c r="A204" s="23">
        <f>IFERROR(INDEX($R$23:$R$823,ROW()-22),"")</f>
        <v/>
      </c>
      <c r="B204">
        <f>IFERROR(INDEX($S$23:$S$823,ROW()-22),"")</f>
        <v/>
      </c>
      <c r="C204">
        <f>IFERROR(INDEX($W$23:$W$823,ROW()-22),"")</f>
        <v/>
      </c>
      <c r="D204" s="24">
        <f>IFERROR(1/B204,"")</f>
        <v/>
      </c>
      <c r="E204" s="25">
        <f>IFERROR((D204-C204/100)*10000,"")</f>
        <v/>
      </c>
    </row>
    <row r="205">
      <c r="A205" s="23">
        <f>IFERROR(INDEX($R$23:$R$823,ROW()-22),"")</f>
        <v/>
      </c>
      <c r="B205">
        <f>IFERROR(INDEX($S$23:$S$823,ROW()-22),"")</f>
        <v/>
      </c>
      <c r="C205">
        <f>IFERROR(INDEX($W$23:$W$823,ROW()-22),"")</f>
        <v/>
      </c>
      <c r="D205" s="24">
        <f>IFERROR(1/B205,"")</f>
        <v/>
      </c>
      <c r="E205" s="25">
        <f>IFERROR((D205-C205/100)*10000,"")</f>
        <v/>
      </c>
    </row>
    <row r="206">
      <c r="A206" s="23">
        <f>IFERROR(INDEX($R$23:$R$823,ROW()-22),"")</f>
        <v/>
      </c>
      <c r="B206">
        <f>IFERROR(INDEX($S$23:$S$823,ROW()-22),"")</f>
        <v/>
      </c>
      <c r="C206">
        <f>IFERROR(INDEX($W$23:$W$823,ROW()-22),"")</f>
        <v/>
      </c>
      <c r="D206" s="24">
        <f>IFERROR(1/B206,"")</f>
        <v/>
      </c>
      <c r="E206" s="25">
        <f>IFERROR((D206-C206/100)*10000,"")</f>
        <v/>
      </c>
    </row>
    <row r="207">
      <c r="A207" s="23">
        <f>IFERROR(INDEX($R$23:$R$823,ROW()-22),"")</f>
        <v/>
      </c>
      <c r="B207">
        <f>IFERROR(INDEX($S$23:$S$823,ROW()-22),"")</f>
        <v/>
      </c>
      <c r="C207">
        <f>IFERROR(INDEX($W$23:$W$823,ROW()-22),"")</f>
        <v/>
      </c>
      <c r="D207" s="24">
        <f>IFERROR(1/B207,"")</f>
        <v/>
      </c>
      <c r="E207" s="25">
        <f>IFERROR((D207-C207/100)*10000,"")</f>
        <v/>
      </c>
    </row>
    <row r="208">
      <c r="A208" s="23">
        <f>IFERROR(INDEX($R$23:$R$823,ROW()-22),"")</f>
        <v/>
      </c>
      <c r="B208">
        <f>IFERROR(INDEX($S$23:$S$823,ROW()-22),"")</f>
        <v/>
      </c>
      <c r="C208">
        <f>IFERROR(INDEX($W$23:$W$823,ROW()-22),"")</f>
        <v/>
      </c>
      <c r="D208" s="24">
        <f>IFERROR(1/B208,"")</f>
        <v/>
      </c>
      <c r="E208" s="25">
        <f>IFERROR((D208-C208/100)*10000,"")</f>
        <v/>
      </c>
    </row>
    <row r="209">
      <c r="A209" s="23">
        <f>IFERROR(INDEX($R$23:$R$823,ROW()-22),"")</f>
        <v/>
      </c>
      <c r="B209">
        <f>IFERROR(INDEX($S$23:$S$823,ROW()-22),"")</f>
        <v/>
      </c>
      <c r="C209">
        <f>IFERROR(INDEX($W$23:$W$823,ROW()-22),"")</f>
        <v/>
      </c>
      <c r="D209" s="24">
        <f>IFERROR(1/B209,"")</f>
        <v/>
      </c>
      <c r="E209" s="25">
        <f>IFERROR((D209-C209/100)*10000,"")</f>
        <v/>
      </c>
    </row>
    <row r="210">
      <c r="A210" s="23">
        <f>IFERROR(INDEX($R$23:$R$823,ROW()-22),"")</f>
        <v/>
      </c>
      <c r="B210">
        <f>IFERROR(INDEX($S$23:$S$823,ROW()-22),"")</f>
        <v/>
      </c>
      <c r="C210">
        <f>IFERROR(INDEX($W$23:$W$823,ROW()-22),"")</f>
        <v/>
      </c>
      <c r="D210" s="24">
        <f>IFERROR(1/B210,"")</f>
        <v/>
      </c>
      <c r="E210" s="25">
        <f>IFERROR((D210-C210/100)*10000,"")</f>
        <v/>
      </c>
    </row>
    <row r="211">
      <c r="A211" s="23">
        <f>IFERROR(INDEX($R$23:$R$823,ROW()-22),"")</f>
        <v/>
      </c>
      <c r="B211">
        <f>IFERROR(INDEX($S$23:$S$823,ROW()-22),"")</f>
        <v/>
      </c>
      <c r="C211">
        <f>IFERROR(INDEX($W$23:$W$823,ROW()-22),"")</f>
        <v/>
      </c>
      <c r="D211" s="24">
        <f>IFERROR(1/B211,"")</f>
        <v/>
      </c>
      <c r="E211" s="25">
        <f>IFERROR((D211-C211/100)*10000,"")</f>
        <v/>
      </c>
    </row>
    <row r="212">
      <c r="A212" s="23">
        <f>IFERROR(INDEX($R$23:$R$823,ROW()-22),"")</f>
        <v/>
      </c>
      <c r="B212">
        <f>IFERROR(INDEX($S$23:$S$823,ROW()-22),"")</f>
        <v/>
      </c>
      <c r="C212">
        <f>IFERROR(INDEX($W$23:$W$823,ROW()-22),"")</f>
        <v/>
      </c>
      <c r="D212" s="24">
        <f>IFERROR(1/B212,"")</f>
        <v/>
      </c>
      <c r="E212" s="25">
        <f>IFERROR((D212-C212/100)*10000,"")</f>
        <v/>
      </c>
    </row>
    <row r="213">
      <c r="A213" s="23">
        <f>IFERROR(INDEX($R$23:$R$823,ROW()-22),"")</f>
        <v/>
      </c>
      <c r="B213">
        <f>IFERROR(INDEX($S$23:$S$823,ROW()-22),"")</f>
        <v/>
      </c>
      <c r="C213">
        <f>IFERROR(INDEX($W$23:$W$823,ROW()-22),"")</f>
        <v/>
      </c>
      <c r="D213" s="24">
        <f>IFERROR(1/B213,"")</f>
        <v/>
      </c>
      <c r="E213" s="25">
        <f>IFERROR((D213-C213/100)*10000,"")</f>
        <v/>
      </c>
    </row>
    <row r="214">
      <c r="A214" s="23">
        <f>IFERROR(INDEX($R$23:$R$823,ROW()-22),"")</f>
        <v/>
      </c>
      <c r="B214">
        <f>IFERROR(INDEX($S$23:$S$823,ROW()-22),"")</f>
        <v/>
      </c>
      <c r="C214">
        <f>IFERROR(INDEX($W$23:$W$823,ROW()-22),"")</f>
        <v/>
      </c>
      <c r="D214" s="24">
        <f>IFERROR(1/B214,"")</f>
        <v/>
      </c>
      <c r="E214" s="25">
        <f>IFERROR((D214-C214/100)*10000,"")</f>
        <v/>
      </c>
    </row>
    <row r="215">
      <c r="A215" s="23">
        <f>IFERROR(INDEX($R$23:$R$823,ROW()-22),"")</f>
        <v/>
      </c>
      <c r="B215">
        <f>IFERROR(INDEX($S$23:$S$823,ROW()-22),"")</f>
        <v/>
      </c>
      <c r="C215">
        <f>IFERROR(INDEX($W$23:$W$823,ROW()-22),"")</f>
        <v/>
      </c>
      <c r="D215" s="24">
        <f>IFERROR(1/B215,"")</f>
        <v/>
      </c>
      <c r="E215" s="25">
        <f>IFERROR((D215-C215/100)*10000,"")</f>
        <v/>
      </c>
    </row>
    <row r="216">
      <c r="A216" s="23">
        <f>IFERROR(INDEX($R$23:$R$823,ROW()-22),"")</f>
        <v/>
      </c>
      <c r="B216">
        <f>IFERROR(INDEX($S$23:$S$823,ROW()-22),"")</f>
        <v/>
      </c>
      <c r="C216">
        <f>IFERROR(INDEX($W$23:$W$823,ROW()-22),"")</f>
        <v/>
      </c>
      <c r="D216" s="24">
        <f>IFERROR(1/B216,"")</f>
        <v/>
      </c>
      <c r="E216" s="25">
        <f>IFERROR((D216-C216/100)*10000,"")</f>
        <v/>
      </c>
    </row>
    <row r="217">
      <c r="A217" s="23">
        <f>IFERROR(INDEX($R$23:$R$823,ROW()-22),"")</f>
        <v/>
      </c>
      <c r="B217">
        <f>IFERROR(INDEX($S$23:$S$823,ROW()-22),"")</f>
        <v/>
      </c>
      <c r="C217">
        <f>IFERROR(INDEX($W$23:$W$823,ROW()-22),"")</f>
        <v/>
      </c>
      <c r="D217" s="24">
        <f>IFERROR(1/B217,"")</f>
        <v/>
      </c>
      <c r="E217" s="25">
        <f>IFERROR((D217-C217/100)*10000,"")</f>
        <v/>
      </c>
    </row>
    <row r="218">
      <c r="A218" s="23">
        <f>IFERROR(INDEX($R$23:$R$823,ROW()-22),"")</f>
        <v/>
      </c>
      <c r="B218">
        <f>IFERROR(INDEX($S$23:$S$823,ROW()-22),"")</f>
        <v/>
      </c>
      <c r="C218">
        <f>IFERROR(INDEX($W$23:$W$823,ROW()-22),"")</f>
        <v/>
      </c>
      <c r="D218" s="24">
        <f>IFERROR(1/B218,"")</f>
        <v/>
      </c>
      <c r="E218" s="25">
        <f>IFERROR((D218-C218/100)*10000,"")</f>
        <v/>
      </c>
    </row>
    <row r="219">
      <c r="A219" s="23">
        <f>IFERROR(INDEX($R$23:$R$823,ROW()-22),"")</f>
        <v/>
      </c>
      <c r="B219">
        <f>IFERROR(INDEX($S$23:$S$823,ROW()-22),"")</f>
        <v/>
      </c>
      <c r="C219">
        <f>IFERROR(INDEX($W$23:$W$823,ROW()-22),"")</f>
        <v/>
      </c>
      <c r="D219" s="24">
        <f>IFERROR(1/B219,"")</f>
        <v/>
      </c>
      <c r="E219" s="25">
        <f>IFERROR((D219-C219/100)*10000,"")</f>
        <v/>
      </c>
    </row>
    <row r="220">
      <c r="A220" s="23">
        <f>IFERROR(INDEX($R$23:$R$823,ROW()-22),"")</f>
        <v/>
      </c>
      <c r="B220">
        <f>IFERROR(INDEX($S$23:$S$823,ROW()-22),"")</f>
        <v/>
      </c>
      <c r="C220">
        <f>IFERROR(INDEX($W$23:$W$823,ROW()-22),"")</f>
        <v/>
      </c>
      <c r="D220" s="24">
        <f>IFERROR(1/B220,"")</f>
        <v/>
      </c>
      <c r="E220" s="25">
        <f>IFERROR((D220-C220/100)*10000,"")</f>
        <v/>
      </c>
    </row>
    <row r="221">
      <c r="A221" s="23">
        <f>IFERROR(INDEX($R$23:$R$823,ROW()-22),"")</f>
        <v/>
      </c>
      <c r="B221">
        <f>IFERROR(INDEX($S$23:$S$823,ROW()-22),"")</f>
        <v/>
      </c>
      <c r="C221">
        <f>IFERROR(INDEX($W$23:$W$823,ROW()-22),"")</f>
        <v/>
      </c>
      <c r="D221" s="24">
        <f>IFERROR(1/B221,"")</f>
        <v/>
      </c>
      <c r="E221" s="25">
        <f>IFERROR((D221-C221/100)*10000,"")</f>
        <v/>
      </c>
    </row>
    <row r="222">
      <c r="A222" s="23">
        <f>IFERROR(INDEX($R$23:$R$823,ROW()-22),"")</f>
        <v/>
      </c>
      <c r="B222">
        <f>IFERROR(INDEX($S$23:$S$823,ROW()-22),"")</f>
        <v/>
      </c>
      <c r="C222">
        <f>IFERROR(INDEX($W$23:$W$823,ROW()-22),"")</f>
        <v/>
      </c>
      <c r="D222" s="24">
        <f>IFERROR(1/B222,"")</f>
        <v/>
      </c>
      <c r="E222" s="25">
        <f>IFERROR((D222-C222/100)*10000,"")</f>
        <v/>
      </c>
    </row>
    <row r="223">
      <c r="A223" s="23">
        <f>IFERROR(INDEX($R$23:$R$823,ROW()-22),"")</f>
        <v/>
      </c>
      <c r="B223">
        <f>IFERROR(INDEX($S$23:$S$823,ROW()-22),"")</f>
        <v/>
      </c>
      <c r="C223">
        <f>IFERROR(INDEX($W$23:$W$823,ROW()-22),"")</f>
        <v/>
      </c>
      <c r="D223" s="24">
        <f>IFERROR(1/B223,"")</f>
        <v/>
      </c>
      <c r="E223" s="25">
        <f>IFERROR((D223-C223/100)*10000,"")</f>
        <v/>
      </c>
    </row>
    <row r="224">
      <c r="A224" s="23">
        <f>IFERROR(INDEX($R$23:$R$823,ROW()-22),"")</f>
        <v/>
      </c>
      <c r="B224">
        <f>IFERROR(INDEX($S$23:$S$823,ROW()-22),"")</f>
        <v/>
      </c>
      <c r="C224">
        <f>IFERROR(INDEX($W$23:$W$823,ROW()-22),"")</f>
        <v/>
      </c>
      <c r="D224" s="24">
        <f>IFERROR(1/B224,"")</f>
        <v/>
      </c>
      <c r="E224" s="25">
        <f>IFERROR((D224-C224/100)*10000,"")</f>
        <v/>
      </c>
    </row>
    <row r="225">
      <c r="A225" s="23">
        <f>IFERROR(INDEX($R$23:$R$823,ROW()-22),"")</f>
        <v/>
      </c>
      <c r="B225">
        <f>IFERROR(INDEX($S$23:$S$823,ROW()-22),"")</f>
        <v/>
      </c>
      <c r="C225">
        <f>IFERROR(INDEX($W$23:$W$823,ROW()-22),"")</f>
        <v/>
      </c>
      <c r="D225" s="24">
        <f>IFERROR(1/B225,"")</f>
        <v/>
      </c>
      <c r="E225" s="25">
        <f>IFERROR((D225-C225/100)*10000,"")</f>
        <v/>
      </c>
    </row>
    <row r="226">
      <c r="A226" s="23">
        <f>IFERROR(INDEX($R$23:$R$823,ROW()-22),"")</f>
        <v/>
      </c>
      <c r="B226">
        <f>IFERROR(INDEX($S$23:$S$823,ROW()-22),"")</f>
        <v/>
      </c>
      <c r="C226">
        <f>IFERROR(INDEX($W$23:$W$823,ROW()-22),"")</f>
        <v/>
      </c>
      <c r="D226" s="24">
        <f>IFERROR(1/B226,"")</f>
        <v/>
      </c>
      <c r="E226" s="25">
        <f>IFERROR((D226-C226/100)*10000,"")</f>
        <v/>
      </c>
    </row>
    <row r="227">
      <c r="A227" s="23">
        <f>IFERROR(INDEX($R$23:$R$823,ROW()-22),"")</f>
        <v/>
      </c>
      <c r="B227">
        <f>IFERROR(INDEX($S$23:$S$823,ROW()-22),"")</f>
        <v/>
      </c>
      <c r="C227">
        <f>IFERROR(INDEX($W$23:$W$823,ROW()-22),"")</f>
        <v/>
      </c>
      <c r="D227" s="24">
        <f>IFERROR(1/B227,"")</f>
        <v/>
      </c>
      <c r="E227" s="25">
        <f>IFERROR((D227-C227/100)*10000,"")</f>
        <v/>
      </c>
    </row>
    <row r="228">
      <c r="A228" s="23">
        <f>IFERROR(INDEX($R$23:$R$823,ROW()-22),"")</f>
        <v/>
      </c>
      <c r="B228">
        <f>IFERROR(INDEX($S$23:$S$823,ROW()-22),"")</f>
        <v/>
      </c>
      <c r="C228">
        <f>IFERROR(INDEX($W$23:$W$823,ROW()-22),"")</f>
        <v/>
      </c>
      <c r="D228" s="24">
        <f>IFERROR(1/B228,"")</f>
        <v/>
      </c>
      <c r="E228" s="25">
        <f>IFERROR((D228-C228/100)*10000,"")</f>
        <v/>
      </c>
    </row>
    <row r="229">
      <c r="A229" s="23">
        <f>IFERROR(INDEX($R$23:$R$823,ROW()-22),"")</f>
        <v/>
      </c>
      <c r="B229">
        <f>IFERROR(INDEX($S$23:$S$823,ROW()-22),"")</f>
        <v/>
      </c>
      <c r="C229">
        <f>IFERROR(INDEX($W$23:$W$823,ROW()-22),"")</f>
        <v/>
      </c>
      <c r="D229" s="24">
        <f>IFERROR(1/B229,"")</f>
        <v/>
      </c>
      <c r="E229" s="25">
        <f>IFERROR((D229-C229/100)*10000,"")</f>
        <v/>
      </c>
    </row>
    <row r="230">
      <c r="A230" s="23">
        <f>IFERROR(INDEX($R$23:$R$823,ROW()-22),"")</f>
        <v/>
      </c>
      <c r="B230">
        <f>IFERROR(INDEX($S$23:$S$823,ROW()-22),"")</f>
        <v/>
      </c>
      <c r="C230">
        <f>IFERROR(INDEX($W$23:$W$823,ROW()-22),"")</f>
        <v/>
      </c>
      <c r="D230" s="24">
        <f>IFERROR(1/B230,"")</f>
        <v/>
      </c>
      <c r="E230" s="25">
        <f>IFERROR((D230-C230/100)*10000,"")</f>
        <v/>
      </c>
    </row>
    <row r="231">
      <c r="A231" s="23">
        <f>IFERROR(INDEX($R$23:$R$823,ROW()-22),"")</f>
        <v/>
      </c>
      <c r="B231">
        <f>IFERROR(INDEX($S$23:$S$823,ROW()-22),"")</f>
        <v/>
      </c>
      <c r="C231">
        <f>IFERROR(INDEX($W$23:$W$823,ROW()-22),"")</f>
        <v/>
      </c>
      <c r="D231" s="24">
        <f>IFERROR(1/B231,"")</f>
        <v/>
      </c>
      <c r="E231" s="25">
        <f>IFERROR((D231-C231/100)*10000,"")</f>
        <v/>
      </c>
    </row>
    <row r="232">
      <c r="A232" s="23">
        <f>IFERROR(INDEX($R$23:$R$823,ROW()-22),"")</f>
        <v/>
      </c>
      <c r="B232">
        <f>IFERROR(INDEX($S$23:$S$823,ROW()-22),"")</f>
        <v/>
      </c>
      <c r="C232">
        <f>IFERROR(INDEX($W$23:$W$823,ROW()-22),"")</f>
        <v/>
      </c>
      <c r="D232" s="24">
        <f>IFERROR(1/B232,"")</f>
        <v/>
      </c>
      <c r="E232" s="25">
        <f>IFERROR((D232-C232/100)*10000,"")</f>
        <v/>
      </c>
    </row>
    <row r="233">
      <c r="A233" s="23">
        <f>IFERROR(INDEX($R$23:$R$823,ROW()-22),"")</f>
        <v/>
      </c>
      <c r="B233">
        <f>IFERROR(INDEX($S$23:$S$823,ROW()-22),"")</f>
        <v/>
      </c>
      <c r="C233">
        <f>IFERROR(INDEX($W$23:$W$823,ROW()-22),"")</f>
        <v/>
      </c>
      <c r="D233" s="24">
        <f>IFERROR(1/B233,"")</f>
        <v/>
      </c>
      <c r="E233" s="25">
        <f>IFERROR((D233-C233/100)*10000,"")</f>
        <v/>
      </c>
    </row>
    <row r="234">
      <c r="A234" s="23">
        <f>IFERROR(INDEX($R$23:$R$823,ROW()-22),"")</f>
        <v/>
      </c>
      <c r="B234">
        <f>IFERROR(INDEX($S$23:$S$823,ROW()-22),"")</f>
        <v/>
      </c>
      <c r="C234">
        <f>IFERROR(INDEX($W$23:$W$823,ROW()-22),"")</f>
        <v/>
      </c>
      <c r="D234" s="24">
        <f>IFERROR(1/B234,"")</f>
        <v/>
      </c>
      <c r="E234" s="25">
        <f>IFERROR((D234-C234/100)*10000,"")</f>
        <v/>
      </c>
    </row>
    <row r="235">
      <c r="A235" s="23">
        <f>IFERROR(INDEX($R$23:$R$823,ROW()-22),"")</f>
        <v/>
      </c>
      <c r="B235">
        <f>IFERROR(INDEX($S$23:$S$823,ROW()-22),"")</f>
        <v/>
      </c>
      <c r="C235">
        <f>IFERROR(INDEX($W$23:$W$823,ROW()-22),"")</f>
        <v/>
      </c>
      <c r="D235" s="24">
        <f>IFERROR(1/B235,"")</f>
        <v/>
      </c>
      <c r="E235" s="25">
        <f>IFERROR((D235-C235/100)*10000,"")</f>
        <v/>
      </c>
    </row>
    <row r="236">
      <c r="A236" s="23">
        <f>IFERROR(INDEX($R$23:$R$823,ROW()-22),"")</f>
        <v/>
      </c>
      <c r="B236">
        <f>IFERROR(INDEX($S$23:$S$823,ROW()-22),"")</f>
        <v/>
      </c>
      <c r="C236">
        <f>IFERROR(INDEX($W$23:$W$823,ROW()-22),"")</f>
        <v/>
      </c>
      <c r="D236" s="24">
        <f>IFERROR(1/B236,"")</f>
        <v/>
      </c>
      <c r="E236" s="25">
        <f>IFERROR((D236-C236/100)*10000,"")</f>
        <v/>
      </c>
    </row>
    <row r="237">
      <c r="A237" s="23">
        <f>IFERROR(INDEX($R$23:$R$823,ROW()-22),"")</f>
        <v/>
      </c>
      <c r="B237">
        <f>IFERROR(INDEX($S$23:$S$823,ROW()-22),"")</f>
        <v/>
      </c>
      <c r="C237">
        <f>IFERROR(INDEX($W$23:$W$823,ROW()-22),"")</f>
        <v/>
      </c>
      <c r="D237" s="24">
        <f>IFERROR(1/B237,"")</f>
        <v/>
      </c>
      <c r="E237" s="25">
        <f>IFERROR((D237-C237/100)*10000,"")</f>
        <v/>
      </c>
    </row>
    <row r="238">
      <c r="A238" s="23">
        <f>IFERROR(INDEX($R$23:$R$823,ROW()-22),"")</f>
        <v/>
      </c>
      <c r="B238">
        <f>IFERROR(INDEX($S$23:$S$823,ROW()-22),"")</f>
        <v/>
      </c>
      <c r="C238">
        <f>IFERROR(INDEX($W$23:$W$823,ROW()-22),"")</f>
        <v/>
      </c>
      <c r="D238" s="24">
        <f>IFERROR(1/B238,"")</f>
        <v/>
      </c>
      <c r="E238" s="25">
        <f>IFERROR((D238-C238/100)*10000,"")</f>
        <v/>
      </c>
    </row>
    <row r="239">
      <c r="A239" s="23">
        <f>IFERROR(INDEX($R$23:$R$823,ROW()-22),"")</f>
        <v/>
      </c>
      <c r="B239">
        <f>IFERROR(INDEX($S$23:$S$823,ROW()-22),"")</f>
        <v/>
      </c>
      <c r="C239">
        <f>IFERROR(INDEX($W$23:$W$823,ROW()-22),"")</f>
        <v/>
      </c>
      <c r="D239" s="24">
        <f>IFERROR(1/B239,"")</f>
        <v/>
      </c>
      <c r="E239" s="25">
        <f>IFERROR((D239-C239/100)*10000,"")</f>
        <v/>
      </c>
    </row>
    <row r="240">
      <c r="A240" s="23">
        <f>IFERROR(INDEX($R$23:$R$823,ROW()-22),"")</f>
        <v/>
      </c>
      <c r="B240">
        <f>IFERROR(INDEX($S$23:$S$823,ROW()-22),"")</f>
        <v/>
      </c>
      <c r="C240">
        <f>IFERROR(INDEX($W$23:$W$823,ROW()-22),"")</f>
        <v/>
      </c>
      <c r="D240" s="24">
        <f>IFERROR(1/B240,"")</f>
        <v/>
      </c>
      <c r="E240" s="25">
        <f>IFERROR((D240-C240/100)*10000,"")</f>
        <v/>
      </c>
    </row>
    <row r="241">
      <c r="A241" s="23">
        <f>IFERROR(INDEX($R$23:$R$823,ROW()-22),"")</f>
        <v/>
      </c>
      <c r="B241">
        <f>IFERROR(INDEX($S$23:$S$823,ROW()-22),"")</f>
        <v/>
      </c>
      <c r="C241">
        <f>IFERROR(INDEX($W$23:$W$823,ROW()-22),"")</f>
        <v/>
      </c>
      <c r="D241" s="24">
        <f>IFERROR(1/B241,"")</f>
        <v/>
      </c>
      <c r="E241" s="25">
        <f>IFERROR((D241-C241/100)*10000,"")</f>
        <v/>
      </c>
    </row>
    <row r="242">
      <c r="A242" s="23">
        <f>IFERROR(INDEX($R$23:$R$823,ROW()-22),"")</f>
        <v/>
      </c>
      <c r="B242">
        <f>IFERROR(INDEX($S$23:$S$823,ROW()-22),"")</f>
        <v/>
      </c>
      <c r="C242">
        <f>IFERROR(INDEX($W$23:$W$823,ROW()-22),"")</f>
        <v/>
      </c>
      <c r="D242" s="24">
        <f>IFERROR(1/B242,"")</f>
        <v/>
      </c>
      <c r="E242" s="25">
        <f>IFERROR((D242-C242/100)*10000,"")</f>
        <v/>
      </c>
    </row>
    <row r="243">
      <c r="A243" s="23">
        <f>IFERROR(INDEX($R$23:$R$823,ROW()-22),"")</f>
        <v/>
      </c>
      <c r="B243">
        <f>IFERROR(INDEX($S$23:$S$823,ROW()-22),"")</f>
        <v/>
      </c>
      <c r="C243">
        <f>IFERROR(INDEX($W$23:$W$823,ROW()-22),"")</f>
        <v/>
      </c>
      <c r="D243" s="24">
        <f>IFERROR(1/B243,"")</f>
        <v/>
      </c>
      <c r="E243" s="25">
        <f>IFERROR((D243-C243/100)*10000,"")</f>
        <v/>
      </c>
    </row>
    <row r="244">
      <c r="A244" s="23">
        <f>IFERROR(INDEX($R$23:$R$823,ROW()-22),"")</f>
        <v/>
      </c>
      <c r="B244">
        <f>IFERROR(INDEX($S$23:$S$823,ROW()-22),"")</f>
        <v/>
      </c>
      <c r="C244">
        <f>IFERROR(INDEX($W$23:$W$823,ROW()-22),"")</f>
        <v/>
      </c>
      <c r="D244" s="24">
        <f>IFERROR(1/B244,"")</f>
        <v/>
      </c>
      <c r="E244" s="25">
        <f>IFERROR((D244-C244/100)*10000,"")</f>
        <v/>
      </c>
    </row>
    <row r="245">
      <c r="A245" s="23">
        <f>IFERROR(INDEX($R$23:$R$823,ROW()-22),"")</f>
        <v/>
      </c>
      <c r="B245">
        <f>IFERROR(INDEX($S$23:$S$823,ROW()-22),"")</f>
        <v/>
      </c>
      <c r="C245">
        <f>IFERROR(INDEX($W$23:$W$823,ROW()-22),"")</f>
        <v/>
      </c>
      <c r="D245" s="24">
        <f>IFERROR(1/B245,"")</f>
        <v/>
      </c>
      <c r="E245" s="25">
        <f>IFERROR((D245-C245/100)*10000,"")</f>
        <v/>
      </c>
    </row>
    <row r="246">
      <c r="A246" s="23">
        <f>IFERROR(INDEX($R$23:$R$823,ROW()-22),"")</f>
        <v/>
      </c>
      <c r="B246">
        <f>IFERROR(INDEX($S$23:$S$823,ROW()-22),"")</f>
        <v/>
      </c>
      <c r="C246">
        <f>IFERROR(INDEX($W$23:$W$823,ROW()-22),"")</f>
        <v/>
      </c>
      <c r="D246" s="24">
        <f>IFERROR(1/B246,"")</f>
        <v/>
      </c>
      <c r="E246" s="25">
        <f>IFERROR((D246-C246/100)*10000,"")</f>
        <v/>
      </c>
    </row>
    <row r="247">
      <c r="A247" s="23">
        <f>IFERROR(INDEX($R$23:$R$823,ROW()-22),"")</f>
        <v/>
      </c>
      <c r="B247">
        <f>IFERROR(INDEX($S$23:$S$823,ROW()-22),"")</f>
        <v/>
      </c>
      <c r="C247">
        <f>IFERROR(INDEX($W$23:$W$823,ROW()-22),"")</f>
        <v/>
      </c>
      <c r="D247" s="24">
        <f>IFERROR(1/B247,"")</f>
        <v/>
      </c>
      <c r="E247" s="25">
        <f>IFERROR((D247-C247/100)*10000,"")</f>
        <v/>
      </c>
    </row>
    <row r="248">
      <c r="A248" s="23">
        <f>IFERROR(INDEX($R$23:$R$823,ROW()-22),"")</f>
        <v/>
      </c>
      <c r="B248">
        <f>IFERROR(INDEX($S$23:$S$823,ROW()-22),"")</f>
        <v/>
      </c>
      <c r="C248">
        <f>IFERROR(INDEX($W$23:$W$823,ROW()-22),"")</f>
        <v/>
      </c>
      <c r="D248" s="24">
        <f>IFERROR(1/B248,"")</f>
        <v/>
      </c>
      <c r="E248" s="25">
        <f>IFERROR((D248-C248/100)*10000,"")</f>
        <v/>
      </c>
    </row>
    <row r="249">
      <c r="A249" s="23">
        <f>IFERROR(INDEX($R$23:$R$823,ROW()-22),"")</f>
        <v/>
      </c>
      <c r="B249">
        <f>IFERROR(INDEX($S$23:$S$823,ROW()-22),"")</f>
        <v/>
      </c>
      <c r="C249">
        <f>IFERROR(INDEX($W$23:$W$823,ROW()-22),"")</f>
        <v/>
      </c>
      <c r="D249" s="24">
        <f>IFERROR(1/B249,"")</f>
        <v/>
      </c>
      <c r="E249" s="25">
        <f>IFERROR((D249-C249/100)*10000,"")</f>
        <v/>
      </c>
    </row>
    <row r="250">
      <c r="A250" s="23">
        <f>IFERROR(INDEX($R$23:$R$823,ROW()-22),"")</f>
        <v/>
      </c>
      <c r="B250">
        <f>IFERROR(INDEX($S$23:$S$823,ROW()-22),"")</f>
        <v/>
      </c>
      <c r="C250">
        <f>IFERROR(INDEX($W$23:$W$823,ROW()-22),"")</f>
        <v/>
      </c>
      <c r="D250" s="24">
        <f>IFERROR(1/B250,"")</f>
        <v/>
      </c>
      <c r="E250" s="25">
        <f>IFERROR((D250-C250/100)*10000,"")</f>
        <v/>
      </c>
    </row>
    <row r="251">
      <c r="A251" s="23">
        <f>IFERROR(INDEX($R$23:$R$823,ROW()-22),"")</f>
        <v/>
      </c>
      <c r="B251">
        <f>IFERROR(INDEX($S$23:$S$823,ROW()-22),"")</f>
        <v/>
      </c>
      <c r="C251">
        <f>IFERROR(INDEX($W$23:$W$823,ROW()-22),"")</f>
        <v/>
      </c>
      <c r="D251" s="24">
        <f>IFERROR(1/B251,"")</f>
        <v/>
      </c>
      <c r="E251" s="25">
        <f>IFERROR((D251-C251/100)*10000,"")</f>
        <v/>
      </c>
    </row>
    <row r="252">
      <c r="A252" s="23">
        <f>IFERROR(INDEX($R$23:$R$823,ROW()-22),"")</f>
        <v/>
      </c>
      <c r="B252">
        <f>IFERROR(INDEX($S$23:$S$823,ROW()-22),"")</f>
        <v/>
      </c>
      <c r="C252">
        <f>IFERROR(INDEX($W$23:$W$823,ROW()-22),"")</f>
        <v/>
      </c>
      <c r="D252" s="24">
        <f>IFERROR(1/B252,"")</f>
        <v/>
      </c>
      <c r="E252" s="25">
        <f>IFERROR((D252-C252/100)*10000,"")</f>
        <v/>
      </c>
    </row>
    <row r="253">
      <c r="A253" s="23">
        <f>IFERROR(INDEX($R$23:$R$823,ROW()-22),"")</f>
        <v/>
      </c>
      <c r="B253">
        <f>IFERROR(INDEX($S$23:$S$823,ROW()-22),"")</f>
        <v/>
      </c>
      <c r="C253">
        <f>IFERROR(INDEX($W$23:$W$823,ROW()-22),"")</f>
        <v/>
      </c>
      <c r="D253" s="24">
        <f>IFERROR(1/B253,"")</f>
        <v/>
      </c>
      <c r="E253" s="25">
        <f>IFERROR((D253-C253/100)*10000,"")</f>
        <v/>
      </c>
    </row>
    <row r="254">
      <c r="A254" s="23">
        <f>IFERROR(INDEX($R$23:$R$823,ROW()-22),"")</f>
        <v/>
      </c>
      <c r="B254">
        <f>IFERROR(INDEX($S$23:$S$823,ROW()-22),"")</f>
        <v/>
      </c>
      <c r="C254">
        <f>IFERROR(INDEX($W$23:$W$823,ROW()-22),"")</f>
        <v/>
      </c>
      <c r="D254" s="24">
        <f>IFERROR(1/B254,"")</f>
        <v/>
      </c>
      <c r="E254" s="25">
        <f>IFERROR((D254-C254/100)*10000,"")</f>
        <v/>
      </c>
    </row>
    <row r="255">
      <c r="A255" s="23">
        <f>IFERROR(INDEX($R$23:$R$823,ROW()-22),"")</f>
        <v/>
      </c>
      <c r="B255">
        <f>IFERROR(INDEX($S$23:$S$823,ROW()-22),"")</f>
        <v/>
      </c>
      <c r="C255">
        <f>IFERROR(INDEX($W$23:$W$823,ROW()-22),"")</f>
        <v/>
      </c>
      <c r="D255" s="24">
        <f>IFERROR(1/B255,"")</f>
        <v/>
      </c>
      <c r="E255" s="25">
        <f>IFERROR((D255-C255/100)*10000,"")</f>
        <v/>
      </c>
    </row>
    <row r="256">
      <c r="A256" s="23">
        <f>IFERROR(INDEX($R$23:$R$823,ROW()-22),"")</f>
        <v/>
      </c>
      <c r="B256">
        <f>IFERROR(INDEX($S$23:$S$823,ROW()-22),"")</f>
        <v/>
      </c>
      <c r="C256">
        <f>IFERROR(INDEX($W$23:$W$823,ROW()-22),"")</f>
        <v/>
      </c>
      <c r="D256" s="24">
        <f>IFERROR(1/B256,"")</f>
        <v/>
      </c>
      <c r="E256" s="25">
        <f>IFERROR((D256-C256/100)*10000,"")</f>
        <v/>
      </c>
    </row>
    <row r="257">
      <c r="A257" s="23">
        <f>IFERROR(INDEX($R$23:$R$823,ROW()-22),"")</f>
        <v/>
      </c>
      <c r="B257">
        <f>IFERROR(INDEX($S$23:$S$823,ROW()-22),"")</f>
        <v/>
      </c>
      <c r="C257">
        <f>IFERROR(INDEX($W$23:$W$823,ROW()-22),"")</f>
        <v/>
      </c>
      <c r="D257" s="24">
        <f>IFERROR(1/B257,"")</f>
        <v/>
      </c>
      <c r="E257" s="25">
        <f>IFERROR((D257-C257/100)*10000,"")</f>
        <v/>
      </c>
    </row>
    <row r="258">
      <c r="A258" s="23">
        <f>IFERROR(INDEX($R$23:$R$823,ROW()-22),"")</f>
        <v/>
      </c>
      <c r="B258">
        <f>IFERROR(INDEX($S$23:$S$823,ROW()-22),"")</f>
        <v/>
      </c>
      <c r="C258">
        <f>IFERROR(INDEX($W$23:$W$823,ROW()-22),"")</f>
        <v/>
      </c>
      <c r="D258" s="24">
        <f>IFERROR(1/B258,"")</f>
        <v/>
      </c>
      <c r="E258" s="25">
        <f>IFERROR((D258-C258/100)*10000,"")</f>
        <v/>
      </c>
    </row>
    <row r="259">
      <c r="A259" s="23">
        <f>IFERROR(INDEX($R$23:$R$823,ROW()-22),"")</f>
        <v/>
      </c>
      <c r="B259">
        <f>IFERROR(INDEX($S$23:$S$823,ROW()-22),"")</f>
        <v/>
      </c>
      <c r="C259">
        <f>IFERROR(INDEX($W$23:$W$823,ROW()-22),"")</f>
        <v/>
      </c>
      <c r="D259" s="24">
        <f>IFERROR(1/B259,"")</f>
        <v/>
      </c>
      <c r="E259" s="25">
        <f>IFERROR((D259-C259/100)*10000,"")</f>
        <v/>
      </c>
    </row>
    <row r="260">
      <c r="A260" s="23">
        <f>IFERROR(INDEX($R$23:$R$823,ROW()-22),"")</f>
        <v/>
      </c>
      <c r="B260">
        <f>IFERROR(INDEX($S$23:$S$823,ROW()-22),"")</f>
        <v/>
      </c>
      <c r="C260">
        <f>IFERROR(INDEX($W$23:$W$823,ROW()-22),"")</f>
        <v/>
      </c>
      <c r="D260" s="24">
        <f>IFERROR(1/B260,"")</f>
        <v/>
      </c>
      <c r="E260" s="25">
        <f>IFERROR((D260-C260/100)*10000,"")</f>
        <v/>
      </c>
    </row>
    <row r="261">
      <c r="A261" s="23">
        <f>IFERROR(INDEX($R$23:$R$823,ROW()-22),"")</f>
        <v/>
      </c>
      <c r="B261">
        <f>IFERROR(INDEX($S$23:$S$823,ROW()-22),"")</f>
        <v/>
      </c>
      <c r="C261">
        <f>IFERROR(INDEX($W$23:$W$823,ROW()-22),"")</f>
        <v/>
      </c>
      <c r="D261" s="24">
        <f>IFERROR(1/B261,"")</f>
        <v/>
      </c>
      <c r="E261" s="25">
        <f>IFERROR((D261-C261/100)*10000,"")</f>
        <v/>
      </c>
    </row>
    <row r="262">
      <c r="A262" s="23">
        <f>IFERROR(INDEX($R$23:$R$823,ROW()-22),"")</f>
        <v/>
      </c>
      <c r="B262">
        <f>IFERROR(INDEX($S$23:$S$823,ROW()-22),"")</f>
        <v/>
      </c>
      <c r="C262">
        <f>IFERROR(INDEX($W$23:$W$823,ROW()-22),"")</f>
        <v/>
      </c>
      <c r="D262" s="24">
        <f>IFERROR(1/B262,"")</f>
        <v/>
      </c>
      <c r="E262" s="25">
        <f>IFERROR((D262-C262/100)*10000,"")</f>
        <v/>
      </c>
    </row>
    <row r="263">
      <c r="A263" s="23">
        <f>IFERROR(INDEX($R$23:$R$823,ROW()-22),"")</f>
        <v/>
      </c>
      <c r="B263">
        <f>IFERROR(INDEX($S$23:$S$823,ROW()-22),"")</f>
        <v/>
      </c>
      <c r="C263">
        <f>IFERROR(INDEX($W$23:$W$823,ROW()-22),"")</f>
        <v/>
      </c>
      <c r="D263" s="24">
        <f>IFERROR(1/B263,"")</f>
        <v/>
      </c>
      <c r="E263" s="25">
        <f>IFERROR((D263-C263/100)*10000,"")</f>
        <v/>
      </c>
    </row>
    <row r="264">
      <c r="A264" s="23">
        <f>IFERROR(INDEX($R$23:$R$823,ROW()-22),"")</f>
        <v/>
      </c>
      <c r="B264">
        <f>IFERROR(INDEX($S$23:$S$823,ROW()-22),"")</f>
        <v/>
      </c>
      <c r="C264">
        <f>IFERROR(INDEX($W$23:$W$823,ROW()-22),"")</f>
        <v/>
      </c>
      <c r="D264" s="24">
        <f>IFERROR(1/B264,"")</f>
        <v/>
      </c>
      <c r="E264" s="25">
        <f>IFERROR((D264-C264/100)*10000,"")</f>
        <v/>
      </c>
    </row>
    <row r="265">
      <c r="A265" s="23">
        <f>IFERROR(INDEX($R$23:$R$823,ROW()-22),"")</f>
        <v/>
      </c>
      <c r="B265">
        <f>IFERROR(INDEX($S$23:$S$823,ROW()-22),"")</f>
        <v/>
      </c>
      <c r="C265">
        <f>IFERROR(INDEX($W$23:$W$823,ROW()-22),"")</f>
        <v/>
      </c>
      <c r="D265" s="24">
        <f>IFERROR(1/B265,"")</f>
        <v/>
      </c>
      <c r="E265" s="25">
        <f>IFERROR((D265-C265/100)*10000,"")</f>
        <v/>
      </c>
    </row>
    <row r="266">
      <c r="A266" s="23">
        <f>IFERROR(INDEX($R$23:$R$823,ROW()-22),"")</f>
        <v/>
      </c>
      <c r="B266">
        <f>IFERROR(INDEX($S$23:$S$823,ROW()-22),"")</f>
        <v/>
      </c>
      <c r="C266">
        <f>IFERROR(INDEX($W$23:$W$823,ROW()-22),"")</f>
        <v/>
      </c>
      <c r="D266" s="24">
        <f>IFERROR(1/B266,"")</f>
        <v/>
      </c>
      <c r="E266" s="25">
        <f>IFERROR((D266-C266/100)*10000,"")</f>
        <v/>
      </c>
    </row>
    <row r="267">
      <c r="A267" s="23">
        <f>IFERROR(INDEX($R$23:$R$823,ROW()-22),"")</f>
        <v/>
      </c>
      <c r="B267">
        <f>IFERROR(INDEX($S$23:$S$823,ROW()-22),"")</f>
        <v/>
      </c>
      <c r="C267">
        <f>IFERROR(INDEX($W$23:$W$823,ROW()-22),"")</f>
        <v/>
      </c>
      <c r="D267" s="24">
        <f>IFERROR(1/B267,"")</f>
        <v/>
      </c>
      <c r="E267" s="25">
        <f>IFERROR((D267-C267/100)*10000,"")</f>
        <v/>
      </c>
    </row>
    <row r="268">
      <c r="A268" s="23">
        <f>IFERROR(INDEX($R$23:$R$823,ROW()-22),"")</f>
        <v/>
      </c>
      <c r="B268">
        <f>IFERROR(INDEX($S$23:$S$823,ROW()-22),"")</f>
        <v/>
      </c>
      <c r="C268">
        <f>IFERROR(INDEX($W$23:$W$823,ROW()-22),"")</f>
        <v/>
      </c>
      <c r="D268" s="24">
        <f>IFERROR(1/B268,"")</f>
        <v/>
      </c>
      <c r="E268" s="25">
        <f>IFERROR((D268-C268/100)*10000,"")</f>
        <v/>
      </c>
    </row>
    <row r="269">
      <c r="A269" s="23">
        <f>IFERROR(INDEX($R$23:$R$823,ROW()-22),"")</f>
        <v/>
      </c>
      <c r="B269">
        <f>IFERROR(INDEX($S$23:$S$823,ROW()-22),"")</f>
        <v/>
      </c>
      <c r="C269">
        <f>IFERROR(INDEX($W$23:$W$823,ROW()-22),"")</f>
        <v/>
      </c>
      <c r="D269" s="24">
        <f>IFERROR(1/B269,"")</f>
        <v/>
      </c>
      <c r="E269" s="25">
        <f>IFERROR((D269-C269/100)*10000,"")</f>
        <v/>
      </c>
    </row>
    <row r="270">
      <c r="A270" s="23">
        <f>IFERROR(INDEX($R$23:$R$823,ROW()-22),"")</f>
        <v/>
      </c>
      <c r="B270">
        <f>IFERROR(INDEX($S$23:$S$823,ROW()-22),"")</f>
        <v/>
      </c>
      <c r="C270">
        <f>IFERROR(INDEX($W$23:$W$823,ROW()-22),"")</f>
        <v/>
      </c>
      <c r="D270" s="24">
        <f>IFERROR(1/B270,"")</f>
        <v/>
      </c>
      <c r="E270" s="25">
        <f>IFERROR((D270-C270/100)*10000,"")</f>
        <v/>
      </c>
    </row>
    <row r="271">
      <c r="A271" s="23">
        <f>IFERROR(INDEX($R$23:$R$823,ROW()-22),"")</f>
        <v/>
      </c>
      <c r="B271">
        <f>IFERROR(INDEX($S$23:$S$823,ROW()-22),"")</f>
        <v/>
      </c>
      <c r="C271">
        <f>IFERROR(INDEX($W$23:$W$823,ROW()-22),"")</f>
        <v/>
      </c>
      <c r="D271" s="24">
        <f>IFERROR(1/B271,"")</f>
        <v/>
      </c>
      <c r="E271" s="25">
        <f>IFERROR((D271-C271/100)*10000,"")</f>
        <v/>
      </c>
    </row>
    <row r="272">
      <c r="A272" s="23">
        <f>IFERROR(INDEX($R$23:$R$823,ROW()-22),"")</f>
        <v/>
      </c>
      <c r="B272">
        <f>IFERROR(INDEX($S$23:$S$823,ROW()-22),"")</f>
        <v/>
      </c>
      <c r="C272">
        <f>IFERROR(INDEX($W$23:$W$823,ROW()-22),"")</f>
        <v/>
      </c>
      <c r="D272" s="24">
        <f>IFERROR(1/B272,"")</f>
        <v/>
      </c>
      <c r="E272" s="25">
        <f>IFERROR((D272-C272/100)*10000,"")</f>
        <v/>
      </c>
    </row>
    <row r="273">
      <c r="A273" s="23">
        <f>IFERROR(INDEX($R$23:$R$823,ROW()-22),"")</f>
        <v/>
      </c>
      <c r="B273">
        <f>IFERROR(INDEX($S$23:$S$823,ROW()-22),"")</f>
        <v/>
      </c>
      <c r="C273">
        <f>IFERROR(INDEX($W$23:$W$823,ROW()-22),"")</f>
        <v/>
      </c>
      <c r="D273" s="24">
        <f>IFERROR(1/B273,"")</f>
        <v/>
      </c>
      <c r="E273" s="25">
        <f>IFERROR((D273-C273/100)*10000,"")</f>
        <v/>
      </c>
    </row>
    <row r="274">
      <c r="A274" s="23">
        <f>IFERROR(INDEX($R$23:$R$823,ROW()-22),"")</f>
        <v/>
      </c>
      <c r="B274">
        <f>IFERROR(INDEX($S$23:$S$823,ROW()-22),"")</f>
        <v/>
      </c>
      <c r="C274">
        <f>IFERROR(INDEX($W$23:$W$823,ROW()-22),"")</f>
        <v/>
      </c>
      <c r="D274" s="24">
        <f>IFERROR(1/B274,"")</f>
        <v/>
      </c>
      <c r="E274" s="25">
        <f>IFERROR((D274-C274/100)*10000,"")</f>
        <v/>
      </c>
    </row>
    <row r="275">
      <c r="A275" s="23">
        <f>IFERROR(INDEX($R$23:$R$823,ROW()-22),"")</f>
        <v/>
      </c>
      <c r="B275">
        <f>IFERROR(INDEX($S$23:$S$823,ROW()-22),"")</f>
        <v/>
      </c>
      <c r="C275">
        <f>IFERROR(INDEX($W$23:$W$823,ROW()-22),"")</f>
        <v/>
      </c>
      <c r="D275" s="24">
        <f>IFERROR(1/B275,"")</f>
        <v/>
      </c>
      <c r="E275" s="25">
        <f>IFERROR((D275-C275/100)*10000,"")</f>
        <v/>
      </c>
    </row>
    <row r="276">
      <c r="A276" s="23">
        <f>IFERROR(INDEX($R$23:$R$823,ROW()-22),"")</f>
        <v/>
      </c>
      <c r="B276">
        <f>IFERROR(INDEX($S$23:$S$823,ROW()-22),"")</f>
        <v/>
      </c>
      <c r="C276">
        <f>IFERROR(INDEX($W$23:$W$823,ROW()-22),"")</f>
        <v/>
      </c>
      <c r="D276" s="24">
        <f>IFERROR(1/B276,"")</f>
        <v/>
      </c>
      <c r="E276" s="25">
        <f>IFERROR((D276-C276/100)*10000,"")</f>
        <v/>
      </c>
    </row>
    <row r="277">
      <c r="A277" s="23">
        <f>IFERROR(INDEX($R$23:$R$823,ROW()-22),"")</f>
        <v/>
      </c>
      <c r="B277">
        <f>IFERROR(INDEX($S$23:$S$823,ROW()-22),"")</f>
        <v/>
      </c>
      <c r="C277">
        <f>IFERROR(INDEX($W$23:$W$823,ROW()-22),"")</f>
        <v/>
      </c>
      <c r="D277" s="24">
        <f>IFERROR(1/B277,"")</f>
        <v/>
      </c>
      <c r="E277" s="25">
        <f>IFERROR((D277-C277/100)*10000,"")</f>
        <v/>
      </c>
    </row>
    <row r="278">
      <c r="A278" s="23">
        <f>IFERROR(INDEX($R$23:$R$823,ROW()-22),"")</f>
        <v/>
      </c>
      <c r="B278">
        <f>IFERROR(INDEX($S$23:$S$823,ROW()-22),"")</f>
        <v/>
      </c>
      <c r="C278">
        <f>IFERROR(INDEX($W$23:$W$823,ROW()-22),"")</f>
        <v/>
      </c>
      <c r="D278" s="24">
        <f>IFERROR(1/B278,"")</f>
        <v/>
      </c>
      <c r="E278" s="25">
        <f>IFERROR((D278-C278/100)*10000,"")</f>
        <v/>
      </c>
    </row>
    <row r="279">
      <c r="A279" s="23">
        <f>IFERROR(INDEX($R$23:$R$823,ROW()-22),"")</f>
        <v/>
      </c>
      <c r="B279">
        <f>IFERROR(INDEX($S$23:$S$823,ROW()-22),"")</f>
        <v/>
      </c>
      <c r="C279">
        <f>IFERROR(INDEX($W$23:$W$823,ROW()-22),"")</f>
        <v/>
      </c>
      <c r="D279" s="24">
        <f>IFERROR(1/B279,"")</f>
        <v/>
      </c>
      <c r="E279" s="25">
        <f>IFERROR((D279-C279/100)*10000,"")</f>
        <v/>
      </c>
    </row>
    <row r="280">
      <c r="A280" s="23">
        <f>IFERROR(INDEX($R$23:$R$823,ROW()-22),"")</f>
        <v/>
      </c>
      <c r="B280">
        <f>IFERROR(INDEX($S$23:$S$823,ROW()-22),"")</f>
        <v/>
      </c>
      <c r="C280">
        <f>IFERROR(INDEX($W$23:$W$823,ROW()-22),"")</f>
        <v/>
      </c>
      <c r="D280" s="24">
        <f>IFERROR(1/B280,"")</f>
        <v/>
      </c>
      <c r="E280" s="25">
        <f>IFERROR((D280-C280/100)*10000,"")</f>
        <v/>
      </c>
    </row>
    <row r="281">
      <c r="A281" s="23">
        <f>IFERROR(INDEX($R$23:$R$823,ROW()-22),"")</f>
        <v/>
      </c>
      <c r="B281">
        <f>IFERROR(INDEX($S$23:$S$823,ROW()-22),"")</f>
        <v/>
      </c>
      <c r="C281">
        <f>IFERROR(INDEX($W$23:$W$823,ROW()-22),"")</f>
        <v/>
      </c>
      <c r="D281" s="24">
        <f>IFERROR(1/B281,"")</f>
        <v/>
      </c>
      <c r="E281" s="25">
        <f>IFERROR((D281-C281/100)*10000,"")</f>
        <v/>
      </c>
    </row>
    <row r="282">
      <c r="A282" s="23">
        <f>IFERROR(INDEX($R$23:$R$823,ROW()-22),"")</f>
        <v/>
      </c>
      <c r="B282">
        <f>IFERROR(INDEX($S$23:$S$823,ROW()-22),"")</f>
        <v/>
      </c>
      <c r="C282">
        <f>IFERROR(INDEX($W$23:$W$823,ROW()-22),"")</f>
        <v/>
      </c>
      <c r="D282" s="24">
        <f>IFERROR(1/B282,"")</f>
        <v/>
      </c>
      <c r="E282" s="25">
        <f>IFERROR((D282-C282/100)*10000,"")</f>
        <v/>
      </c>
    </row>
    <row r="283">
      <c r="A283" s="23">
        <f>IFERROR(INDEX($R$23:$R$823,ROW()-22),"")</f>
        <v/>
      </c>
      <c r="B283">
        <f>IFERROR(INDEX($S$23:$S$823,ROW()-22),"")</f>
        <v/>
      </c>
      <c r="C283">
        <f>IFERROR(INDEX($W$23:$W$823,ROW()-22),"")</f>
        <v/>
      </c>
      <c r="D283" s="24">
        <f>IFERROR(1/B283,"")</f>
        <v/>
      </c>
      <c r="E283" s="25">
        <f>IFERROR((D283-C283/100)*10000,"")</f>
        <v/>
      </c>
    </row>
    <row r="284">
      <c r="A284" s="23">
        <f>IFERROR(INDEX($R$23:$R$823,ROW()-22),"")</f>
        <v/>
      </c>
      <c r="B284">
        <f>IFERROR(INDEX($S$23:$S$823,ROW()-22),"")</f>
        <v/>
      </c>
      <c r="C284">
        <f>IFERROR(INDEX($W$23:$W$823,ROW()-22),"")</f>
        <v/>
      </c>
      <c r="D284" s="24">
        <f>IFERROR(1/B284,"")</f>
        <v/>
      </c>
      <c r="E284" s="25">
        <f>IFERROR((D284-C284/100)*10000,"")</f>
        <v/>
      </c>
    </row>
    <row r="285">
      <c r="A285" s="23">
        <f>IFERROR(INDEX($R$23:$R$823,ROW()-22),"")</f>
        <v/>
      </c>
      <c r="B285">
        <f>IFERROR(INDEX($S$23:$S$823,ROW()-22),"")</f>
        <v/>
      </c>
      <c r="C285">
        <f>IFERROR(INDEX($W$23:$W$823,ROW()-22),"")</f>
        <v/>
      </c>
      <c r="D285" s="24">
        <f>IFERROR(1/B285,"")</f>
        <v/>
      </c>
      <c r="E285" s="25">
        <f>IFERROR((D285-C285/100)*10000,"")</f>
        <v/>
      </c>
    </row>
    <row r="286">
      <c r="A286" s="23">
        <f>IFERROR(INDEX($R$23:$R$823,ROW()-22),"")</f>
        <v/>
      </c>
      <c r="B286">
        <f>IFERROR(INDEX($S$23:$S$823,ROW()-22),"")</f>
        <v/>
      </c>
      <c r="C286">
        <f>IFERROR(INDEX($W$23:$W$823,ROW()-22),"")</f>
        <v/>
      </c>
      <c r="D286" s="24">
        <f>IFERROR(1/B286,"")</f>
        <v/>
      </c>
      <c r="E286" s="25">
        <f>IFERROR((D286-C286/100)*10000,"")</f>
        <v/>
      </c>
    </row>
    <row r="287">
      <c r="A287" s="23">
        <f>IFERROR(INDEX($R$23:$R$823,ROW()-22),"")</f>
        <v/>
      </c>
      <c r="B287">
        <f>IFERROR(INDEX($S$23:$S$823,ROW()-22),"")</f>
        <v/>
      </c>
      <c r="C287">
        <f>IFERROR(INDEX($W$23:$W$823,ROW()-22),"")</f>
        <v/>
      </c>
      <c r="D287" s="24">
        <f>IFERROR(1/B287,"")</f>
        <v/>
      </c>
      <c r="E287" s="25">
        <f>IFERROR((D287-C287/100)*10000,"")</f>
        <v/>
      </c>
    </row>
    <row r="288">
      <c r="A288" s="23">
        <f>IFERROR(INDEX($R$23:$R$823,ROW()-22),"")</f>
        <v/>
      </c>
      <c r="B288">
        <f>IFERROR(INDEX($S$23:$S$823,ROW()-22),"")</f>
        <v/>
      </c>
      <c r="C288">
        <f>IFERROR(INDEX($W$23:$W$823,ROW()-22),"")</f>
        <v/>
      </c>
      <c r="D288" s="24">
        <f>IFERROR(1/B288,"")</f>
        <v/>
      </c>
      <c r="E288" s="25">
        <f>IFERROR((D288-C288/100)*10000,"")</f>
        <v/>
      </c>
    </row>
    <row r="289">
      <c r="A289" s="23">
        <f>IFERROR(INDEX($R$23:$R$823,ROW()-22),"")</f>
        <v/>
      </c>
      <c r="B289">
        <f>IFERROR(INDEX($S$23:$S$823,ROW()-22),"")</f>
        <v/>
      </c>
      <c r="C289">
        <f>IFERROR(INDEX($W$23:$W$823,ROW()-22),"")</f>
        <v/>
      </c>
      <c r="D289" s="24">
        <f>IFERROR(1/B289,"")</f>
        <v/>
      </c>
      <c r="E289" s="25">
        <f>IFERROR((D289-C289/100)*10000,"")</f>
        <v/>
      </c>
    </row>
    <row r="290">
      <c r="A290" s="23">
        <f>IFERROR(INDEX($R$23:$R$823,ROW()-22),"")</f>
        <v/>
      </c>
      <c r="B290">
        <f>IFERROR(INDEX($S$23:$S$823,ROW()-22),"")</f>
        <v/>
      </c>
      <c r="C290">
        <f>IFERROR(INDEX($W$23:$W$823,ROW()-22),"")</f>
        <v/>
      </c>
      <c r="D290" s="24">
        <f>IFERROR(1/B290,"")</f>
        <v/>
      </c>
      <c r="E290" s="25">
        <f>IFERROR((D290-C290/100)*10000,"")</f>
        <v/>
      </c>
    </row>
    <row r="291">
      <c r="A291" s="23">
        <f>IFERROR(INDEX($R$23:$R$823,ROW()-22),"")</f>
        <v/>
      </c>
      <c r="B291">
        <f>IFERROR(INDEX($S$23:$S$823,ROW()-22),"")</f>
        <v/>
      </c>
      <c r="C291">
        <f>IFERROR(INDEX($W$23:$W$823,ROW()-22),"")</f>
        <v/>
      </c>
      <c r="D291" s="24">
        <f>IFERROR(1/B291,"")</f>
        <v/>
      </c>
      <c r="E291" s="25">
        <f>IFERROR((D291-C291/100)*10000,"")</f>
        <v/>
      </c>
    </row>
    <row r="292">
      <c r="A292" s="23">
        <f>IFERROR(INDEX($R$23:$R$823,ROW()-22),"")</f>
        <v/>
      </c>
      <c r="B292">
        <f>IFERROR(INDEX($S$23:$S$823,ROW()-22),"")</f>
        <v/>
      </c>
      <c r="C292">
        <f>IFERROR(INDEX($W$23:$W$823,ROW()-22),"")</f>
        <v/>
      </c>
      <c r="D292" s="24">
        <f>IFERROR(1/B292,"")</f>
        <v/>
      </c>
      <c r="E292" s="25">
        <f>IFERROR((D292-C292/100)*10000,"")</f>
        <v/>
      </c>
    </row>
    <row r="293">
      <c r="A293" s="23">
        <f>IFERROR(INDEX($R$23:$R$823,ROW()-22),"")</f>
        <v/>
      </c>
      <c r="B293">
        <f>IFERROR(INDEX($S$23:$S$823,ROW()-22),"")</f>
        <v/>
      </c>
      <c r="C293">
        <f>IFERROR(INDEX($W$23:$W$823,ROW()-22),"")</f>
        <v/>
      </c>
      <c r="D293" s="24">
        <f>IFERROR(1/B293,"")</f>
        <v/>
      </c>
      <c r="E293" s="25">
        <f>IFERROR((D293-C293/100)*10000,"")</f>
        <v/>
      </c>
    </row>
    <row r="294">
      <c r="A294" s="23">
        <f>IFERROR(INDEX($R$23:$R$823,ROW()-22),"")</f>
        <v/>
      </c>
      <c r="B294">
        <f>IFERROR(INDEX($S$23:$S$823,ROW()-22),"")</f>
        <v/>
      </c>
      <c r="C294">
        <f>IFERROR(INDEX($W$23:$W$823,ROW()-22),"")</f>
        <v/>
      </c>
      <c r="D294" s="24">
        <f>IFERROR(1/B294,"")</f>
        <v/>
      </c>
      <c r="E294" s="25">
        <f>IFERROR((D294-C294/100)*10000,"")</f>
        <v/>
      </c>
    </row>
    <row r="295">
      <c r="A295" s="23">
        <f>IFERROR(INDEX($R$23:$R$823,ROW()-22),"")</f>
        <v/>
      </c>
      <c r="B295">
        <f>IFERROR(INDEX($S$23:$S$823,ROW()-22),"")</f>
        <v/>
      </c>
      <c r="C295">
        <f>IFERROR(INDEX($W$23:$W$823,ROW()-22),"")</f>
        <v/>
      </c>
      <c r="D295" s="24">
        <f>IFERROR(1/B295,"")</f>
        <v/>
      </c>
      <c r="E295" s="25">
        <f>IFERROR((D295-C295/100)*10000,"")</f>
        <v/>
      </c>
    </row>
    <row r="296">
      <c r="A296" s="23">
        <f>IFERROR(INDEX($R$23:$R$823,ROW()-22),"")</f>
        <v/>
      </c>
      <c r="B296">
        <f>IFERROR(INDEX($S$23:$S$823,ROW()-22),"")</f>
        <v/>
      </c>
      <c r="C296">
        <f>IFERROR(INDEX($W$23:$W$823,ROW()-22),"")</f>
        <v/>
      </c>
      <c r="D296" s="24">
        <f>IFERROR(1/B296,"")</f>
        <v/>
      </c>
      <c r="E296" s="25">
        <f>IFERROR((D296-C296/100)*10000,"")</f>
        <v/>
      </c>
    </row>
    <row r="297">
      <c r="A297" s="23">
        <f>IFERROR(INDEX($R$23:$R$823,ROW()-22),"")</f>
        <v/>
      </c>
      <c r="B297">
        <f>IFERROR(INDEX($S$23:$S$823,ROW()-22),"")</f>
        <v/>
      </c>
      <c r="C297">
        <f>IFERROR(INDEX($W$23:$W$823,ROW()-22),"")</f>
        <v/>
      </c>
      <c r="D297" s="24">
        <f>IFERROR(1/B297,"")</f>
        <v/>
      </c>
      <c r="E297" s="25">
        <f>IFERROR((D297-C297/100)*10000,"")</f>
        <v/>
      </c>
    </row>
    <row r="298">
      <c r="A298" s="23">
        <f>IFERROR(INDEX($R$23:$R$823,ROW()-22),"")</f>
        <v/>
      </c>
      <c r="B298">
        <f>IFERROR(INDEX($S$23:$S$823,ROW()-22),"")</f>
        <v/>
      </c>
      <c r="C298">
        <f>IFERROR(INDEX($W$23:$W$823,ROW()-22),"")</f>
        <v/>
      </c>
      <c r="D298" s="24">
        <f>IFERROR(1/B298,"")</f>
        <v/>
      </c>
      <c r="E298" s="25">
        <f>IFERROR((D298-C298/100)*10000,"")</f>
        <v/>
      </c>
    </row>
    <row r="299">
      <c r="A299" s="23">
        <f>IFERROR(INDEX($R$23:$R$823,ROW()-22),"")</f>
        <v/>
      </c>
      <c r="B299">
        <f>IFERROR(INDEX($S$23:$S$823,ROW()-22),"")</f>
        <v/>
      </c>
      <c r="C299">
        <f>IFERROR(INDEX($W$23:$W$823,ROW()-22),"")</f>
        <v/>
      </c>
      <c r="D299" s="24">
        <f>IFERROR(1/B299,"")</f>
        <v/>
      </c>
      <c r="E299" s="25">
        <f>IFERROR((D299-C299/100)*10000,"")</f>
        <v/>
      </c>
    </row>
    <row r="300">
      <c r="A300" s="23">
        <f>IFERROR(INDEX($R$23:$R$823,ROW()-22),"")</f>
        <v/>
      </c>
      <c r="B300">
        <f>IFERROR(INDEX($S$23:$S$823,ROW()-22),"")</f>
        <v/>
      </c>
      <c r="C300">
        <f>IFERROR(INDEX($W$23:$W$823,ROW()-22),"")</f>
        <v/>
      </c>
      <c r="D300" s="24">
        <f>IFERROR(1/B300,"")</f>
        <v/>
      </c>
      <c r="E300" s="25">
        <f>IFERROR((D300-C300/100)*10000,"")</f>
        <v/>
      </c>
    </row>
    <row r="301">
      <c r="A301" s="23">
        <f>IFERROR(INDEX($R$23:$R$823,ROW()-22),"")</f>
        <v/>
      </c>
      <c r="B301">
        <f>IFERROR(INDEX($S$23:$S$823,ROW()-22),"")</f>
        <v/>
      </c>
      <c r="C301">
        <f>IFERROR(INDEX($W$23:$W$823,ROW()-22),"")</f>
        <v/>
      </c>
      <c r="D301" s="24">
        <f>IFERROR(1/B301,"")</f>
        <v/>
      </c>
      <c r="E301" s="25">
        <f>IFERROR((D301-C301/100)*10000,"")</f>
        <v/>
      </c>
    </row>
    <row r="302">
      <c r="A302" s="23">
        <f>IFERROR(INDEX($R$23:$R$823,ROW()-22),"")</f>
        <v/>
      </c>
      <c r="B302">
        <f>IFERROR(INDEX($S$23:$S$823,ROW()-22),"")</f>
        <v/>
      </c>
      <c r="C302">
        <f>IFERROR(INDEX($W$23:$W$823,ROW()-22),"")</f>
        <v/>
      </c>
      <c r="D302" s="24">
        <f>IFERROR(1/B302,"")</f>
        <v/>
      </c>
      <c r="E302" s="25">
        <f>IFERROR((D302-C302/100)*10000,"")</f>
        <v/>
      </c>
    </row>
    <row r="303">
      <c r="A303" s="23">
        <f>IFERROR(INDEX($R$23:$R$823,ROW()-22),"")</f>
        <v/>
      </c>
      <c r="B303">
        <f>IFERROR(INDEX($S$23:$S$823,ROW()-22),"")</f>
        <v/>
      </c>
      <c r="C303">
        <f>IFERROR(INDEX($W$23:$W$823,ROW()-22),"")</f>
        <v/>
      </c>
      <c r="D303" s="24">
        <f>IFERROR(1/B303,"")</f>
        <v/>
      </c>
      <c r="E303" s="25">
        <f>IFERROR((D303-C303/100)*10000,"")</f>
        <v/>
      </c>
    </row>
    <row r="304">
      <c r="A304" s="23">
        <f>IFERROR(INDEX($R$23:$R$823,ROW()-22),"")</f>
        <v/>
      </c>
      <c r="B304">
        <f>IFERROR(INDEX($S$23:$S$823,ROW()-22),"")</f>
        <v/>
      </c>
      <c r="C304">
        <f>IFERROR(INDEX($W$23:$W$823,ROW()-22),"")</f>
        <v/>
      </c>
      <c r="D304" s="24">
        <f>IFERROR(1/B304,"")</f>
        <v/>
      </c>
      <c r="E304" s="25">
        <f>IFERROR((D304-C304/100)*10000,"")</f>
        <v/>
      </c>
    </row>
    <row r="305">
      <c r="A305" s="23">
        <f>IFERROR(INDEX($R$23:$R$823,ROW()-22),"")</f>
        <v/>
      </c>
      <c r="B305">
        <f>IFERROR(INDEX($S$23:$S$823,ROW()-22),"")</f>
        <v/>
      </c>
      <c r="C305">
        <f>IFERROR(INDEX($W$23:$W$823,ROW()-22),"")</f>
        <v/>
      </c>
      <c r="D305" s="24">
        <f>IFERROR(1/B305,"")</f>
        <v/>
      </c>
      <c r="E305" s="25">
        <f>IFERROR((D305-C305/100)*10000,"")</f>
        <v/>
      </c>
    </row>
    <row r="306">
      <c r="A306" s="23">
        <f>IFERROR(INDEX($R$23:$R$823,ROW()-22),"")</f>
        <v/>
      </c>
      <c r="B306">
        <f>IFERROR(INDEX($S$23:$S$823,ROW()-22),"")</f>
        <v/>
      </c>
      <c r="C306">
        <f>IFERROR(INDEX($W$23:$W$823,ROW()-22),"")</f>
        <v/>
      </c>
      <c r="D306" s="24">
        <f>IFERROR(1/B306,"")</f>
        <v/>
      </c>
      <c r="E306" s="25">
        <f>IFERROR((D306-C306/100)*10000,"")</f>
        <v/>
      </c>
    </row>
    <row r="307">
      <c r="A307" s="23">
        <f>IFERROR(INDEX($R$23:$R$823,ROW()-22),"")</f>
        <v/>
      </c>
      <c r="B307">
        <f>IFERROR(INDEX($S$23:$S$823,ROW()-22),"")</f>
        <v/>
      </c>
      <c r="C307">
        <f>IFERROR(INDEX($W$23:$W$823,ROW()-22),"")</f>
        <v/>
      </c>
      <c r="D307" s="24">
        <f>IFERROR(1/B307,"")</f>
        <v/>
      </c>
      <c r="E307" s="25">
        <f>IFERROR((D307-C307/100)*10000,"")</f>
        <v/>
      </c>
    </row>
    <row r="308">
      <c r="A308" s="23">
        <f>IFERROR(INDEX($R$23:$R$823,ROW()-22),"")</f>
        <v/>
      </c>
      <c r="B308">
        <f>IFERROR(INDEX($S$23:$S$823,ROW()-22),"")</f>
        <v/>
      </c>
      <c r="C308">
        <f>IFERROR(INDEX($W$23:$W$823,ROW()-22),"")</f>
        <v/>
      </c>
      <c r="D308" s="24">
        <f>IFERROR(1/B308,"")</f>
        <v/>
      </c>
      <c r="E308" s="25">
        <f>IFERROR((D308-C308/100)*10000,"")</f>
        <v/>
      </c>
    </row>
    <row r="309">
      <c r="A309" s="23">
        <f>IFERROR(INDEX($R$23:$R$823,ROW()-22),"")</f>
        <v/>
      </c>
      <c r="B309">
        <f>IFERROR(INDEX($S$23:$S$823,ROW()-22),"")</f>
        <v/>
      </c>
      <c r="C309">
        <f>IFERROR(INDEX($W$23:$W$823,ROW()-22),"")</f>
        <v/>
      </c>
      <c r="D309" s="24">
        <f>IFERROR(1/B309,"")</f>
        <v/>
      </c>
      <c r="E309" s="25">
        <f>IFERROR((D309-C309/100)*10000,"")</f>
        <v/>
      </c>
    </row>
    <row r="310">
      <c r="A310" s="23">
        <f>IFERROR(INDEX($R$23:$R$823,ROW()-22),"")</f>
        <v/>
      </c>
      <c r="B310">
        <f>IFERROR(INDEX($S$23:$S$823,ROW()-22),"")</f>
        <v/>
      </c>
      <c r="C310">
        <f>IFERROR(INDEX($W$23:$W$823,ROW()-22),"")</f>
        <v/>
      </c>
      <c r="D310" s="24">
        <f>IFERROR(1/B310,"")</f>
        <v/>
      </c>
      <c r="E310" s="25">
        <f>IFERROR((D310-C310/100)*10000,"")</f>
        <v/>
      </c>
    </row>
    <row r="311">
      <c r="A311" s="23">
        <f>IFERROR(INDEX($R$23:$R$823,ROW()-22),"")</f>
        <v/>
      </c>
      <c r="B311">
        <f>IFERROR(INDEX($S$23:$S$823,ROW()-22),"")</f>
        <v/>
      </c>
      <c r="C311">
        <f>IFERROR(INDEX($W$23:$W$823,ROW()-22),"")</f>
        <v/>
      </c>
      <c r="D311" s="24">
        <f>IFERROR(1/B311,"")</f>
        <v/>
      </c>
      <c r="E311" s="25">
        <f>IFERROR((D311-C311/100)*10000,"")</f>
        <v/>
      </c>
    </row>
    <row r="312">
      <c r="A312" s="23">
        <f>IFERROR(INDEX($R$23:$R$823,ROW()-22),"")</f>
        <v/>
      </c>
      <c r="B312">
        <f>IFERROR(INDEX($S$23:$S$823,ROW()-22),"")</f>
        <v/>
      </c>
      <c r="C312">
        <f>IFERROR(INDEX($W$23:$W$823,ROW()-22),"")</f>
        <v/>
      </c>
      <c r="D312" s="24">
        <f>IFERROR(1/B312,"")</f>
        <v/>
      </c>
      <c r="E312" s="25">
        <f>IFERROR((D312-C312/100)*10000,"")</f>
        <v/>
      </c>
    </row>
    <row r="313">
      <c r="A313" s="23">
        <f>IFERROR(INDEX($R$23:$R$823,ROW()-22),"")</f>
        <v/>
      </c>
      <c r="B313">
        <f>IFERROR(INDEX($S$23:$S$823,ROW()-22),"")</f>
        <v/>
      </c>
      <c r="C313">
        <f>IFERROR(INDEX($W$23:$W$823,ROW()-22),"")</f>
        <v/>
      </c>
      <c r="D313" s="24">
        <f>IFERROR(1/B313,"")</f>
        <v/>
      </c>
      <c r="E313" s="25">
        <f>IFERROR((D313-C313/100)*10000,"")</f>
        <v/>
      </c>
    </row>
    <row r="314">
      <c r="A314" s="23">
        <f>IFERROR(INDEX($R$23:$R$823,ROW()-22),"")</f>
        <v/>
      </c>
      <c r="B314">
        <f>IFERROR(INDEX($S$23:$S$823,ROW()-22),"")</f>
        <v/>
      </c>
      <c r="C314">
        <f>IFERROR(INDEX($W$23:$W$823,ROW()-22),"")</f>
        <v/>
      </c>
      <c r="D314" s="24">
        <f>IFERROR(1/B314,"")</f>
        <v/>
      </c>
      <c r="E314" s="25">
        <f>IFERROR((D314-C314/100)*10000,"")</f>
        <v/>
      </c>
    </row>
    <row r="315">
      <c r="A315" s="23">
        <f>IFERROR(INDEX($R$23:$R$823,ROW()-22),"")</f>
        <v/>
      </c>
      <c r="B315">
        <f>IFERROR(INDEX($S$23:$S$823,ROW()-22),"")</f>
        <v/>
      </c>
      <c r="C315">
        <f>IFERROR(INDEX($W$23:$W$823,ROW()-22),"")</f>
        <v/>
      </c>
      <c r="D315" s="24">
        <f>IFERROR(1/B315,"")</f>
        <v/>
      </c>
      <c r="E315" s="25">
        <f>IFERROR((D315-C315/100)*10000,"")</f>
        <v/>
      </c>
    </row>
    <row r="316">
      <c r="A316" s="23">
        <f>IFERROR(INDEX($R$23:$R$823,ROW()-22),"")</f>
        <v/>
      </c>
      <c r="B316">
        <f>IFERROR(INDEX($S$23:$S$823,ROW()-22),"")</f>
        <v/>
      </c>
      <c r="C316">
        <f>IFERROR(INDEX($W$23:$W$823,ROW()-22),"")</f>
        <v/>
      </c>
      <c r="D316" s="24">
        <f>IFERROR(1/B316,"")</f>
        <v/>
      </c>
      <c r="E316" s="25">
        <f>IFERROR((D316-C316/100)*10000,"")</f>
        <v/>
      </c>
    </row>
    <row r="317">
      <c r="A317" s="23">
        <f>IFERROR(INDEX($R$23:$R$823,ROW()-22),"")</f>
        <v/>
      </c>
      <c r="B317">
        <f>IFERROR(INDEX($S$23:$S$823,ROW()-22),"")</f>
        <v/>
      </c>
      <c r="C317">
        <f>IFERROR(INDEX($W$23:$W$823,ROW()-22),"")</f>
        <v/>
      </c>
      <c r="D317" s="24">
        <f>IFERROR(1/B317,"")</f>
        <v/>
      </c>
      <c r="E317" s="25">
        <f>IFERROR((D317-C317/100)*10000,"")</f>
        <v/>
      </c>
    </row>
    <row r="318">
      <c r="A318" s="23">
        <f>IFERROR(INDEX($R$23:$R$823,ROW()-22),"")</f>
        <v/>
      </c>
      <c r="B318">
        <f>IFERROR(INDEX($S$23:$S$823,ROW()-22),"")</f>
        <v/>
      </c>
      <c r="C318">
        <f>IFERROR(INDEX($W$23:$W$823,ROW()-22),"")</f>
        <v/>
      </c>
      <c r="D318" s="24">
        <f>IFERROR(1/B318,"")</f>
        <v/>
      </c>
      <c r="E318" s="25">
        <f>IFERROR((D318-C318/100)*10000,"")</f>
        <v/>
      </c>
    </row>
    <row r="319">
      <c r="A319" s="23">
        <f>IFERROR(INDEX($R$23:$R$823,ROW()-22),"")</f>
        <v/>
      </c>
      <c r="B319">
        <f>IFERROR(INDEX($S$23:$S$823,ROW()-22),"")</f>
        <v/>
      </c>
      <c r="C319">
        <f>IFERROR(INDEX($W$23:$W$823,ROW()-22),"")</f>
        <v/>
      </c>
      <c r="D319" s="24">
        <f>IFERROR(1/B319,"")</f>
        <v/>
      </c>
      <c r="E319" s="25">
        <f>IFERROR((D319-C319/100)*10000,"")</f>
        <v/>
      </c>
    </row>
    <row r="320">
      <c r="A320" s="23">
        <f>IFERROR(INDEX($R$23:$R$823,ROW()-22),"")</f>
        <v/>
      </c>
      <c r="B320">
        <f>IFERROR(INDEX($S$23:$S$823,ROW()-22),"")</f>
        <v/>
      </c>
      <c r="C320">
        <f>IFERROR(INDEX($W$23:$W$823,ROW()-22),"")</f>
        <v/>
      </c>
      <c r="D320" s="24">
        <f>IFERROR(1/B320,"")</f>
        <v/>
      </c>
      <c r="E320" s="25">
        <f>IFERROR((D320-C320/100)*10000,"")</f>
        <v/>
      </c>
    </row>
    <row r="321">
      <c r="A321" s="23">
        <f>IFERROR(INDEX($R$23:$R$823,ROW()-22),"")</f>
        <v/>
      </c>
      <c r="B321">
        <f>IFERROR(INDEX($S$23:$S$823,ROW()-22),"")</f>
        <v/>
      </c>
      <c r="C321">
        <f>IFERROR(INDEX($W$23:$W$823,ROW()-22),"")</f>
        <v/>
      </c>
      <c r="D321" s="24">
        <f>IFERROR(1/B321,"")</f>
        <v/>
      </c>
      <c r="E321" s="25">
        <f>IFERROR((D321-C321/100)*10000,"")</f>
        <v/>
      </c>
    </row>
    <row r="322">
      <c r="A322" s="23">
        <f>IFERROR(INDEX($R$23:$R$823,ROW()-22),"")</f>
        <v/>
      </c>
      <c r="B322">
        <f>IFERROR(INDEX($S$23:$S$823,ROW()-22),"")</f>
        <v/>
      </c>
      <c r="C322">
        <f>IFERROR(INDEX($W$23:$W$823,ROW()-22),"")</f>
        <v/>
      </c>
      <c r="D322" s="24">
        <f>IFERROR(1/B322,"")</f>
        <v/>
      </c>
      <c r="E322" s="25">
        <f>IFERROR((D322-C322/100)*10000,"")</f>
        <v/>
      </c>
    </row>
    <row r="323">
      <c r="A323" s="23">
        <f>IFERROR(INDEX($R$23:$R$823,ROW()-22),"")</f>
        <v/>
      </c>
      <c r="B323">
        <f>IFERROR(INDEX($S$23:$S$823,ROW()-22),"")</f>
        <v/>
      </c>
      <c r="C323">
        <f>IFERROR(INDEX($W$23:$W$823,ROW()-22),"")</f>
        <v/>
      </c>
      <c r="D323" s="24">
        <f>IFERROR(1/B323,"")</f>
        <v/>
      </c>
      <c r="E323" s="25">
        <f>IFERROR((D323-C323/100)*10000,"")</f>
        <v/>
      </c>
    </row>
    <row r="324">
      <c r="A324" s="23">
        <f>IFERROR(INDEX($R$23:$R$823,ROW()-22),"")</f>
        <v/>
      </c>
      <c r="B324">
        <f>IFERROR(INDEX($S$23:$S$823,ROW()-22),"")</f>
        <v/>
      </c>
      <c r="C324">
        <f>IFERROR(INDEX($W$23:$W$823,ROW()-22),"")</f>
        <v/>
      </c>
      <c r="D324" s="24">
        <f>IFERROR(1/B324,"")</f>
        <v/>
      </c>
      <c r="E324" s="25">
        <f>IFERROR((D324-C324/100)*10000,"")</f>
        <v/>
      </c>
    </row>
    <row r="325">
      <c r="A325" s="23">
        <f>IFERROR(INDEX($R$23:$R$823,ROW()-22),"")</f>
        <v/>
      </c>
      <c r="B325">
        <f>IFERROR(INDEX($S$23:$S$823,ROW()-22),"")</f>
        <v/>
      </c>
      <c r="C325">
        <f>IFERROR(INDEX($W$23:$W$823,ROW()-22),"")</f>
        <v/>
      </c>
      <c r="D325" s="24">
        <f>IFERROR(1/B325,"")</f>
        <v/>
      </c>
      <c r="E325" s="25">
        <f>IFERROR((D325-C325/100)*10000,"")</f>
        <v/>
      </c>
    </row>
    <row r="326">
      <c r="A326" s="23">
        <f>IFERROR(INDEX($R$23:$R$823,ROW()-22),"")</f>
        <v/>
      </c>
      <c r="B326">
        <f>IFERROR(INDEX($S$23:$S$823,ROW()-22),"")</f>
        <v/>
      </c>
      <c r="C326">
        <f>IFERROR(INDEX($W$23:$W$823,ROW()-22),"")</f>
        <v/>
      </c>
      <c r="D326" s="24">
        <f>IFERROR(1/B326,"")</f>
        <v/>
      </c>
      <c r="E326" s="25">
        <f>IFERROR((D326-C326/100)*10000,"")</f>
        <v/>
      </c>
    </row>
    <row r="327">
      <c r="A327" s="23">
        <f>IFERROR(INDEX($R$23:$R$823,ROW()-22),"")</f>
        <v/>
      </c>
      <c r="B327">
        <f>IFERROR(INDEX($S$23:$S$823,ROW()-22),"")</f>
        <v/>
      </c>
      <c r="C327">
        <f>IFERROR(INDEX($W$23:$W$823,ROW()-22),"")</f>
        <v/>
      </c>
      <c r="D327" s="24">
        <f>IFERROR(1/B327,"")</f>
        <v/>
      </c>
      <c r="E327" s="25">
        <f>IFERROR((D327-C327/100)*10000,"")</f>
        <v/>
      </c>
    </row>
    <row r="328">
      <c r="A328" s="23">
        <f>IFERROR(INDEX($R$23:$R$823,ROW()-22),"")</f>
        <v/>
      </c>
      <c r="B328">
        <f>IFERROR(INDEX($S$23:$S$823,ROW()-22),"")</f>
        <v/>
      </c>
      <c r="C328">
        <f>IFERROR(INDEX($W$23:$W$823,ROW()-22),"")</f>
        <v/>
      </c>
      <c r="D328" s="24">
        <f>IFERROR(1/B328,"")</f>
        <v/>
      </c>
      <c r="E328" s="25">
        <f>IFERROR((D328-C328/100)*10000,"")</f>
        <v/>
      </c>
    </row>
    <row r="329">
      <c r="A329" s="23">
        <f>IFERROR(INDEX($R$23:$R$823,ROW()-22),"")</f>
        <v/>
      </c>
      <c r="B329">
        <f>IFERROR(INDEX($S$23:$S$823,ROW()-22),"")</f>
        <v/>
      </c>
      <c r="C329">
        <f>IFERROR(INDEX($W$23:$W$823,ROW()-22),"")</f>
        <v/>
      </c>
      <c r="D329" s="24">
        <f>IFERROR(1/B329,"")</f>
        <v/>
      </c>
      <c r="E329" s="25">
        <f>IFERROR((D329-C329/100)*10000,"")</f>
        <v/>
      </c>
    </row>
    <row r="330">
      <c r="A330" s="23">
        <f>IFERROR(INDEX($R$23:$R$823,ROW()-22),"")</f>
        <v/>
      </c>
      <c r="B330">
        <f>IFERROR(INDEX($S$23:$S$823,ROW()-22),"")</f>
        <v/>
      </c>
      <c r="C330">
        <f>IFERROR(INDEX($W$23:$W$823,ROW()-22),"")</f>
        <v/>
      </c>
      <c r="D330" s="24">
        <f>IFERROR(1/B330,"")</f>
        <v/>
      </c>
      <c r="E330" s="25">
        <f>IFERROR((D330-C330/100)*10000,"")</f>
        <v/>
      </c>
    </row>
    <row r="331">
      <c r="A331" s="23">
        <f>IFERROR(INDEX($R$23:$R$823,ROW()-22),"")</f>
        <v/>
      </c>
      <c r="B331">
        <f>IFERROR(INDEX($S$23:$S$823,ROW()-22),"")</f>
        <v/>
      </c>
      <c r="C331">
        <f>IFERROR(INDEX($W$23:$W$823,ROW()-22),"")</f>
        <v/>
      </c>
      <c r="D331" s="24">
        <f>IFERROR(1/B331,"")</f>
        <v/>
      </c>
      <c r="E331" s="25">
        <f>IFERROR((D331-C331/100)*10000,"")</f>
        <v/>
      </c>
    </row>
    <row r="332">
      <c r="A332" s="23">
        <f>IFERROR(INDEX($R$23:$R$823,ROW()-22),"")</f>
        <v/>
      </c>
      <c r="B332">
        <f>IFERROR(INDEX($S$23:$S$823,ROW()-22),"")</f>
        <v/>
      </c>
      <c r="C332">
        <f>IFERROR(INDEX($W$23:$W$823,ROW()-22),"")</f>
        <v/>
      </c>
      <c r="D332" s="24">
        <f>IFERROR(1/B332,"")</f>
        <v/>
      </c>
      <c r="E332" s="25">
        <f>IFERROR((D332-C332/100)*10000,"")</f>
        <v/>
      </c>
    </row>
    <row r="333">
      <c r="A333" s="23">
        <f>IFERROR(INDEX($R$23:$R$823,ROW()-22),"")</f>
        <v/>
      </c>
      <c r="B333">
        <f>IFERROR(INDEX($S$23:$S$823,ROW()-22),"")</f>
        <v/>
      </c>
      <c r="C333">
        <f>IFERROR(INDEX($W$23:$W$823,ROW()-22),"")</f>
        <v/>
      </c>
      <c r="D333" s="24">
        <f>IFERROR(1/B333,"")</f>
        <v/>
      </c>
      <c r="E333" s="25">
        <f>IFERROR((D333-C333/100)*10000,"")</f>
        <v/>
      </c>
    </row>
    <row r="334">
      <c r="A334" s="23">
        <f>IFERROR(INDEX($R$23:$R$823,ROW()-22),"")</f>
        <v/>
      </c>
      <c r="B334">
        <f>IFERROR(INDEX($S$23:$S$823,ROW()-22),"")</f>
        <v/>
      </c>
      <c r="C334">
        <f>IFERROR(INDEX($W$23:$W$823,ROW()-22),"")</f>
        <v/>
      </c>
      <c r="D334" s="24">
        <f>IFERROR(1/B334,"")</f>
        <v/>
      </c>
      <c r="E334" s="25">
        <f>IFERROR((D334-C334/100)*10000,"")</f>
        <v/>
      </c>
    </row>
    <row r="335">
      <c r="A335" s="23">
        <f>IFERROR(INDEX($R$23:$R$823,ROW()-22),"")</f>
        <v/>
      </c>
      <c r="B335">
        <f>IFERROR(INDEX($S$23:$S$823,ROW()-22),"")</f>
        <v/>
      </c>
      <c r="C335">
        <f>IFERROR(INDEX($W$23:$W$823,ROW()-22),"")</f>
        <v/>
      </c>
      <c r="D335" s="24">
        <f>IFERROR(1/B335,"")</f>
        <v/>
      </c>
      <c r="E335" s="25">
        <f>IFERROR((D335-C335/100)*10000,"")</f>
        <v/>
      </c>
    </row>
    <row r="336">
      <c r="A336" s="23">
        <f>IFERROR(INDEX($R$23:$R$823,ROW()-22),"")</f>
        <v/>
      </c>
      <c r="B336">
        <f>IFERROR(INDEX($S$23:$S$823,ROW()-22),"")</f>
        <v/>
      </c>
      <c r="C336">
        <f>IFERROR(INDEX($W$23:$W$823,ROW()-22),"")</f>
        <v/>
      </c>
      <c r="D336" s="24">
        <f>IFERROR(1/B336,"")</f>
        <v/>
      </c>
      <c r="E336" s="25">
        <f>IFERROR((D336-C336/100)*10000,"")</f>
        <v/>
      </c>
    </row>
    <row r="337">
      <c r="A337" s="23">
        <f>IFERROR(INDEX($R$23:$R$823,ROW()-22),"")</f>
        <v/>
      </c>
      <c r="B337">
        <f>IFERROR(INDEX($S$23:$S$823,ROW()-22),"")</f>
        <v/>
      </c>
      <c r="C337">
        <f>IFERROR(INDEX($W$23:$W$823,ROW()-22),"")</f>
        <v/>
      </c>
      <c r="D337" s="24">
        <f>IFERROR(1/B337,"")</f>
        <v/>
      </c>
      <c r="E337" s="25">
        <f>IFERROR((D337-C337/100)*10000,"")</f>
        <v/>
      </c>
    </row>
    <row r="338">
      <c r="A338" s="23">
        <f>IFERROR(INDEX($R$23:$R$823,ROW()-22),"")</f>
        <v/>
      </c>
      <c r="B338">
        <f>IFERROR(INDEX($S$23:$S$823,ROW()-22),"")</f>
        <v/>
      </c>
      <c r="C338">
        <f>IFERROR(INDEX($W$23:$W$823,ROW()-22),"")</f>
        <v/>
      </c>
      <c r="D338" s="24">
        <f>IFERROR(1/B338,"")</f>
        <v/>
      </c>
      <c r="E338" s="25">
        <f>IFERROR((D338-C338/100)*10000,"")</f>
        <v/>
      </c>
    </row>
    <row r="339">
      <c r="A339" s="23">
        <f>IFERROR(INDEX($R$23:$R$823,ROW()-22),"")</f>
        <v/>
      </c>
      <c r="B339">
        <f>IFERROR(INDEX($S$23:$S$823,ROW()-22),"")</f>
        <v/>
      </c>
      <c r="C339">
        <f>IFERROR(INDEX($W$23:$W$823,ROW()-22),"")</f>
        <v/>
      </c>
      <c r="D339" s="24">
        <f>IFERROR(1/B339,"")</f>
        <v/>
      </c>
      <c r="E339" s="25">
        <f>IFERROR((D339-C339/100)*10000,"")</f>
        <v/>
      </c>
    </row>
    <row r="340">
      <c r="A340" s="23">
        <f>IFERROR(INDEX($R$23:$R$823,ROW()-22),"")</f>
        <v/>
      </c>
      <c r="B340">
        <f>IFERROR(INDEX($S$23:$S$823,ROW()-22),"")</f>
        <v/>
      </c>
      <c r="C340">
        <f>IFERROR(INDEX($W$23:$W$823,ROW()-22),"")</f>
        <v/>
      </c>
      <c r="D340" s="24">
        <f>IFERROR(1/B340,"")</f>
        <v/>
      </c>
      <c r="E340" s="25">
        <f>IFERROR((D340-C340/100)*10000,"")</f>
        <v/>
      </c>
    </row>
    <row r="341">
      <c r="A341" s="23">
        <f>IFERROR(INDEX($R$23:$R$823,ROW()-22),"")</f>
        <v/>
      </c>
      <c r="B341">
        <f>IFERROR(INDEX($S$23:$S$823,ROW()-22),"")</f>
        <v/>
      </c>
      <c r="C341">
        <f>IFERROR(INDEX($W$23:$W$823,ROW()-22),"")</f>
        <v/>
      </c>
      <c r="D341" s="24">
        <f>IFERROR(1/B341,"")</f>
        <v/>
      </c>
      <c r="E341" s="25">
        <f>IFERROR((D341-C341/100)*10000,"")</f>
        <v/>
      </c>
    </row>
    <row r="342">
      <c r="A342" s="23">
        <f>IFERROR(INDEX($R$23:$R$823,ROW()-22),"")</f>
        <v/>
      </c>
      <c r="B342">
        <f>IFERROR(INDEX($S$23:$S$823,ROW()-22),"")</f>
        <v/>
      </c>
      <c r="C342">
        <f>IFERROR(INDEX($W$23:$W$823,ROW()-22),"")</f>
        <v/>
      </c>
      <c r="D342" s="24">
        <f>IFERROR(1/B342,"")</f>
        <v/>
      </c>
      <c r="E342" s="25">
        <f>IFERROR((D342-C342/100)*10000,"")</f>
        <v/>
      </c>
    </row>
    <row r="343">
      <c r="A343" s="23">
        <f>IFERROR(INDEX($R$23:$R$823,ROW()-22),"")</f>
        <v/>
      </c>
      <c r="B343">
        <f>IFERROR(INDEX($S$23:$S$823,ROW()-22),"")</f>
        <v/>
      </c>
      <c r="C343">
        <f>IFERROR(INDEX($W$23:$W$823,ROW()-22),"")</f>
        <v/>
      </c>
      <c r="D343" s="24">
        <f>IFERROR(1/B343,"")</f>
        <v/>
      </c>
      <c r="E343" s="25">
        <f>IFERROR((D343-C343/100)*10000,"")</f>
        <v/>
      </c>
    </row>
    <row r="344">
      <c r="A344" s="23">
        <f>IFERROR(INDEX($R$23:$R$823,ROW()-22),"")</f>
        <v/>
      </c>
      <c r="B344">
        <f>IFERROR(INDEX($S$23:$S$823,ROW()-22),"")</f>
        <v/>
      </c>
      <c r="C344">
        <f>IFERROR(INDEX($W$23:$W$823,ROW()-22),"")</f>
        <v/>
      </c>
      <c r="D344" s="24">
        <f>IFERROR(1/B344,"")</f>
        <v/>
      </c>
      <c r="E344" s="25">
        <f>IFERROR((D344-C344/100)*10000,"")</f>
        <v/>
      </c>
    </row>
    <row r="345">
      <c r="A345" s="23">
        <f>IFERROR(INDEX($R$23:$R$823,ROW()-22),"")</f>
        <v/>
      </c>
      <c r="B345">
        <f>IFERROR(INDEX($S$23:$S$823,ROW()-22),"")</f>
        <v/>
      </c>
      <c r="C345">
        <f>IFERROR(INDEX($W$23:$W$823,ROW()-22),"")</f>
        <v/>
      </c>
      <c r="D345" s="24">
        <f>IFERROR(1/B345,"")</f>
        <v/>
      </c>
      <c r="E345" s="25">
        <f>IFERROR((D345-C345/100)*10000,"")</f>
        <v/>
      </c>
    </row>
    <row r="346">
      <c r="A346" s="23">
        <f>IFERROR(INDEX($R$23:$R$823,ROW()-22),"")</f>
        <v/>
      </c>
      <c r="B346">
        <f>IFERROR(INDEX($S$23:$S$823,ROW()-22),"")</f>
        <v/>
      </c>
      <c r="C346">
        <f>IFERROR(INDEX($W$23:$W$823,ROW()-22),"")</f>
        <v/>
      </c>
      <c r="D346" s="24">
        <f>IFERROR(1/B346,"")</f>
        <v/>
      </c>
      <c r="E346" s="25">
        <f>IFERROR((D346-C346/100)*10000,"")</f>
        <v/>
      </c>
    </row>
    <row r="347">
      <c r="A347" s="23">
        <f>IFERROR(INDEX($R$23:$R$823,ROW()-22),"")</f>
        <v/>
      </c>
      <c r="B347">
        <f>IFERROR(INDEX($S$23:$S$823,ROW()-22),"")</f>
        <v/>
      </c>
      <c r="C347">
        <f>IFERROR(INDEX($W$23:$W$823,ROW()-22),"")</f>
        <v/>
      </c>
      <c r="D347" s="24">
        <f>IFERROR(1/B347,"")</f>
        <v/>
      </c>
      <c r="E347" s="25">
        <f>IFERROR((D347-C347/100)*10000,"")</f>
        <v/>
      </c>
    </row>
    <row r="348">
      <c r="A348" s="23">
        <f>IFERROR(INDEX($R$23:$R$823,ROW()-22),"")</f>
        <v/>
      </c>
      <c r="B348">
        <f>IFERROR(INDEX($S$23:$S$823,ROW()-22),"")</f>
        <v/>
      </c>
      <c r="C348">
        <f>IFERROR(INDEX($W$23:$W$823,ROW()-22),"")</f>
        <v/>
      </c>
      <c r="D348" s="24">
        <f>IFERROR(1/B348,"")</f>
        <v/>
      </c>
      <c r="E348" s="25">
        <f>IFERROR((D348-C348/100)*10000,"")</f>
        <v/>
      </c>
    </row>
    <row r="349">
      <c r="A349" s="23">
        <f>IFERROR(INDEX($R$23:$R$823,ROW()-22),"")</f>
        <v/>
      </c>
      <c r="B349">
        <f>IFERROR(INDEX($S$23:$S$823,ROW()-22),"")</f>
        <v/>
      </c>
      <c r="C349">
        <f>IFERROR(INDEX($W$23:$W$823,ROW()-22),"")</f>
        <v/>
      </c>
      <c r="D349" s="24">
        <f>IFERROR(1/B349,"")</f>
        <v/>
      </c>
      <c r="E349" s="25">
        <f>IFERROR((D349-C349/100)*10000,"")</f>
        <v/>
      </c>
    </row>
    <row r="350">
      <c r="A350" s="23">
        <f>IFERROR(INDEX($R$23:$R$823,ROW()-22),"")</f>
        <v/>
      </c>
      <c r="B350">
        <f>IFERROR(INDEX($S$23:$S$823,ROW()-22),"")</f>
        <v/>
      </c>
      <c r="C350">
        <f>IFERROR(INDEX($W$23:$W$823,ROW()-22),"")</f>
        <v/>
      </c>
      <c r="D350" s="24">
        <f>IFERROR(1/B350,"")</f>
        <v/>
      </c>
      <c r="E350" s="25">
        <f>IFERROR((D350-C350/100)*10000,"")</f>
        <v/>
      </c>
    </row>
    <row r="351">
      <c r="A351" s="23">
        <f>IFERROR(INDEX($R$23:$R$823,ROW()-22),"")</f>
        <v/>
      </c>
      <c r="B351">
        <f>IFERROR(INDEX($S$23:$S$823,ROW()-22),"")</f>
        <v/>
      </c>
      <c r="C351">
        <f>IFERROR(INDEX($W$23:$W$823,ROW()-22),"")</f>
        <v/>
      </c>
      <c r="D351" s="24">
        <f>IFERROR(1/B351,"")</f>
        <v/>
      </c>
      <c r="E351" s="25">
        <f>IFERROR((D351-C351/100)*10000,"")</f>
        <v/>
      </c>
    </row>
    <row r="352">
      <c r="A352" s="23">
        <f>IFERROR(INDEX($R$23:$R$823,ROW()-22),"")</f>
        <v/>
      </c>
      <c r="B352">
        <f>IFERROR(INDEX($S$23:$S$823,ROW()-22),"")</f>
        <v/>
      </c>
      <c r="C352">
        <f>IFERROR(INDEX($W$23:$W$823,ROW()-22),"")</f>
        <v/>
      </c>
      <c r="D352" s="24">
        <f>IFERROR(1/B352,"")</f>
        <v/>
      </c>
      <c r="E352" s="25">
        <f>IFERROR((D352-C352/100)*10000,"")</f>
        <v/>
      </c>
    </row>
    <row r="353">
      <c r="A353" s="23">
        <f>IFERROR(INDEX($R$23:$R$823,ROW()-22),"")</f>
        <v/>
      </c>
      <c r="B353">
        <f>IFERROR(INDEX($S$23:$S$823,ROW()-22),"")</f>
        <v/>
      </c>
      <c r="C353">
        <f>IFERROR(INDEX($W$23:$W$823,ROW()-22),"")</f>
        <v/>
      </c>
      <c r="D353" s="24">
        <f>IFERROR(1/B353,"")</f>
        <v/>
      </c>
      <c r="E353" s="25">
        <f>IFERROR((D353-C353/100)*10000,"")</f>
        <v/>
      </c>
    </row>
    <row r="354">
      <c r="A354" s="23">
        <f>IFERROR(INDEX($R$23:$R$823,ROW()-22),"")</f>
        <v/>
      </c>
      <c r="B354">
        <f>IFERROR(INDEX($S$23:$S$823,ROW()-22),"")</f>
        <v/>
      </c>
      <c r="C354">
        <f>IFERROR(INDEX($W$23:$W$823,ROW()-22),"")</f>
        <v/>
      </c>
      <c r="D354" s="24">
        <f>IFERROR(1/B354,"")</f>
        <v/>
      </c>
      <c r="E354" s="25">
        <f>IFERROR((D354-C354/100)*10000,"")</f>
        <v/>
      </c>
    </row>
    <row r="355">
      <c r="A355" s="23">
        <f>IFERROR(INDEX($R$23:$R$823,ROW()-22),"")</f>
        <v/>
      </c>
      <c r="B355">
        <f>IFERROR(INDEX($S$23:$S$823,ROW()-22),"")</f>
        <v/>
      </c>
      <c r="C355">
        <f>IFERROR(INDEX($W$23:$W$823,ROW()-22),"")</f>
        <v/>
      </c>
      <c r="D355" s="24">
        <f>IFERROR(1/B355,"")</f>
        <v/>
      </c>
      <c r="E355" s="25">
        <f>IFERROR((D355-C355/100)*10000,"")</f>
        <v/>
      </c>
    </row>
    <row r="356">
      <c r="A356" s="23">
        <f>IFERROR(INDEX($R$23:$R$823,ROW()-22),"")</f>
        <v/>
      </c>
      <c r="B356">
        <f>IFERROR(INDEX($S$23:$S$823,ROW()-22),"")</f>
        <v/>
      </c>
      <c r="C356">
        <f>IFERROR(INDEX($W$23:$W$823,ROW()-22),"")</f>
        <v/>
      </c>
      <c r="D356" s="24">
        <f>IFERROR(1/B356,"")</f>
        <v/>
      </c>
      <c r="E356" s="25">
        <f>IFERROR((D356-C356/100)*10000,"")</f>
        <v/>
      </c>
    </row>
    <row r="357">
      <c r="A357" s="23">
        <f>IFERROR(INDEX($R$23:$R$823,ROW()-22),"")</f>
        <v/>
      </c>
      <c r="B357">
        <f>IFERROR(INDEX($S$23:$S$823,ROW()-22),"")</f>
        <v/>
      </c>
      <c r="C357">
        <f>IFERROR(INDEX($W$23:$W$823,ROW()-22),"")</f>
        <v/>
      </c>
      <c r="D357" s="24">
        <f>IFERROR(1/B357,"")</f>
        <v/>
      </c>
      <c r="E357" s="25">
        <f>IFERROR((D357-C357/100)*10000,"")</f>
        <v/>
      </c>
    </row>
    <row r="358">
      <c r="A358" s="23">
        <f>IFERROR(INDEX($R$23:$R$823,ROW()-22),"")</f>
        <v/>
      </c>
      <c r="B358">
        <f>IFERROR(INDEX($S$23:$S$823,ROW()-22),"")</f>
        <v/>
      </c>
      <c r="C358">
        <f>IFERROR(INDEX($W$23:$W$823,ROW()-22),"")</f>
        <v/>
      </c>
      <c r="D358" s="24">
        <f>IFERROR(1/B358,"")</f>
        <v/>
      </c>
      <c r="E358" s="25">
        <f>IFERROR((D358-C358/100)*10000,"")</f>
        <v/>
      </c>
    </row>
    <row r="359">
      <c r="A359" s="23">
        <f>IFERROR(INDEX($R$23:$R$823,ROW()-22),"")</f>
        <v/>
      </c>
      <c r="B359">
        <f>IFERROR(INDEX($S$23:$S$823,ROW()-22),"")</f>
        <v/>
      </c>
      <c r="C359">
        <f>IFERROR(INDEX($W$23:$W$823,ROW()-22),"")</f>
        <v/>
      </c>
      <c r="D359" s="24">
        <f>IFERROR(1/B359,"")</f>
        <v/>
      </c>
      <c r="E359" s="25">
        <f>IFERROR((D359-C359/100)*10000,"")</f>
        <v/>
      </c>
    </row>
    <row r="360">
      <c r="A360" s="23">
        <f>IFERROR(INDEX($R$23:$R$823,ROW()-22),"")</f>
        <v/>
      </c>
      <c r="B360">
        <f>IFERROR(INDEX($S$23:$S$823,ROW()-22),"")</f>
        <v/>
      </c>
      <c r="C360">
        <f>IFERROR(INDEX($W$23:$W$823,ROW()-22),"")</f>
        <v/>
      </c>
      <c r="D360" s="24">
        <f>IFERROR(1/B360,"")</f>
        <v/>
      </c>
      <c r="E360" s="25">
        <f>IFERROR((D360-C360/100)*10000,"")</f>
        <v/>
      </c>
    </row>
    <row r="361">
      <c r="A361" s="23">
        <f>IFERROR(INDEX($R$23:$R$823,ROW()-22),"")</f>
        <v/>
      </c>
      <c r="B361">
        <f>IFERROR(INDEX($S$23:$S$823,ROW()-22),"")</f>
        <v/>
      </c>
      <c r="C361">
        <f>IFERROR(INDEX($W$23:$W$823,ROW()-22),"")</f>
        <v/>
      </c>
      <c r="D361" s="24">
        <f>IFERROR(1/B361,"")</f>
        <v/>
      </c>
      <c r="E361" s="25">
        <f>IFERROR((D361-C361/100)*10000,"")</f>
        <v/>
      </c>
    </row>
    <row r="362">
      <c r="A362" s="23">
        <f>IFERROR(INDEX($R$23:$R$823,ROW()-22),"")</f>
        <v/>
      </c>
      <c r="B362">
        <f>IFERROR(INDEX($S$23:$S$823,ROW()-22),"")</f>
        <v/>
      </c>
      <c r="C362">
        <f>IFERROR(INDEX($W$23:$W$823,ROW()-22),"")</f>
        <v/>
      </c>
      <c r="D362" s="24">
        <f>IFERROR(1/B362,"")</f>
        <v/>
      </c>
      <c r="E362" s="25">
        <f>IFERROR((D362-C362/100)*10000,"")</f>
        <v/>
      </c>
    </row>
    <row r="363">
      <c r="A363" s="23">
        <f>IFERROR(INDEX($R$23:$R$823,ROW()-22),"")</f>
        <v/>
      </c>
      <c r="B363">
        <f>IFERROR(INDEX($S$23:$S$823,ROW()-22),"")</f>
        <v/>
      </c>
      <c r="C363">
        <f>IFERROR(INDEX($W$23:$W$823,ROW()-22),"")</f>
        <v/>
      </c>
      <c r="D363" s="24">
        <f>IFERROR(1/B363,"")</f>
        <v/>
      </c>
      <c r="E363" s="25">
        <f>IFERROR((D363-C363/100)*10000,"")</f>
        <v/>
      </c>
    </row>
    <row r="364">
      <c r="A364" s="23">
        <f>IFERROR(INDEX($R$23:$R$823,ROW()-22),"")</f>
        <v/>
      </c>
      <c r="B364">
        <f>IFERROR(INDEX($S$23:$S$823,ROW()-22),"")</f>
        <v/>
      </c>
      <c r="C364">
        <f>IFERROR(INDEX($W$23:$W$823,ROW()-22),"")</f>
        <v/>
      </c>
      <c r="D364" s="24">
        <f>IFERROR(1/B364,"")</f>
        <v/>
      </c>
      <c r="E364" s="25">
        <f>IFERROR((D364-C364/100)*10000,"")</f>
        <v/>
      </c>
    </row>
    <row r="365">
      <c r="A365" s="23">
        <f>IFERROR(INDEX($R$23:$R$823,ROW()-22),"")</f>
        <v/>
      </c>
      <c r="B365">
        <f>IFERROR(INDEX($S$23:$S$823,ROW()-22),"")</f>
        <v/>
      </c>
      <c r="C365">
        <f>IFERROR(INDEX($W$23:$W$823,ROW()-22),"")</f>
        <v/>
      </c>
      <c r="D365" s="24">
        <f>IFERROR(1/B365,"")</f>
        <v/>
      </c>
      <c r="E365" s="25">
        <f>IFERROR((D365-C365/100)*10000,"")</f>
        <v/>
      </c>
    </row>
    <row r="366">
      <c r="A366" s="23">
        <f>IFERROR(INDEX($R$23:$R$823,ROW()-22),"")</f>
        <v/>
      </c>
      <c r="B366">
        <f>IFERROR(INDEX($S$23:$S$823,ROW()-22),"")</f>
        <v/>
      </c>
      <c r="C366">
        <f>IFERROR(INDEX($W$23:$W$823,ROW()-22),"")</f>
        <v/>
      </c>
      <c r="D366" s="24">
        <f>IFERROR(1/B366,"")</f>
        <v/>
      </c>
      <c r="E366" s="25">
        <f>IFERROR((D366-C366/100)*10000,"")</f>
        <v/>
      </c>
    </row>
    <row r="367">
      <c r="A367" s="23">
        <f>IFERROR(INDEX($R$23:$R$823,ROW()-22),"")</f>
        <v/>
      </c>
      <c r="B367">
        <f>IFERROR(INDEX($S$23:$S$823,ROW()-22),"")</f>
        <v/>
      </c>
      <c r="C367">
        <f>IFERROR(INDEX($W$23:$W$823,ROW()-22),"")</f>
        <v/>
      </c>
      <c r="D367" s="24">
        <f>IFERROR(1/B367,"")</f>
        <v/>
      </c>
      <c r="E367" s="25">
        <f>IFERROR((D367-C367/100)*10000,"")</f>
        <v/>
      </c>
    </row>
    <row r="368">
      <c r="A368" s="23">
        <f>IFERROR(INDEX($R$23:$R$823,ROW()-22),"")</f>
        <v/>
      </c>
      <c r="B368">
        <f>IFERROR(INDEX($S$23:$S$823,ROW()-22),"")</f>
        <v/>
      </c>
      <c r="C368">
        <f>IFERROR(INDEX($W$23:$W$823,ROW()-22),"")</f>
        <v/>
      </c>
      <c r="D368" s="24">
        <f>IFERROR(1/B368,"")</f>
        <v/>
      </c>
      <c r="E368" s="25">
        <f>IFERROR((D368-C368/100)*10000,"")</f>
        <v/>
      </c>
    </row>
    <row r="369">
      <c r="A369" s="23">
        <f>IFERROR(INDEX($R$23:$R$823,ROW()-22),"")</f>
        <v/>
      </c>
      <c r="B369">
        <f>IFERROR(INDEX($S$23:$S$823,ROW()-22),"")</f>
        <v/>
      </c>
      <c r="C369">
        <f>IFERROR(INDEX($W$23:$W$823,ROW()-22),"")</f>
        <v/>
      </c>
      <c r="D369" s="24">
        <f>IFERROR(1/B369,"")</f>
        <v/>
      </c>
      <c r="E369" s="25">
        <f>IFERROR((D369-C369/100)*10000,"")</f>
        <v/>
      </c>
    </row>
    <row r="370">
      <c r="A370" s="23">
        <f>IFERROR(INDEX($R$23:$R$823,ROW()-22),"")</f>
        <v/>
      </c>
      <c r="B370">
        <f>IFERROR(INDEX($S$23:$S$823,ROW()-22),"")</f>
        <v/>
      </c>
      <c r="C370">
        <f>IFERROR(INDEX($W$23:$W$823,ROW()-22),"")</f>
        <v/>
      </c>
      <c r="D370" s="24">
        <f>IFERROR(1/B370,"")</f>
        <v/>
      </c>
      <c r="E370" s="25">
        <f>IFERROR((D370-C370/100)*10000,"")</f>
        <v/>
      </c>
    </row>
    <row r="371">
      <c r="A371" s="23">
        <f>IFERROR(INDEX($R$23:$R$823,ROW()-22),"")</f>
        <v/>
      </c>
      <c r="B371">
        <f>IFERROR(INDEX($S$23:$S$823,ROW()-22),"")</f>
        <v/>
      </c>
      <c r="C371">
        <f>IFERROR(INDEX($W$23:$W$823,ROW()-22),"")</f>
        <v/>
      </c>
      <c r="D371" s="24">
        <f>IFERROR(1/B371,"")</f>
        <v/>
      </c>
      <c r="E371" s="25">
        <f>IFERROR((D371-C371/100)*10000,"")</f>
        <v/>
      </c>
    </row>
    <row r="372">
      <c r="A372" s="23">
        <f>IFERROR(INDEX($R$23:$R$823,ROW()-22),"")</f>
        <v/>
      </c>
      <c r="B372">
        <f>IFERROR(INDEX($S$23:$S$823,ROW()-22),"")</f>
        <v/>
      </c>
      <c r="C372">
        <f>IFERROR(INDEX($W$23:$W$823,ROW()-22),"")</f>
        <v/>
      </c>
      <c r="D372" s="24">
        <f>IFERROR(1/B372,"")</f>
        <v/>
      </c>
      <c r="E372" s="25">
        <f>IFERROR((D372-C372/100)*10000,"")</f>
        <v/>
      </c>
    </row>
    <row r="373">
      <c r="A373" s="23">
        <f>IFERROR(INDEX($R$23:$R$823,ROW()-22),"")</f>
        <v/>
      </c>
      <c r="B373">
        <f>IFERROR(INDEX($S$23:$S$823,ROW()-22),"")</f>
        <v/>
      </c>
      <c r="C373">
        <f>IFERROR(INDEX($W$23:$W$823,ROW()-22),"")</f>
        <v/>
      </c>
      <c r="D373" s="24">
        <f>IFERROR(1/B373,"")</f>
        <v/>
      </c>
      <c r="E373" s="25">
        <f>IFERROR((D373-C373/100)*10000,"")</f>
        <v/>
      </c>
    </row>
    <row r="374">
      <c r="A374" s="23">
        <f>IFERROR(INDEX($R$23:$R$823,ROW()-22),"")</f>
        <v/>
      </c>
      <c r="B374">
        <f>IFERROR(INDEX($S$23:$S$823,ROW()-22),"")</f>
        <v/>
      </c>
      <c r="C374">
        <f>IFERROR(INDEX($W$23:$W$823,ROW()-22),"")</f>
        <v/>
      </c>
      <c r="D374" s="24">
        <f>IFERROR(1/B374,"")</f>
        <v/>
      </c>
      <c r="E374" s="25">
        <f>IFERROR((D374-C374/100)*10000,"")</f>
        <v/>
      </c>
    </row>
    <row r="375">
      <c r="A375" s="23">
        <f>IFERROR(INDEX($R$23:$R$823,ROW()-22),"")</f>
        <v/>
      </c>
      <c r="B375">
        <f>IFERROR(INDEX($S$23:$S$823,ROW()-22),"")</f>
        <v/>
      </c>
      <c r="C375">
        <f>IFERROR(INDEX($W$23:$W$823,ROW()-22),"")</f>
        <v/>
      </c>
      <c r="D375" s="24">
        <f>IFERROR(1/B375,"")</f>
        <v/>
      </c>
      <c r="E375" s="25">
        <f>IFERROR((D375-C375/100)*10000,"")</f>
        <v/>
      </c>
    </row>
    <row r="376">
      <c r="A376" s="23">
        <f>IFERROR(INDEX($R$23:$R$823,ROW()-22),"")</f>
        <v/>
      </c>
      <c r="B376">
        <f>IFERROR(INDEX($S$23:$S$823,ROW()-22),"")</f>
        <v/>
      </c>
      <c r="C376">
        <f>IFERROR(INDEX($W$23:$W$823,ROW()-22),"")</f>
        <v/>
      </c>
      <c r="D376" s="24">
        <f>IFERROR(1/B376,"")</f>
        <v/>
      </c>
      <c r="E376" s="25">
        <f>IFERROR((D376-C376/100)*10000,"")</f>
        <v/>
      </c>
    </row>
    <row r="377">
      <c r="A377" s="23">
        <f>IFERROR(INDEX($R$23:$R$823,ROW()-22),"")</f>
        <v/>
      </c>
      <c r="B377">
        <f>IFERROR(INDEX($S$23:$S$823,ROW()-22),"")</f>
        <v/>
      </c>
      <c r="C377">
        <f>IFERROR(INDEX($W$23:$W$823,ROW()-22),"")</f>
        <v/>
      </c>
      <c r="D377" s="24">
        <f>IFERROR(1/B377,"")</f>
        <v/>
      </c>
      <c r="E377" s="25">
        <f>IFERROR((D377-C377/100)*10000,"")</f>
        <v/>
      </c>
    </row>
    <row r="378">
      <c r="A378" s="23">
        <f>IFERROR(INDEX($R$23:$R$823,ROW()-22),"")</f>
        <v/>
      </c>
      <c r="B378">
        <f>IFERROR(INDEX($S$23:$S$823,ROW()-22),"")</f>
        <v/>
      </c>
      <c r="C378">
        <f>IFERROR(INDEX($W$23:$W$823,ROW()-22),"")</f>
        <v/>
      </c>
      <c r="D378" s="24">
        <f>IFERROR(1/B378,"")</f>
        <v/>
      </c>
      <c r="E378" s="25">
        <f>IFERROR((D378-C378/100)*10000,"")</f>
        <v/>
      </c>
    </row>
    <row r="379">
      <c r="A379" s="23">
        <f>IFERROR(INDEX($R$23:$R$823,ROW()-22),"")</f>
        <v/>
      </c>
      <c r="B379">
        <f>IFERROR(INDEX($S$23:$S$823,ROW()-22),"")</f>
        <v/>
      </c>
      <c r="C379">
        <f>IFERROR(INDEX($W$23:$W$823,ROW()-22),"")</f>
        <v/>
      </c>
      <c r="D379" s="24">
        <f>IFERROR(1/B379,"")</f>
        <v/>
      </c>
      <c r="E379" s="25">
        <f>IFERROR((D379-C379/100)*10000,"")</f>
        <v/>
      </c>
    </row>
    <row r="380">
      <c r="A380" s="23">
        <f>IFERROR(INDEX($R$23:$R$823,ROW()-22),"")</f>
        <v/>
      </c>
      <c r="B380">
        <f>IFERROR(INDEX($S$23:$S$823,ROW()-22),"")</f>
        <v/>
      </c>
      <c r="C380">
        <f>IFERROR(INDEX($W$23:$W$823,ROW()-22),"")</f>
        <v/>
      </c>
      <c r="D380" s="24">
        <f>IFERROR(1/B380,"")</f>
        <v/>
      </c>
      <c r="E380" s="25">
        <f>IFERROR((D380-C380/100)*10000,"")</f>
        <v/>
      </c>
    </row>
    <row r="381">
      <c r="A381" s="23">
        <f>IFERROR(INDEX($R$23:$R$823,ROW()-22),"")</f>
        <v/>
      </c>
      <c r="B381">
        <f>IFERROR(INDEX($S$23:$S$823,ROW()-22),"")</f>
        <v/>
      </c>
      <c r="C381">
        <f>IFERROR(INDEX($W$23:$W$823,ROW()-22),"")</f>
        <v/>
      </c>
      <c r="D381" s="24">
        <f>IFERROR(1/B381,"")</f>
        <v/>
      </c>
      <c r="E381" s="25">
        <f>IFERROR((D381-C381/100)*10000,"")</f>
        <v/>
      </c>
    </row>
    <row r="382">
      <c r="A382" s="23">
        <f>IFERROR(INDEX($R$23:$R$823,ROW()-22),"")</f>
        <v/>
      </c>
      <c r="B382">
        <f>IFERROR(INDEX($S$23:$S$823,ROW()-22),"")</f>
        <v/>
      </c>
      <c r="C382">
        <f>IFERROR(INDEX($W$23:$W$823,ROW()-22),"")</f>
        <v/>
      </c>
      <c r="D382" s="24">
        <f>IFERROR(1/B382,"")</f>
        <v/>
      </c>
      <c r="E382" s="25">
        <f>IFERROR((D382-C382/100)*10000,"")</f>
        <v/>
      </c>
    </row>
    <row r="383">
      <c r="A383" s="23">
        <f>IFERROR(INDEX($R$23:$R$823,ROW()-22),"")</f>
        <v/>
      </c>
      <c r="B383">
        <f>IFERROR(INDEX($S$23:$S$823,ROW()-22),"")</f>
        <v/>
      </c>
      <c r="C383">
        <f>IFERROR(INDEX($W$23:$W$823,ROW()-22),"")</f>
        <v/>
      </c>
      <c r="D383" s="24">
        <f>IFERROR(1/B383,"")</f>
        <v/>
      </c>
      <c r="E383" s="25">
        <f>IFERROR((D383-C383/100)*10000,"")</f>
        <v/>
      </c>
    </row>
    <row r="384">
      <c r="A384" s="23">
        <f>IFERROR(INDEX($R$23:$R$823,ROW()-22),"")</f>
        <v/>
      </c>
      <c r="B384">
        <f>IFERROR(INDEX($S$23:$S$823,ROW()-22),"")</f>
        <v/>
      </c>
      <c r="C384">
        <f>IFERROR(INDEX($W$23:$W$823,ROW()-22),"")</f>
        <v/>
      </c>
      <c r="D384" s="24">
        <f>IFERROR(1/B384,"")</f>
        <v/>
      </c>
      <c r="E384" s="25">
        <f>IFERROR((D384-C384/100)*10000,"")</f>
        <v/>
      </c>
    </row>
    <row r="385">
      <c r="A385" s="23">
        <f>IFERROR(INDEX($R$23:$R$823,ROW()-22),"")</f>
        <v/>
      </c>
      <c r="B385">
        <f>IFERROR(INDEX($S$23:$S$823,ROW()-22),"")</f>
        <v/>
      </c>
      <c r="C385">
        <f>IFERROR(INDEX($W$23:$W$823,ROW()-22),"")</f>
        <v/>
      </c>
      <c r="D385" s="24">
        <f>IFERROR(1/B385,"")</f>
        <v/>
      </c>
      <c r="E385" s="25">
        <f>IFERROR((D385-C385/100)*10000,"")</f>
        <v/>
      </c>
    </row>
    <row r="386">
      <c r="A386" s="23">
        <f>IFERROR(INDEX($R$23:$R$823,ROW()-22),"")</f>
        <v/>
      </c>
      <c r="B386">
        <f>IFERROR(INDEX($S$23:$S$823,ROW()-22),"")</f>
        <v/>
      </c>
      <c r="C386">
        <f>IFERROR(INDEX($W$23:$W$823,ROW()-22),"")</f>
        <v/>
      </c>
      <c r="D386" s="24">
        <f>IFERROR(1/B386,"")</f>
        <v/>
      </c>
      <c r="E386" s="25">
        <f>IFERROR((D386-C386/100)*10000,"")</f>
        <v/>
      </c>
    </row>
    <row r="387">
      <c r="A387" s="23">
        <f>IFERROR(INDEX($R$23:$R$823,ROW()-22),"")</f>
        <v/>
      </c>
      <c r="B387">
        <f>IFERROR(INDEX($S$23:$S$823,ROW()-22),"")</f>
        <v/>
      </c>
      <c r="C387">
        <f>IFERROR(INDEX($W$23:$W$823,ROW()-22),"")</f>
        <v/>
      </c>
      <c r="D387" s="24">
        <f>IFERROR(1/B387,"")</f>
        <v/>
      </c>
      <c r="E387" s="25">
        <f>IFERROR((D387-C387/100)*10000,"")</f>
        <v/>
      </c>
    </row>
    <row r="388">
      <c r="A388" s="23">
        <f>IFERROR(INDEX($R$23:$R$823,ROW()-22),"")</f>
        <v/>
      </c>
      <c r="B388">
        <f>IFERROR(INDEX($S$23:$S$823,ROW()-22),"")</f>
        <v/>
      </c>
      <c r="C388">
        <f>IFERROR(INDEX($W$23:$W$823,ROW()-22),"")</f>
        <v/>
      </c>
      <c r="D388" s="24">
        <f>IFERROR(1/B388,"")</f>
        <v/>
      </c>
      <c r="E388" s="25">
        <f>IFERROR((D388-C388/100)*10000,"")</f>
        <v/>
      </c>
    </row>
    <row r="389">
      <c r="A389" s="23">
        <f>IFERROR(INDEX($R$23:$R$823,ROW()-22),"")</f>
        <v/>
      </c>
      <c r="B389">
        <f>IFERROR(INDEX($S$23:$S$823,ROW()-22),"")</f>
        <v/>
      </c>
      <c r="C389">
        <f>IFERROR(INDEX($W$23:$W$823,ROW()-22),"")</f>
        <v/>
      </c>
      <c r="D389" s="24">
        <f>IFERROR(1/B389,"")</f>
        <v/>
      </c>
      <c r="E389" s="25">
        <f>IFERROR((D389-C389/100)*10000,"")</f>
        <v/>
      </c>
    </row>
    <row r="390">
      <c r="A390" s="23">
        <f>IFERROR(INDEX($R$23:$R$823,ROW()-22),"")</f>
        <v/>
      </c>
      <c r="B390">
        <f>IFERROR(INDEX($S$23:$S$823,ROW()-22),"")</f>
        <v/>
      </c>
      <c r="C390">
        <f>IFERROR(INDEX($W$23:$W$823,ROW()-22),"")</f>
        <v/>
      </c>
      <c r="D390" s="24">
        <f>IFERROR(1/B390,"")</f>
        <v/>
      </c>
      <c r="E390" s="25">
        <f>IFERROR((D390-C390/100)*10000,"")</f>
        <v/>
      </c>
    </row>
    <row r="391">
      <c r="A391" s="23">
        <f>IFERROR(INDEX($R$23:$R$823,ROW()-22),"")</f>
        <v/>
      </c>
      <c r="B391">
        <f>IFERROR(INDEX($S$23:$S$823,ROW()-22),"")</f>
        <v/>
      </c>
      <c r="C391">
        <f>IFERROR(INDEX($W$23:$W$823,ROW()-22),"")</f>
        <v/>
      </c>
      <c r="D391" s="24">
        <f>IFERROR(1/B391,"")</f>
        <v/>
      </c>
      <c r="E391" s="25">
        <f>IFERROR((D391-C391/100)*10000,"")</f>
        <v/>
      </c>
    </row>
    <row r="392">
      <c r="A392" s="23">
        <f>IFERROR(INDEX($R$23:$R$823,ROW()-22),"")</f>
        <v/>
      </c>
      <c r="B392">
        <f>IFERROR(INDEX($S$23:$S$823,ROW()-22),"")</f>
        <v/>
      </c>
      <c r="C392">
        <f>IFERROR(INDEX($W$23:$W$823,ROW()-22),"")</f>
        <v/>
      </c>
      <c r="D392" s="24">
        <f>IFERROR(1/B392,"")</f>
        <v/>
      </c>
      <c r="E392" s="25">
        <f>IFERROR((D392-C392/100)*10000,"")</f>
        <v/>
      </c>
    </row>
    <row r="393">
      <c r="A393" s="23">
        <f>IFERROR(INDEX($R$23:$R$823,ROW()-22),"")</f>
        <v/>
      </c>
      <c r="B393">
        <f>IFERROR(INDEX($S$23:$S$823,ROW()-22),"")</f>
        <v/>
      </c>
      <c r="C393">
        <f>IFERROR(INDEX($W$23:$W$823,ROW()-22),"")</f>
        <v/>
      </c>
      <c r="D393" s="24">
        <f>IFERROR(1/B393,"")</f>
        <v/>
      </c>
      <c r="E393" s="25">
        <f>IFERROR((D393-C393/100)*10000,"")</f>
        <v/>
      </c>
    </row>
    <row r="394">
      <c r="A394" s="23">
        <f>IFERROR(INDEX($R$23:$R$823,ROW()-22),"")</f>
        <v/>
      </c>
      <c r="B394">
        <f>IFERROR(INDEX($S$23:$S$823,ROW()-22),"")</f>
        <v/>
      </c>
      <c r="C394">
        <f>IFERROR(INDEX($W$23:$W$823,ROW()-22),"")</f>
        <v/>
      </c>
      <c r="D394" s="24">
        <f>IFERROR(1/B394,"")</f>
        <v/>
      </c>
      <c r="E394" s="25">
        <f>IFERROR((D394-C394/100)*10000,"")</f>
        <v/>
      </c>
    </row>
    <row r="395">
      <c r="A395" s="23">
        <f>IFERROR(INDEX($R$23:$R$823,ROW()-22),"")</f>
        <v/>
      </c>
      <c r="B395">
        <f>IFERROR(INDEX($S$23:$S$823,ROW()-22),"")</f>
        <v/>
      </c>
      <c r="C395">
        <f>IFERROR(INDEX($W$23:$W$823,ROW()-22),"")</f>
        <v/>
      </c>
      <c r="D395" s="24">
        <f>IFERROR(1/B395,"")</f>
        <v/>
      </c>
      <c r="E395" s="25">
        <f>IFERROR((D395-C395/100)*10000,"")</f>
        <v/>
      </c>
    </row>
    <row r="396">
      <c r="A396" s="23">
        <f>IFERROR(INDEX($R$23:$R$823,ROW()-22),"")</f>
        <v/>
      </c>
      <c r="B396">
        <f>IFERROR(INDEX($S$23:$S$823,ROW()-22),"")</f>
        <v/>
      </c>
      <c r="C396">
        <f>IFERROR(INDEX($W$23:$W$823,ROW()-22),"")</f>
        <v/>
      </c>
      <c r="D396" s="24">
        <f>IFERROR(1/B396,"")</f>
        <v/>
      </c>
      <c r="E396" s="25">
        <f>IFERROR((D396-C396/100)*10000,"")</f>
        <v/>
      </c>
    </row>
    <row r="397">
      <c r="A397" s="23">
        <f>IFERROR(INDEX($R$23:$R$823,ROW()-22),"")</f>
        <v/>
      </c>
      <c r="B397">
        <f>IFERROR(INDEX($S$23:$S$823,ROW()-22),"")</f>
        <v/>
      </c>
      <c r="C397">
        <f>IFERROR(INDEX($W$23:$W$823,ROW()-22),"")</f>
        <v/>
      </c>
      <c r="D397" s="24">
        <f>IFERROR(1/B397,"")</f>
        <v/>
      </c>
      <c r="E397" s="25">
        <f>IFERROR((D397-C397/100)*10000,"")</f>
        <v/>
      </c>
    </row>
    <row r="398">
      <c r="A398" s="23">
        <f>IFERROR(INDEX($R$23:$R$823,ROW()-22),"")</f>
        <v/>
      </c>
      <c r="B398">
        <f>IFERROR(INDEX($S$23:$S$823,ROW()-22),"")</f>
        <v/>
      </c>
      <c r="C398">
        <f>IFERROR(INDEX($W$23:$W$823,ROW()-22),"")</f>
        <v/>
      </c>
      <c r="D398" s="24">
        <f>IFERROR(1/B398,"")</f>
        <v/>
      </c>
      <c r="E398" s="25">
        <f>IFERROR((D398-C398/100)*10000,"")</f>
        <v/>
      </c>
    </row>
    <row r="399">
      <c r="A399" s="23">
        <f>IFERROR(INDEX($R$23:$R$823,ROW()-22),"")</f>
        <v/>
      </c>
      <c r="B399">
        <f>IFERROR(INDEX($S$23:$S$823,ROW()-22),"")</f>
        <v/>
      </c>
      <c r="C399">
        <f>IFERROR(INDEX($W$23:$W$823,ROW()-22),"")</f>
        <v/>
      </c>
      <c r="D399" s="24">
        <f>IFERROR(1/B399,"")</f>
        <v/>
      </c>
      <c r="E399" s="25">
        <f>IFERROR((D399-C399/100)*10000,"")</f>
        <v/>
      </c>
    </row>
    <row r="400">
      <c r="A400" s="23">
        <f>IFERROR(INDEX($R$23:$R$823,ROW()-22),"")</f>
        <v/>
      </c>
      <c r="B400">
        <f>IFERROR(INDEX($S$23:$S$823,ROW()-22),"")</f>
        <v/>
      </c>
      <c r="C400">
        <f>IFERROR(INDEX($W$23:$W$823,ROW()-22),"")</f>
        <v/>
      </c>
      <c r="D400" s="24">
        <f>IFERROR(1/B400,"")</f>
        <v/>
      </c>
      <c r="E400" s="25">
        <f>IFERROR((D400-C400/100)*10000,"")</f>
        <v/>
      </c>
    </row>
    <row r="401">
      <c r="A401" s="23">
        <f>IFERROR(INDEX($R$23:$R$823,ROW()-22),"")</f>
        <v/>
      </c>
      <c r="B401">
        <f>IFERROR(INDEX($S$23:$S$823,ROW()-22),"")</f>
        <v/>
      </c>
      <c r="C401">
        <f>IFERROR(INDEX($W$23:$W$823,ROW()-22),"")</f>
        <v/>
      </c>
      <c r="D401" s="24">
        <f>IFERROR(1/B401,"")</f>
        <v/>
      </c>
      <c r="E401" s="25">
        <f>IFERROR((D401-C401/100)*10000,"")</f>
        <v/>
      </c>
    </row>
    <row r="402">
      <c r="A402" s="23">
        <f>IFERROR(INDEX($R$23:$R$823,ROW()-22),"")</f>
        <v/>
      </c>
      <c r="B402">
        <f>IFERROR(INDEX($S$23:$S$823,ROW()-22),"")</f>
        <v/>
      </c>
      <c r="C402">
        <f>IFERROR(INDEX($W$23:$W$823,ROW()-22),"")</f>
        <v/>
      </c>
      <c r="D402" s="24">
        <f>IFERROR(1/B402,"")</f>
        <v/>
      </c>
      <c r="E402" s="25">
        <f>IFERROR((D402-C402/100)*10000,"")</f>
        <v/>
      </c>
    </row>
    <row r="403">
      <c r="A403" s="23">
        <f>IFERROR(INDEX($R$23:$R$823,ROW()-22),"")</f>
        <v/>
      </c>
      <c r="B403">
        <f>IFERROR(INDEX($S$23:$S$823,ROW()-22),"")</f>
        <v/>
      </c>
      <c r="C403">
        <f>IFERROR(INDEX($W$23:$W$823,ROW()-22),"")</f>
        <v/>
      </c>
      <c r="D403" s="24">
        <f>IFERROR(1/B403,"")</f>
        <v/>
      </c>
      <c r="E403" s="25">
        <f>IFERROR((D403-C403/100)*10000,"")</f>
        <v/>
      </c>
    </row>
    <row r="404">
      <c r="A404" s="23">
        <f>IFERROR(INDEX($R$23:$R$823,ROW()-22),"")</f>
        <v/>
      </c>
      <c r="B404">
        <f>IFERROR(INDEX($S$23:$S$823,ROW()-22),"")</f>
        <v/>
      </c>
      <c r="C404">
        <f>IFERROR(INDEX($W$23:$W$823,ROW()-22),"")</f>
        <v/>
      </c>
      <c r="D404" s="24">
        <f>IFERROR(1/B404,"")</f>
        <v/>
      </c>
      <c r="E404" s="25">
        <f>IFERROR((D404-C404/100)*10000,"")</f>
        <v/>
      </c>
    </row>
    <row r="405">
      <c r="A405" s="23">
        <f>IFERROR(INDEX($R$23:$R$823,ROW()-22),"")</f>
        <v/>
      </c>
      <c r="B405">
        <f>IFERROR(INDEX($S$23:$S$823,ROW()-22),"")</f>
        <v/>
      </c>
      <c r="C405">
        <f>IFERROR(INDEX($W$23:$W$823,ROW()-22),"")</f>
        <v/>
      </c>
      <c r="D405" s="24">
        <f>IFERROR(1/B405,"")</f>
        <v/>
      </c>
      <c r="E405" s="25">
        <f>IFERROR((D405-C405/100)*10000,"")</f>
        <v/>
      </c>
    </row>
    <row r="406">
      <c r="A406" s="23">
        <f>IFERROR(INDEX($R$23:$R$823,ROW()-22),"")</f>
        <v/>
      </c>
      <c r="B406">
        <f>IFERROR(INDEX($S$23:$S$823,ROW()-22),"")</f>
        <v/>
      </c>
      <c r="C406">
        <f>IFERROR(INDEX($W$23:$W$823,ROW()-22),"")</f>
        <v/>
      </c>
      <c r="D406" s="24">
        <f>IFERROR(1/B406,"")</f>
        <v/>
      </c>
      <c r="E406" s="25">
        <f>IFERROR((D406-C406/100)*10000,"")</f>
        <v/>
      </c>
    </row>
    <row r="407">
      <c r="A407" s="23">
        <f>IFERROR(INDEX($R$23:$R$823,ROW()-22),"")</f>
        <v/>
      </c>
      <c r="B407">
        <f>IFERROR(INDEX($S$23:$S$823,ROW()-22),"")</f>
        <v/>
      </c>
      <c r="C407">
        <f>IFERROR(INDEX($W$23:$W$823,ROW()-22),"")</f>
        <v/>
      </c>
      <c r="D407" s="24">
        <f>IFERROR(1/B407,"")</f>
        <v/>
      </c>
      <c r="E407" s="25">
        <f>IFERROR((D407-C407/100)*10000,"")</f>
        <v/>
      </c>
    </row>
    <row r="408">
      <c r="A408" s="23">
        <f>IFERROR(INDEX($R$23:$R$823,ROW()-22),"")</f>
        <v/>
      </c>
      <c r="B408">
        <f>IFERROR(INDEX($S$23:$S$823,ROW()-22),"")</f>
        <v/>
      </c>
      <c r="C408">
        <f>IFERROR(INDEX($W$23:$W$823,ROW()-22),"")</f>
        <v/>
      </c>
      <c r="D408" s="24">
        <f>IFERROR(1/B408,"")</f>
        <v/>
      </c>
      <c r="E408" s="25">
        <f>IFERROR((D408-C408/100)*10000,"")</f>
        <v/>
      </c>
    </row>
    <row r="409">
      <c r="A409" s="23">
        <f>IFERROR(INDEX($R$23:$R$823,ROW()-22),"")</f>
        <v/>
      </c>
      <c r="B409">
        <f>IFERROR(INDEX($S$23:$S$823,ROW()-22),"")</f>
        <v/>
      </c>
      <c r="C409">
        <f>IFERROR(INDEX($W$23:$W$823,ROW()-22),"")</f>
        <v/>
      </c>
      <c r="D409" s="24">
        <f>IFERROR(1/B409,"")</f>
        <v/>
      </c>
      <c r="E409" s="25">
        <f>IFERROR((D409-C409/100)*10000,"")</f>
        <v/>
      </c>
    </row>
    <row r="410">
      <c r="A410" s="23">
        <f>IFERROR(INDEX($R$23:$R$823,ROW()-22),"")</f>
        <v/>
      </c>
      <c r="B410">
        <f>IFERROR(INDEX($S$23:$S$823,ROW()-22),"")</f>
        <v/>
      </c>
      <c r="C410">
        <f>IFERROR(INDEX($W$23:$W$823,ROW()-22),"")</f>
        <v/>
      </c>
      <c r="D410" s="24">
        <f>IFERROR(1/B410,"")</f>
        <v/>
      </c>
      <c r="E410" s="25">
        <f>IFERROR((D410-C410/100)*10000,"")</f>
        <v/>
      </c>
    </row>
    <row r="411">
      <c r="A411" s="23">
        <f>IFERROR(INDEX($R$23:$R$823,ROW()-22),"")</f>
        <v/>
      </c>
      <c r="B411">
        <f>IFERROR(INDEX($S$23:$S$823,ROW()-22),"")</f>
        <v/>
      </c>
      <c r="C411">
        <f>IFERROR(INDEX($W$23:$W$823,ROW()-22),"")</f>
        <v/>
      </c>
      <c r="D411" s="24">
        <f>IFERROR(1/B411,"")</f>
        <v/>
      </c>
      <c r="E411" s="25">
        <f>IFERROR((D411-C411/100)*10000,"")</f>
        <v/>
      </c>
    </row>
    <row r="412">
      <c r="A412" s="23">
        <f>IFERROR(INDEX($R$23:$R$823,ROW()-22),"")</f>
        <v/>
      </c>
      <c r="B412">
        <f>IFERROR(INDEX($S$23:$S$823,ROW()-22),"")</f>
        <v/>
      </c>
      <c r="C412">
        <f>IFERROR(INDEX($W$23:$W$823,ROW()-22),"")</f>
        <v/>
      </c>
      <c r="D412" s="24">
        <f>IFERROR(1/B412,"")</f>
        <v/>
      </c>
      <c r="E412" s="25">
        <f>IFERROR((D412-C412/100)*10000,"")</f>
        <v/>
      </c>
    </row>
    <row r="413">
      <c r="A413" s="23">
        <f>IFERROR(INDEX($R$23:$R$823,ROW()-22),"")</f>
        <v/>
      </c>
      <c r="B413">
        <f>IFERROR(INDEX($S$23:$S$823,ROW()-22),"")</f>
        <v/>
      </c>
      <c r="C413">
        <f>IFERROR(INDEX($W$23:$W$823,ROW()-22),"")</f>
        <v/>
      </c>
      <c r="D413" s="24">
        <f>IFERROR(1/B413,"")</f>
        <v/>
      </c>
      <c r="E413" s="25">
        <f>IFERROR((D413-C413/100)*10000,"")</f>
        <v/>
      </c>
    </row>
    <row r="414">
      <c r="A414" s="23">
        <f>IFERROR(INDEX($R$23:$R$823,ROW()-22),"")</f>
        <v/>
      </c>
      <c r="B414">
        <f>IFERROR(INDEX($S$23:$S$823,ROW()-22),"")</f>
        <v/>
      </c>
      <c r="C414">
        <f>IFERROR(INDEX($W$23:$W$823,ROW()-22),"")</f>
        <v/>
      </c>
      <c r="D414" s="24">
        <f>IFERROR(1/B414,"")</f>
        <v/>
      </c>
      <c r="E414" s="25">
        <f>IFERROR((D414-C414/100)*10000,"")</f>
        <v/>
      </c>
    </row>
    <row r="415">
      <c r="A415" s="23">
        <f>IFERROR(INDEX($R$23:$R$823,ROW()-22),"")</f>
        <v/>
      </c>
      <c r="B415">
        <f>IFERROR(INDEX($S$23:$S$823,ROW()-22),"")</f>
        <v/>
      </c>
      <c r="C415">
        <f>IFERROR(INDEX($W$23:$W$823,ROW()-22),"")</f>
        <v/>
      </c>
      <c r="D415" s="24">
        <f>IFERROR(1/B415,"")</f>
        <v/>
      </c>
      <c r="E415" s="25">
        <f>IFERROR((D415-C415/100)*10000,"")</f>
        <v/>
      </c>
    </row>
    <row r="416">
      <c r="A416" s="23">
        <f>IFERROR(INDEX($R$23:$R$823,ROW()-22),"")</f>
        <v/>
      </c>
      <c r="B416">
        <f>IFERROR(INDEX($S$23:$S$823,ROW()-22),"")</f>
        <v/>
      </c>
      <c r="C416">
        <f>IFERROR(INDEX($W$23:$W$823,ROW()-22),"")</f>
        <v/>
      </c>
      <c r="D416" s="24">
        <f>IFERROR(1/B416,"")</f>
        <v/>
      </c>
      <c r="E416" s="25">
        <f>IFERROR((D416-C416/100)*10000,"")</f>
        <v/>
      </c>
    </row>
    <row r="417">
      <c r="A417" s="23">
        <f>IFERROR(INDEX($R$23:$R$823,ROW()-22),"")</f>
        <v/>
      </c>
      <c r="B417">
        <f>IFERROR(INDEX($S$23:$S$823,ROW()-22),"")</f>
        <v/>
      </c>
      <c r="C417">
        <f>IFERROR(INDEX($W$23:$W$823,ROW()-22),"")</f>
        <v/>
      </c>
      <c r="D417" s="24">
        <f>IFERROR(1/B417,"")</f>
        <v/>
      </c>
      <c r="E417" s="25">
        <f>IFERROR((D417-C417/100)*10000,"")</f>
        <v/>
      </c>
    </row>
    <row r="418">
      <c r="A418" s="23">
        <f>IFERROR(INDEX($R$23:$R$823,ROW()-22),"")</f>
        <v/>
      </c>
      <c r="B418">
        <f>IFERROR(INDEX($S$23:$S$823,ROW()-22),"")</f>
        <v/>
      </c>
      <c r="C418">
        <f>IFERROR(INDEX($W$23:$W$823,ROW()-22),"")</f>
        <v/>
      </c>
      <c r="D418" s="24">
        <f>IFERROR(1/B418,"")</f>
        <v/>
      </c>
      <c r="E418" s="25">
        <f>IFERROR((D418-C418/100)*10000,"")</f>
        <v/>
      </c>
    </row>
    <row r="419">
      <c r="A419" s="23">
        <f>IFERROR(INDEX($R$23:$R$823,ROW()-22),"")</f>
        <v/>
      </c>
      <c r="B419">
        <f>IFERROR(INDEX($S$23:$S$823,ROW()-22),"")</f>
        <v/>
      </c>
      <c r="C419">
        <f>IFERROR(INDEX($W$23:$W$823,ROW()-22),"")</f>
        <v/>
      </c>
      <c r="D419" s="24">
        <f>IFERROR(1/B419,"")</f>
        <v/>
      </c>
      <c r="E419" s="25">
        <f>IFERROR((D419-C419/100)*10000,"")</f>
        <v/>
      </c>
    </row>
    <row r="420">
      <c r="A420" s="23">
        <f>IFERROR(INDEX($R$23:$R$823,ROW()-22),"")</f>
        <v/>
      </c>
      <c r="B420">
        <f>IFERROR(INDEX($S$23:$S$823,ROW()-22),"")</f>
        <v/>
      </c>
      <c r="C420">
        <f>IFERROR(INDEX($W$23:$W$823,ROW()-22),"")</f>
        <v/>
      </c>
      <c r="D420" s="24">
        <f>IFERROR(1/B420,"")</f>
        <v/>
      </c>
      <c r="E420" s="25">
        <f>IFERROR((D420-C420/100)*10000,"")</f>
        <v/>
      </c>
    </row>
    <row r="421">
      <c r="A421" s="23">
        <f>IFERROR(INDEX($R$23:$R$823,ROW()-22),"")</f>
        <v/>
      </c>
      <c r="B421">
        <f>IFERROR(INDEX($S$23:$S$823,ROW()-22),"")</f>
        <v/>
      </c>
      <c r="C421">
        <f>IFERROR(INDEX($W$23:$W$823,ROW()-22),"")</f>
        <v/>
      </c>
      <c r="D421" s="24">
        <f>IFERROR(1/B421,"")</f>
        <v/>
      </c>
      <c r="E421" s="25">
        <f>IFERROR((D421-C421/100)*10000,"")</f>
        <v/>
      </c>
    </row>
    <row r="422">
      <c r="A422" s="23">
        <f>IFERROR(INDEX($R$23:$R$823,ROW()-22),"")</f>
        <v/>
      </c>
      <c r="B422">
        <f>IFERROR(INDEX($S$23:$S$823,ROW()-22),"")</f>
        <v/>
      </c>
      <c r="C422">
        <f>IFERROR(INDEX($W$23:$W$823,ROW()-22),"")</f>
        <v/>
      </c>
      <c r="D422" s="24">
        <f>IFERROR(1/B422,"")</f>
        <v/>
      </c>
      <c r="E422" s="25">
        <f>IFERROR((D422-C422/100)*10000,"")</f>
        <v/>
      </c>
    </row>
    <row r="423">
      <c r="A423" s="23">
        <f>IFERROR(INDEX($R$23:$R$823,ROW()-22),"")</f>
        <v/>
      </c>
      <c r="B423">
        <f>IFERROR(INDEX($S$23:$S$823,ROW()-22),"")</f>
        <v/>
      </c>
      <c r="C423">
        <f>IFERROR(INDEX($W$23:$W$823,ROW()-22),"")</f>
        <v/>
      </c>
      <c r="D423" s="24">
        <f>IFERROR(1/B423,"")</f>
        <v/>
      </c>
      <c r="E423" s="25">
        <f>IFERROR((D423-C423/100)*10000,"")</f>
        <v/>
      </c>
    </row>
    <row r="424">
      <c r="A424" s="23">
        <f>IFERROR(INDEX($R$23:$R$823,ROW()-22),"")</f>
        <v/>
      </c>
      <c r="B424">
        <f>IFERROR(INDEX($S$23:$S$823,ROW()-22),"")</f>
        <v/>
      </c>
      <c r="C424">
        <f>IFERROR(INDEX($W$23:$W$823,ROW()-22),"")</f>
        <v/>
      </c>
      <c r="D424" s="24">
        <f>IFERROR(1/B424,"")</f>
        <v/>
      </c>
      <c r="E424" s="25">
        <f>IFERROR((D424-C424/100)*10000,"")</f>
        <v/>
      </c>
    </row>
    <row r="425">
      <c r="A425" s="23">
        <f>IFERROR(INDEX($R$23:$R$823,ROW()-22),"")</f>
        <v/>
      </c>
      <c r="B425">
        <f>IFERROR(INDEX($S$23:$S$823,ROW()-22),"")</f>
        <v/>
      </c>
      <c r="C425">
        <f>IFERROR(INDEX($W$23:$W$823,ROW()-22),"")</f>
        <v/>
      </c>
      <c r="D425" s="24">
        <f>IFERROR(1/B425,"")</f>
        <v/>
      </c>
      <c r="E425" s="25">
        <f>IFERROR((D425-C425/100)*10000,"")</f>
        <v/>
      </c>
    </row>
    <row r="426">
      <c r="A426" s="23">
        <f>IFERROR(INDEX($R$23:$R$823,ROW()-22),"")</f>
        <v/>
      </c>
      <c r="B426">
        <f>IFERROR(INDEX($S$23:$S$823,ROW()-22),"")</f>
        <v/>
      </c>
      <c r="C426">
        <f>IFERROR(INDEX($W$23:$W$823,ROW()-22),"")</f>
        <v/>
      </c>
      <c r="D426" s="24">
        <f>IFERROR(1/B426,"")</f>
        <v/>
      </c>
      <c r="E426" s="25">
        <f>IFERROR((D426-C426/100)*10000,"")</f>
        <v/>
      </c>
    </row>
    <row r="427">
      <c r="A427" s="23">
        <f>IFERROR(INDEX($R$23:$R$823,ROW()-22),"")</f>
        <v/>
      </c>
      <c r="B427">
        <f>IFERROR(INDEX($S$23:$S$823,ROW()-22),"")</f>
        <v/>
      </c>
      <c r="C427">
        <f>IFERROR(INDEX($W$23:$W$823,ROW()-22),"")</f>
        <v/>
      </c>
      <c r="D427" s="24">
        <f>IFERROR(1/B427,"")</f>
        <v/>
      </c>
      <c r="E427" s="25">
        <f>IFERROR((D427-C427/100)*10000,"")</f>
        <v/>
      </c>
    </row>
    <row r="428">
      <c r="A428" s="23">
        <f>IFERROR(INDEX($R$23:$R$823,ROW()-22),"")</f>
        <v/>
      </c>
      <c r="B428">
        <f>IFERROR(INDEX($S$23:$S$823,ROW()-22),"")</f>
        <v/>
      </c>
      <c r="C428">
        <f>IFERROR(INDEX($W$23:$W$823,ROW()-22),"")</f>
        <v/>
      </c>
      <c r="D428" s="24">
        <f>IFERROR(1/B428,"")</f>
        <v/>
      </c>
      <c r="E428" s="25">
        <f>IFERROR((D428-C428/100)*10000,"")</f>
        <v/>
      </c>
    </row>
    <row r="429">
      <c r="A429" s="23">
        <f>IFERROR(INDEX($R$23:$R$823,ROW()-22),"")</f>
        <v/>
      </c>
      <c r="B429">
        <f>IFERROR(INDEX($S$23:$S$823,ROW()-22),"")</f>
        <v/>
      </c>
      <c r="C429">
        <f>IFERROR(INDEX($W$23:$W$823,ROW()-22),"")</f>
        <v/>
      </c>
      <c r="D429" s="24">
        <f>IFERROR(1/B429,"")</f>
        <v/>
      </c>
      <c r="E429" s="25">
        <f>IFERROR((D429-C429/100)*10000,"")</f>
        <v/>
      </c>
    </row>
    <row r="430">
      <c r="A430" s="23">
        <f>IFERROR(INDEX($R$23:$R$823,ROW()-22),"")</f>
        <v/>
      </c>
      <c r="B430">
        <f>IFERROR(INDEX($S$23:$S$823,ROW()-22),"")</f>
        <v/>
      </c>
      <c r="C430">
        <f>IFERROR(INDEX($W$23:$W$823,ROW()-22),"")</f>
        <v/>
      </c>
      <c r="D430" s="24">
        <f>IFERROR(1/B430,"")</f>
        <v/>
      </c>
      <c r="E430" s="25">
        <f>IFERROR((D430-C430/100)*10000,"")</f>
        <v/>
      </c>
    </row>
    <row r="431">
      <c r="A431" s="23">
        <f>IFERROR(INDEX($R$23:$R$823,ROW()-22),"")</f>
        <v/>
      </c>
      <c r="B431">
        <f>IFERROR(INDEX($S$23:$S$823,ROW()-22),"")</f>
        <v/>
      </c>
      <c r="C431">
        <f>IFERROR(INDEX($W$23:$W$823,ROW()-22),"")</f>
        <v/>
      </c>
      <c r="D431" s="24">
        <f>IFERROR(1/B431,"")</f>
        <v/>
      </c>
      <c r="E431" s="25">
        <f>IFERROR((D431-C431/100)*10000,"")</f>
        <v/>
      </c>
    </row>
    <row r="432">
      <c r="A432" s="23">
        <f>IFERROR(INDEX($R$23:$R$823,ROW()-22),"")</f>
        <v/>
      </c>
      <c r="B432">
        <f>IFERROR(INDEX($S$23:$S$823,ROW()-22),"")</f>
        <v/>
      </c>
      <c r="C432">
        <f>IFERROR(INDEX($W$23:$W$823,ROW()-22),"")</f>
        <v/>
      </c>
      <c r="D432" s="24">
        <f>IFERROR(1/B432,"")</f>
        <v/>
      </c>
      <c r="E432" s="25">
        <f>IFERROR((D432-C432/100)*10000,"")</f>
        <v/>
      </c>
    </row>
    <row r="433">
      <c r="A433" s="23">
        <f>IFERROR(INDEX($R$23:$R$823,ROW()-22),"")</f>
        <v/>
      </c>
      <c r="B433">
        <f>IFERROR(INDEX($S$23:$S$823,ROW()-22),"")</f>
        <v/>
      </c>
      <c r="C433">
        <f>IFERROR(INDEX($W$23:$W$823,ROW()-22),"")</f>
        <v/>
      </c>
      <c r="D433" s="24">
        <f>IFERROR(1/B433,"")</f>
        <v/>
      </c>
      <c r="E433" s="25">
        <f>IFERROR((D433-C433/100)*10000,"")</f>
        <v/>
      </c>
    </row>
    <row r="434">
      <c r="A434" s="23">
        <f>IFERROR(INDEX($R$23:$R$823,ROW()-22),"")</f>
        <v/>
      </c>
      <c r="B434">
        <f>IFERROR(INDEX($S$23:$S$823,ROW()-22),"")</f>
        <v/>
      </c>
      <c r="C434">
        <f>IFERROR(INDEX($W$23:$W$823,ROW()-22),"")</f>
        <v/>
      </c>
      <c r="D434" s="24">
        <f>IFERROR(1/B434,"")</f>
        <v/>
      </c>
      <c r="E434" s="25">
        <f>IFERROR((D434-C434/100)*10000,"")</f>
        <v/>
      </c>
    </row>
    <row r="435">
      <c r="A435" s="23">
        <f>IFERROR(INDEX($R$23:$R$823,ROW()-22),"")</f>
        <v/>
      </c>
      <c r="B435">
        <f>IFERROR(INDEX($S$23:$S$823,ROW()-22),"")</f>
        <v/>
      </c>
      <c r="C435">
        <f>IFERROR(INDEX($W$23:$W$823,ROW()-22),"")</f>
        <v/>
      </c>
      <c r="D435" s="24">
        <f>IFERROR(1/B435,"")</f>
        <v/>
      </c>
      <c r="E435" s="25">
        <f>IFERROR((D435-C435/100)*10000,"")</f>
        <v/>
      </c>
    </row>
    <row r="436">
      <c r="A436" s="23">
        <f>IFERROR(INDEX($R$23:$R$823,ROW()-22),"")</f>
        <v/>
      </c>
      <c r="B436">
        <f>IFERROR(INDEX($S$23:$S$823,ROW()-22),"")</f>
        <v/>
      </c>
      <c r="C436">
        <f>IFERROR(INDEX($W$23:$W$823,ROW()-22),"")</f>
        <v/>
      </c>
      <c r="D436" s="24">
        <f>IFERROR(1/B436,"")</f>
        <v/>
      </c>
      <c r="E436" s="25">
        <f>IFERROR((D436-C436/100)*10000,"")</f>
        <v/>
      </c>
    </row>
    <row r="437">
      <c r="A437" s="23">
        <f>IFERROR(INDEX($R$23:$R$823,ROW()-22),"")</f>
        <v/>
      </c>
      <c r="B437">
        <f>IFERROR(INDEX($S$23:$S$823,ROW()-22),"")</f>
        <v/>
      </c>
      <c r="C437">
        <f>IFERROR(INDEX($W$23:$W$823,ROW()-22),"")</f>
        <v/>
      </c>
      <c r="D437" s="24">
        <f>IFERROR(1/B437,"")</f>
        <v/>
      </c>
      <c r="E437" s="25">
        <f>IFERROR((D437-C437/100)*10000,"")</f>
        <v/>
      </c>
    </row>
    <row r="438">
      <c r="A438" s="23">
        <f>IFERROR(INDEX($R$23:$R$823,ROW()-22),"")</f>
        <v/>
      </c>
      <c r="B438">
        <f>IFERROR(INDEX($S$23:$S$823,ROW()-22),"")</f>
        <v/>
      </c>
      <c r="C438">
        <f>IFERROR(INDEX($W$23:$W$823,ROW()-22),"")</f>
        <v/>
      </c>
      <c r="D438" s="24">
        <f>IFERROR(1/B438,"")</f>
        <v/>
      </c>
      <c r="E438" s="25">
        <f>IFERROR((D438-C438/100)*10000,"")</f>
        <v/>
      </c>
    </row>
    <row r="439">
      <c r="A439" s="23">
        <f>IFERROR(INDEX($R$23:$R$823,ROW()-22),"")</f>
        <v/>
      </c>
      <c r="B439">
        <f>IFERROR(INDEX($S$23:$S$823,ROW()-22),"")</f>
        <v/>
      </c>
      <c r="C439">
        <f>IFERROR(INDEX($W$23:$W$823,ROW()-22),"")</f>
        <v/>
      </c>
      <c r="D439" s="24">
        <f>IFERROR(1/B439,"")</f>
        <v/>
      </c>
      <c r="E439" s="25">
        <f>IFERROR((D439-C439/100)*10000,"")</f>
        <v/>
      </c>
    </row>
    <row r="440">
      <c r="A440" s="23">
        <f>IFERROR(INDEX($R$23:$R$823,ROW()-22),"")</f>
        <v/>
      </c>
      <c r="B440">
        <f>IFERROR(INDEX($S$23:$S$823,ROW()-22),"")</f>
        <v/>
      </c>
      <c r="C440">
        <f>IFERROR(INDEX($W$23:$W$823,ROW()-22),"")</f>
        <v/>
      </c>
      <c r="D440" s="24">
        <f>IFERROR(1/B440,"")</f>
        <v/>
      </c>
      <c r="E440" s="25">
        <f>IFERROR((D440-C440/100)*10000,"")</f>
        <v/>
      </c>
    </row>
    <row r="441">
      <c r="A441" s="23">
        <f>IFERROR(INDEX($R$23:$R$823,ROW()-22),"")</f>
        <v/>
      </c>
      <c r="B441">
        <f>IFERROR(INDEX($S$23:$S$823,ROW()-22),"")</f>
        <v/>
      </c>
      <c r="C441">
        <f>IFERROR(INDEX($W$23:$W$823,ROW()-22),"")</f>
        <v/>
      </c>
      <c r="D441" s="24">
        <f>IFERROR(1/B441,"")</f>
        <v/>
      </c>
      <c r="E441" s="25">
        <f>IFERROR((D441-C441/100)*10000,"")</f>
        <v/>
      </c>
    </row>
    <row r="442">
      <c r="A442" s="23">
        <f>IFERROR(INDEX($R$23:$R$823,ROW()-22),"")</f>
        <v/>
      </c>
      <c r="B442">
        <f>IFERROR(INDEX($S$23:$S$823,ROW()-22),"")</f>
        <v/>
      </c>
      <c r="C442">
        <f>IFERROR(INDEX($W$23:$W$823,ROW()-22),"")</f>
        <v/>
      </c>
      <c r="D442" s="24">
        <f>IFERROR(1/B442,"")</f>
        <v/>
      </c>
      <c r="E442" s="25">
        <f>IFERROR((D442-C442/100)*10000,"")</f>
        <v/>
      </c>
    </row>
    <row r="443">
      <c r="A443" s="23">
        <f>IFERROR(INDEX($R$23:$R$823,ROW()-22),"")</f>
        <v/>
      </c>
      <c r="B443">
        <f>IFERROR(INDEX($S$23:$S$823,ROW()-22),"")</f>
        <v/>
      </c>
      <c r="C443">
        <f>IFERROR(INDEX($W$23:$W$823,ROW()-22),"")</f>
        <v/>
      </c>
      <c r="D443" s="24">
        <f>IFERROR(1/B443,"")</f>
        <v/>
      </c>
      <c r="E443" s="25">
        <f>IFERROR((D443-C443/100)*10000,"")</f>
        <v/>
      </c>
    </row>
    <row r="444">
      <c r="A444" s="23">
        <f>IFERROR(INDEX($R$23:$R$823,ROW()-22),"")</f>
        <v/>
      </c>
      <c r="B444">
        <f>IFERROR(INDEX($S$23:$S$823,ROW()-22),"")</f>
        <v/>
      </c>
      <c r="C444">
        <f>IFERROR(INDEX($W$23:$W$823,ROW()-22),"")</f>
        <v/>
      </c>
      <c r="D444" s="24">
        <f>IFERROR(1/B444,"")</f>
        <v/>
      </c>
      <c r="E444" s="25">
        <f>IFERROR((D444-C444/100)*10000,"")</f>
        <v/>
      </c>
    </row>
    <row r="445">
      <c r="A445" s="23">
        <f>IFERROR(INDEX($R$23:$R$823,ROW()-22),"")</f>
        <v/>
      </c>
      <c r="B445">
        <f>IFERROR(INDEX($S$23:$S$823,ROW()-22),"")</f>
        <v/>
      </c>
      <c r="C445">
        <f>IFERROR(INDEX($W$23:$W$823,ROW()-22),"")</f>
        <v/>
      </c>
      <c r="D445" s="24">
        <f>IFERROR(1/B445,"")</f>
        <v/>
      </c>
      <c r="E445" s="25">
        <f>IFERROR((D445-C445/100)*10000,"")</f>
        <v/>
      </c>
    </row>
    <row r="446">
      <c r="A446" s="23">
        <f>IFERROR(INDEX($R$23:$R$823,ROW()-22),"")</f>
        <v/>
      </c>
      <c r="B446">
        <f>IFERROR(INDEX($S$23:$S$823,ROW()-22),"")</f>
        <v/>
      </c>
      <c r="C446">
        <f>IFERROR(INDEX($W$23:$W$823,ROW()-22),"")</f>
        <v/>
      </c>
      <c r="D446" s="24">
        <f>IFERROR(1/B446,"")</f>
        <v/>
      </c>
      <c r="E446" s="25">
        <f>IFERROR((D446-C446/100)*10000,"")</f>
        <v/>
      </c>
    </row>
    <row r="447">
      <c r="A447" s="23">
        <f>IFERROR(INDEX($R$23:$R$823,ROW()-22),"")</f>
        <v/>
      </c>
      <c r="B447">
        <f>IFERROR(INDEX($S$23:$S$823,ROW()-22),"")</f>
        <v/>
      </c>
      <c r="C447">
        <f>IFERROR(INDEX($W$23:$W$823,ROW()-22),"")</f>
        <v/>
      </c>
      <c r="D447" s="24">
        <f>IFERROR(1/B447,"")</f>
        <v/>
      </c>
      <c r="E447" s="25">
        <f>IFERROR((D447-C447/100)*10000,"")</f>
        <v/>
      </c>
    </row>
    <row r="448">
      <c r="A448" s="23">
        <f>IFERROR(INDEX($R$23:$R$823,ROW()-22),"")</f>
        <v/>
      </c>
      <c r="B448">
        <f>IFERROR(INDEX($S$23:$S$823,ROW()-22),"")</f>
        <v/>
      </c>
      <c r="C448">
        <f>IFERROR(INDEX($W$23:$W$823,ROW()-22),"")</f>
        <v/>
      </c>
      <c r="D448" s="24">
        <f>IFERROR(1/B448,"")</f>
        <v/>
      </c>
      <c r="E448" s="25">
        <f>IFERROR((D448-C448/100)*10000,"")</f>
        <v/>
      </c>
    </row>
    <row r="449">
      <c r="A449" s="23">
        <f>IFERROR(INDEX($R$23:$R$823,ROW()-22),"")</f>
        <v/>
      </c>
      <c r="B449">
        <f>IFERROR(INDEX($S$23:$S$823,ROW()-22),"")</f>
        <v/>
      </c>
      <c r="C449">
        <f>IFERROR(INDEX($W$23:$W$823,ROW()-22),"")</f>
        <v/>
      </c>
      <c r="D449" s="24">
        <f>IFERROR(1/B449,"")</f>
        <v/>
      </c>
      <c r="E449" s="25">
        <f>IFERROR((D449-C449/100)*10000,"")</f>
        <v/>
      </c>
    </row>
    <row r="450">
      <c r="A450" s="23">
        <f>IFERROR(INDEX($R$23:$R$823,ROW()-22),"")</f>
        <v/>
      </c>
      <c r="B450">
        <f>IFERROR(INDEX($S$23:$S$823,ROW()-22),"")</f>
        <v/>
      </c>
      <c r="C450">
        <f>IFERROR(INDEX($W$23:$W$823,ROW()-22),"")</f>
        <v/>
      </c>
      <c r="D450" s="24">
        <f>IFERROR(1/B450,"")</f>
        <v/>
      </c>
      <c r="E450" s="25">
        <f>IFERROR((D450-C450/100)*10000,"")</f>
        <v/>
      </c>
    </row>
    <row r="451">
      <c r="A451" s="23">
        <f>IFERROR(INDEX($R$23:$R$823,ROW()-22),"")</f>
        <v/>
      </c>
      <c r="B451">
        <f>IFERROR(INDEX($S$23:$S$823,ROW()-22),"")</f>
        <v/>
      </c>
      <c r="C451">
        <f>IFERROR(INDEX($W$23:$W$823,ROW()-22),"")</f>
        <v/>
      </c>
      <c r="D451" s="24">
        <f>IFERROR(1/B451,"")</f>
        <v/>
      </c>
      <c r="E451" s="25">
        <f>IFERROR((D451-C451/100)*10000,"")</f>
        <v/>
      </c>
    </row>
    <row r="452">
      <c r="A452" s="23">
        <f>IFERROR(INDEX($R$23:$R$823,ROW()-22),"")</f>
        <v/>
      </c>
      <c r="B452">
        <f>IFERROR(INDEX($S$23:$S$823,ROW()-22),"")</f>
        <v/>
      </c>
      <c r="C452">
        <f>IFERROR(INDEX($W$23:$W$823,ROW()-22),"")</f>
        <v/>
      </c>
      <c r="D452" s="24">
        <f>IFERROR(1/B452,"")</f>
        <v/>
      </c>
      <c r="E452" s="25">
        <f>IFERROR((D452-C452/100)*10000,"")</f>
        <v/>
      </c>
    </row>
    <row r="453">
      <c r="A453" s="23">
        <f>IFERROR(INDEX($R$23:$R$823,ROW()-22),"")</f>
        <v/>
      </c>
      <c r="B453">
        <f>IFERROR(INDEX($S$23:$S$823,ROW()-22),"")</f>
        <v/>
      </c>
      <c r="C453">
        <f>IFERROR(INDEX($W$23:$W$823,ROW()-22),"")</f>
        <v/>
      </c>
      <c r="D453" s="24">
        <f>IFERROR(1/B453,"")</f>
        <v/>
      </c>
      <c r="E453" s="25">
        <f>IFERROR((D453-C453/100)*10000,"")</f>
        <v/>
      </c>
    </row>
    <row r="454">
      <c r="A454" s="23">
        <f>IFERROR(INDEX($R$23:$R$823,ROW()-22),"")</f>
        <v/>
      </c>
      <c r="B454">
        <f>IFERROR(INDEX($S$23:$S$823,ROW()-22),"")</f>
        <v/>
      </c>
      <c r="C454">
        <f>IFERROR(INDEX($W$23:$W$823,ROW()-22),"")</f>
        <v/>
      </c>
      <c r="D454" s="24">
        <f>IFERROR(1/B454,"")</f>
        <v/>
      </c>
      <c r="E454" s="25">
        <f>IFERROR((D454-C454/100)*10000,"")</f>
        <v/>
      </c>
    </row>
    <row r="455">
      <c r="A455" s="23">
        <f>IFERROR(INDEX($R$23:$R$823,ROW()-22),"")</f>
        <v/>
      </c>
      <c r="B455">
        <f>IFERROR(INDEX($S$23:$S$823,ROW()-22),"")</f>
        <v/>
      </c>
      <c r="C455">
        <f>IFERROR(INDEX($W$23:$W$823,ROW()-22),"")</f>
        <v/>
      </c>
      <c r="D455" s="24">
        <f>IFERROR(1/B455,"")</f>
        <v/>
      </c>
      <c r="E455" s="25">
        <f>IFERROR((D455-C455/100)*10000,"")</f>
        <v/>
      </c>
    </row>
    <row r="456">
      <c r="A456" s="23">
        <f>IFERROR(INDEX($R$23:$R$823,ROW()-22),"")</f>
        <v/>
      </c>
      <c r="B456">
        <f>IFERROR(INDEX($S$23:$S$823,ROW()-22),"")</f>
        <v/>
      </c>
      <c r="C456">
        <f>IFERROR(INDEX($W$23:$W$823,ROW()-22),"")</f>
        <v/>
      </c>
      <c r="D456" s="24">
        <f>IFERROR(1/B456,"")</f>
        <v/>
      </c>
      <c r="E456" s="25">
        <f>IFERROR((D456-C456/100)*10000,"")</f>
        <v/>
      </c>
    </row>
    <row r="457">
      <c r="A457" s="23">
        <f>IFERROR(INDEX($R$23:$R$823,ROW()-22),"")</f>
        <v/>
      </c>
      <c r="B457">
        <f>IFERROR(INDEX($S$23:$S$823,ROW()-22),"")</f>
        <v/>
      </c>
      <c r="C457">
        <f>IFERROR(INDEX($W$23:$W$823,ROW()-22),"")</f>
        <v/>
      </c>
      <c r="D457" s="24">
        <f>IFERROR(1/B457,"")</f>
        <v/>
      </c>
      <c r="E457" s="25">
        <f>IFERROR((D457-C457/100)*10000,"")</f>
        <v/>
      </c>
    </row>
    <row r="458">
      <c r="A458" s="23">
        <f>IFERROR(INDEX($R$23:$R$823,ROW()-22),"")</f>
        <v/>
      </c>
      <c r="B458">
        <f>IFERROR(INDEX($S$23:$S$823,ROW()-22),"")</f>
        <v/>
      </c>
      <c r="C458">
        <f>IFERROR(INDEX($W$23:$W$823,ROW()-22),"")</f>
        <v/>
      </c>
      <c r="D458" s="24">
        <f>IFERROR(1/B458,"")</f>
        <v/>
      </c>
      <c r="E458" s="25">
        <f>IFERROR((D458-C458/100)*10000,"")</f>
        <v/>
      </c>
    </row>
    <row r="459">
      <c r="A459" s="23">
        <f>IFERROR(INDEX($R$23:$R$823,ROW()-22),"")</f>
        <v/>
      </c>
      <c r="B459">
        <f>IFERROR(INDEX($S$23:$S$823,ROW()-22),"")</f>
        <v/>
      </c>
      <c r="C459">
        <f>IFERROR(INDEX($W$23:$W$823,ROW()-22),"")</f>
        <v/>
      </c>
      <c r="D459" s="24">
        <f>IFERROR(1/B459,"")</f>
        <v/>
      </c>
      <c r="E459" s="25">
        <f>IFERROR((D459-C459/100)*10000,"")</f>
        <v/>
      </c>
    </row>
    <row r="460">
      <c r="A460" s="23">
        <f>IFERROR(INDEX($R$23:$R$823,ROW()-22),"")</f>
        <v/>
      </c>
      <c r="B460">
        <f>IFERROR(INDEX($S$23:$S$823,ROW()-22),"")</f>
        <v/>
      </c>
      <c r="C460">
        <f>IFERROR(INDEX($W$23:$W$823,ROW()-22),"")</f>
        <v/>
      </c>
      <c r="D460" s="24">
        <f>IFERROR(1/B460,"")</f>
        <v/>
      </c>
      <c r="E460" s="25">
        <f>IFERROR((D460-C460/100)*10000,"")</f>
        <v/>
      </c>
    </row>
    <row r="461">
      <c r="A461" s="23">
        <f>IFERROR(INDEX($R$23:$R$823,ROW()-22),"")</f>
        <v/>
      </c>
      <c r="B461">
        <f>IFERROR(INDEX($S$23:$S$823,ROW()-22),"")</f>
        <v/>
      </c>
      <c r="C461">
        <f>IFERROR(INDEX($W$23:$W$823,ROW()-22),"")</f>
        <v/>
      </c>
      <c r="D461" s="24">
        <f>IFERROR(1/B461,"")</f>
        <v/>
      </c>
      <c r="E461" s="25">
        <f>IFERROR((D461-C461/100)*10000,"")</f>
        <v/>
      </c>
    </row>
    <row r="462">
      <c r="A462" s="23">
        <f>IFERROR(INDEX($R$23:$R$823,ROW()-22),"")</f>
        <v/>
      </c>
      <c r="B462">
        <f>IFERROR(INDEX($S$23:$S$823,ROW()-22),"")</f>
        <v/>
      </c>
      <c r="C462">
        <f>IFERROR(INDEX($W$23:$W$823,ROW()-22),"")</f>
        <v/>
      </c>
      <c r="D462" s="24">
        <f>IFERROR(1/B462,"")</f>
        <v/>
      </c>
      <c r="E462" s="25">
        <f>IFERROR((D462-C462/100)*10000,"")</f>
        <v/>
      </c>
    </row>
    <row r="463">
      <c r="A463" s="23">
        <f>IFERROR(INDEX($R$23:$R$823,ROW()-22),"")</f>
        <v/>
      </c>
      <c r="B463">
        <f>IFERROR(INDEX($S$23:$S$823,ROW()-22),"")</f>
        <v/>
      </c>
      <c r="C463">
        <f>IFERROR(INDEX($W$23:$W$823,ROW()-22),"")</f>
        <v/>
      </c>
      <c r="D463" s="24">
        <f>IFERROR(1/B463,"")</f>
        <v/>
      </c>
      <c r="E463" s="25">
        <f>IFERROR((D463-C463/100)*10000,"")</f>
        <v/>
      </c>
    </row>
    <row r="464">
      <c r="A464" s="23">
        <f>IFERROR(INDEX($R$23:$R$823,ROW()-22),"")</f>
        <v/>
      </c>
      <c r="B464">
        <f>IFERROR(INDEX($S$23:$S$823,ROW()-22),"")</f>
        <v/>
      </c>
      <c r="C464">
        <f>IFERROR(INDEX($W$23:$W$823,ROW()-22),"")</f>
        <v/>
      </c>
      <c r="D464" s="24">
        <f>IFERROR(1/B464,"")</f>
        <v/>
      </c>
      <c r="E464" s="25">
        <f>IFERROR((D464-C464/100)*10000,"")</f>
        <v/>
      </c>
    </row>
    <row r="465">
      <c r="A465" s="23">
        <f>IFERROR(INDEX($R$23:$R$823,ROW()-22),"")</f>
        <v/>
      </c>
      <c r="B465">
        <f>IFERROR(INDEX($S$23:$S$823,ROW()-22),"")</f>
        <v/>
      </c>
      <c r="C465">
        <f>IFERROR(INDEX($W$23:$W$823,ROW()-22),"")</f>
        <v/>
      </c>
      <c r="D465" s="24">
        <f>IFERROR(1/B465,"")</f>
        <v/>
      </c>
      <c r="E465" s="25">
        <f>IFERROR((D465-C465/100)*10000,"")</f>
        <v/>
      </c>
    </row>
    <row r="466">
      <c r="A466" s="23">
        <f>IFERROR(INDEX($R$23:$R$823,ROW()-22),"")</f>
        <v/>
      </c>
      <c r="B466">
        <f>IFERROR(INDEX($S$23:$S$823,ROW()-22),"")</f>
        <v/>
      </c>
      <c r="C466">
        <f>IFERROR(INDEX($W$23:$W$823,ROW()-22),"")</f>
        <v/>
      </c>
      <c r="D466" s="24">
        <f>IFERROR(1/B466,"")</f>
        <v/>
      </c>
      <c r="E466" s="25">
        <f>IFERROR((D466-C466/100)*10000,"")</f>
        <v/>
      </c>
    </row>
    <row r="467">
      <c r="A467" s="23">
        <f>IFERROR(INDEX($R$23:$R$823,ROW()-22),"")</f>
        <v/>
      </c>
      <c r="B467">
        <f>IFERROR(INDEX($S$23:$S$823,ROW()-22),"")</f>
        <v/>
      </c>
      <c r="C467">
        <f>IFERROR(INDEX($W$23:$W$823,ROW()-22),"")</f>
        <v/>
      </c>
      <c r="D467" s="24">
        <f>IFERROR(1/B467,"")</f>
        <v/>
      </c>
      <c r="E467" s="25">
        <f>IFERROR((D467-C467/100)*10000,"")</f>
        <v/>
      </c>
    </row>
    <row r="468">
      <c r="A468" s="23">
        <f>IFERROR(INDEX($R$23:$R$823,ROW()-22),"")</f>
        <v/>
      </c>
      <c r="B468">
        <f>IFERROR(INDEX($S$23:$S$823,ROW()-22),"")</f>
        <v/>
      </c>
      <c r="C468">
        <f>IFERROR(INDEX($W$23:$W$823,ROW()-22),"")</f>
        <v/>
      </c>
      <c r="D468" s="24">
        <f>IFERROR(1/B468,"")</f>
        <v/>
      </c>
      <c r="E468" s="25">
        <f>IFERROR((D468-C468/100)*10000,"")</f>
        <v/>
      </c>
    </row>
    <row r="469">
      <c r="A469" s="23">
        <f>IFERROR(INDEX($R$23:$R$823,ROW()-22),"")</f>
        <v/>
      </c>
      <c r="B469">
        <f>IFERROR(INDEX($S$23:$S$823,ROW()-22),"")</f>
        <v/>
      </c>
      <c r="C469">
        <f>IFERROR(INDEX($W$23:$W$823,ROW()-22),"")</f>
        <v/>
      </c>
      <c r="D469" s="24">
        <f>IFERROR(1/B469,"")</f>
        <v/>
      </c>
      <c r="E469" s="25">
        <f>IFERROR((D469-C469/100)*10000,"")</f>
        <v/>
      </c>
    </row>
    <row r="470">
      <c r="A470" s="23">
        <f>IFERROR(INDEX($R$23:$R$823,ROW()-22),"")</f>
        <v/>
      </c>
      <c r="B470">
        <f>IFERROR(INDEX($S$23:$S$823,ROW()-22),"")</f>
        <v/>
      </c>
      <c r="C470">
        <f>IFERROR(INDEX($W$23:$W$823,ROW()-22),"")</f>
        <v/>
      </c>
      <c r="D470" s="24">
        <f>IFERROR(1/B470,"")</f>
        <v/>
      </c>
      <c r="E470" s="25">
        <f>IFERROR((D470-C470/100)*10000,"")</f>
        <v/>
      </c>
    </row>
    <row r="471">
      <c r="A471" s="23">
        <f>IFERROR(INDEX($R$23:$R$823,ROW()-22),"")</f>
        <v/>
      </c>
      <c r="B471">
        <f>IFERROR(INDEX($S$23:$S$823,ROW()-22),"")</f>
        <v/>
      </c>
      <c r="C471">
        <f>IFERROR(INDEX($W$23:$W$823,ROW()-22),"")</f>
        <v/>
      </c>
      <c r="D471" s="24">
        <f>IFERROR(1/B471,"")</f>
        <v/>
      </c>
      <c r="E471" s="25">
        <f>IFERROR((D471-C471/100)*10000,"")</f>
        <v/>
      </c>
    </row>
    <row r="472">
      <c r="A472" s="23">
        <f>IFERROR(INDEX($R$23:$R$823,ROW()-22),"")</f>
        <v/>
      </c>
      <c r="B472">
        <f>IFERROR(INDEX($S$23:$S$823,ROW()-22),"")</f>
        <v/>
      </c>
      <c r="C472">
        <f>IFERROR(INDEX($W$23:$W$823,ROW()-22),"")</f>
        <v/>
      </c>
      <c r="D472" s="24">
        <f>IFERROR(1/B472,"")</f>
        <v/>
      </c>
      <c r="E472" s="25">
        <f>IFERROR((D472-C472/100)*10000,"")</f>
        <v/>
      </c>
    </row>
    <row r="473">
      <c r="A473" s="23">
        <f>IFERROR(INDEX($R$23:$R$823,ROW()-22),"")</f>
        <v/>
      </c>
      <c r="B473">
        <f>IFERROR(INDEX($S$23:$S$823,ROW()-22),"")</f>
        <v/>
      </c>
      <c r="C473">
        <f>IFERROR(INDEX($W$23:$W$823,ROW()-22),"")</f>
        <v/>
      </c>
      <c r="D473" s="24">
        <f>IFERROR(1/B473,"")</f>
        <v/>
      </c>
      <c r="E473" s="25">
        <f>IFERROR((D473-C473/100)*10000,"")</f>
        <v/>
      </c>
    </row>
    <row r="474">
      <c r="A474" s="23">
        <f>IFERROR(INDEX($R$23:$R$823,ROW()-22),"")</f>
        <v/>
      </c>
      <c r="B474">
        <f>IFERROR(INDEX($S$23:$S$823,ROW()-22),"")</f>
        <v/>
      </c>
      <c r="C474">
        <f>IFERROR(INDEX($W$23:$W$823,ROW()-22),"")</f>
        <v/>
      </c>
      <c r="D474" s="24">
        <f>IFERROR(1/B474,"")</f>
        <v/>
      </c>
      <c r="E474" s="25">
        <f>IFERROR((D474-C474/100)*10000,"")</f>
        <v/>
      </c>
    </row>
    <row r="475">
      <c r="A475" s="23">
        <f>IFERROR(INDEX($R$23:$R$823,ROW()-22),"")</f>
        <v/>
      </c>
      <c r="B475">
        <f>IFERROR(INDEX($S$23:$S$823,ROW()-22),"")</f>
        <v/>
      </c>
      <c r="C475">
        <f>IFERROR(INDEX($W$23:$W$823,ROW()-22),"")</f>
        <v/>
      </c>
      <c r="D475" s="24">
        <f>IFERROR(1/B475,"")</f>
        <v/>
      </c>
      <c r="E475" s="25">
        <f>IFERROR((D475-C475/100)*10000,"")</f>
        <v/>
      </c>
    </row>
    <row r="476">
      <c r="A476" s="23">
        <f>IFERROR(INDEX($R$23:$R$823,ROW()-22),"")</f>
        <v/>
      </c>
      <c r="B476">
        <f>IFERROR(INDEX($S$23:$S$823,ROW()-22),"")</f>
        <v/>
      </c>
      <c r="C476">
        <f>IFERROR(INDEX($W$23:$W$823,ROW()-22),"")</f>
        <v/>
      </c>
      <c r="D476" s="24">
        <f>IFERROR(1/B476,"")</f>
        <v/>
      </c>
      <c r="E476" s="25">
        <f>IFERROR((D476-C476/100)*10000,"")</f>
        <v/>
      </c>
    </row>
    <row r="477">
      <c r="A477" s="23">
        <f>IFERROR(INDEX($R$23:$R$823,ROW()-22),"")</f>
        <v/>
      </c>
      <c r="B477">
        <f>IFERROR(INDEX($S$23:$S$823,ROW()-22),"")</f>
        <v/>
      </c>
      <c r="C477">
        <f>IFERROR(INDEX($W$23:$W$823,ROW()-22),"")</f>
        <v/>
      </c>
      <c r="D477" s="24">
        <f>IFERROR(1/B477,"")</f>
        <v/>
      </c>
      <c r="E477" s="25">
        <f>IFERROR((D477-C477/100)*10000,"")</f>
        <v/>
      </c>
    </row>
    <row r="478">
      <c r="A478" s="23">
        <f>IFERROR(INDEX($R$23:$R$823,ROW()-22),"")</f>
        <v/>
      </c>
      <c r="B478">
        <f>IFERROR(INDEX($S$23:$S$823,ROW()-22),"")</f>
        <v/>
      </c>
      <c r="C478">
        <f>IFERROR(INDEX($W$23:$W$823,ROW()-22),"")</f>
        <v/>
      </c>
      <c r="D478" s="24">
        <f>IFERROR(1/B478,"")</f>
        <v/>
      </c>
      <c r="E478" s="25">
        <f>IFERROR((D478-C478/100)*10000,"")</f>
        <v/>
      </c>
    </row>
    <row r="479">
      <c r="A479" s="23">
        <f>IFERROR(INDEX($R$23:$R$823,ROW()-22),"")</f>
        <v/>
      </c>
      <c r="B479">
        <f>IFERROR(INDEX($S$23:$S$823,ROW()-22),"")</f>
        <v/>
      </c>
      <c r="C479">
        <f>IFERROR(INDEX($W$23:$W$823,ROW()-22),"")</f>
        <v/>
      </c>
      <c r="D479" s="24">
        <f>IFERROR(1/B479,"")</f>
        <v/>
      </c>
      <c r="E479" s="25">
        <f>IFERROR((D479-C479/100)*10000,"")</f>
        <v/>
      </c>
    </row>
    <row r="480">
      <c r="A480" s="23">
        <f>IFERROR(INDEX($R$23:$R$823,ROW()-22),"")</f>
        <v/>
      </c>
      <c r="B480">
        <f>IFERROR(INDEX($S$23:$S$823,ROW()-22),"")</f>
        <v/>
      </c>
      <c r="C480">
        <f>IFERROR(INDEX($W$23:$W$823,ROW()-22),"")</f>
        <v/>
      </c>
      <c r="D480" s="24">
        <f>IFERROR(1/B480,"")</f>
        <v/>
      </c>
      <c r="E480" s="25">
        <f>IFERROR((D480-C480/100)*10000,"")</f>
        <v/>
      </c>
    </row>
    <row r="481">
      <c r="A481" s="23">
        <f>IFERROR(INDEX($R$23:$R$823,ROW()-22),"")</f>
        <v/>
      </c>
      <c r="B481">
        <f>IFERROR(INDEX($S$23:$S$823,ROW()-22),"")</f>
        <v/>
      </c>
      <c r="C481">
        <f>IFERROR(INDEX($W$23:$W$823,ROW()-22),"")</f>
        <v/>
      </c>
      <c r="D481" s="24">
        <f>IFERROR(1/B481,"")</f>
        <v/>
      </c>
      <c r="E481" s="25">
        <f>IFERROR((D481-C481/100)*10000,"")</f>
        <v/>
      </c>
    </row>
    <row r="482">
      <c r="A482" s="23">
        <f>IFERROR(INDEX($R$23:$R$823,ROW()-22),"")</f>
        <v/>
      </c>
      <c r="B482">
        <f>IFERROR(INDEX($S$23:$S$823,ROW()-22),"")</f>
        <v/>
      </c>
      <c r="C482">
        <f>IFERROR(INDEX($W$23:$W$823,ROW()-22),"")</f>
        <v/>
      </c>
      <c r="D482" s="24">
        <f>IFERROR(1/B482,"")</f>
        <v/>
      </c>
      <c r="E482" s="25">
        <f>IFERROR((D482-C482/100)*10000,"")</f>
        <v/>
      </c>
    </row>
    <row r="483">
      <c r="A483" s="23">
        <f>IFERROR(INDEX($R$23:$R$823,ROW()-22),"")</f>
        <v/>
      </c>
      <c r="B483">
        <f>IFERROR(INDEX($S$23:$S$823,ROW()-22),"")</f>
        <v/>
      </c>
      <c r="C483">
        <f>IFERROR(INDEX($W$23:$W$823,ROW()-22),"")</f>
        <v/>
      </c>
      <c r="D483" s="24">
        <f>IFERROR(1/B483,"")</f>
        <v/>
      </c>
      <c r="E483" s="25">
        <f>IFERROR((D483-C483/100)*10000,"")</f>
        <v/>
      </c>
    </row>
    <row r="484">
      <c r="A484" s="23">
        <f>IFERROR(INDEX($R$23:$R$823,ROW()-22),"")</f>
        <v/>
      </c>
      <c r="B484">
        <f>IFERROR(INDEX($S$23:$S$823,ROW()-22),"")</f>
        <v/>
      </c>
      <c r="C484">
        <f>IFERROR(INDEX($W$23:$W$823,ROW()-22),"")</f>
        <v/>
      </c>
      <c r="D484" s="24">
        <f>IFERROR(1/B484,"")</f>
        <v/>
      </c>
      <c r="E484" s="25">
        <f>IFERROR((D484-C484/100)*10000,"")</f>
        <v/>
      </c>
    </row>
    <row r="485">
      <c r="A485" s="23">
        <f>IFERROR(INDEX($R$23:$R$823,ROW()-22),"")</f>
        <v/>
      </c>
      <c r="B485">
        <f>IFERROR(INDEX($S$23:$S$823,ROW()-22),"")</f>
        <v/>
      </c>
      <c r="C485">
        <f>IFERROR(INDEX($W$23:$W$823,ROW()-22),"")</f>
        <v/>
      </c>
      <c r="D485" s="24">
        <f>IFERROR(1/B485,"")</f>
        <v/>
      </c>
      <c r="E485" s="25">
        <f>IFERROR((D485-C485/100)*10000,"")</f>
        <v/>
      </c>
    </row>
    <row r="486">
      <c r="A486" s="23">
        <f>IFERROR(INDEX($R$23:$R$823,ROW()-22),"")</f>
        <v/>
      </c>
      <c r="B486">
        <f>IFERROR(INDEX($S$23:$S$823,ROW()-22),"")</f>
        <v/>
      </c>
      <c r="C486">
        <f>IFERROR(INDEX($W$23:$W$823,ROW()-22),"")</f>
        <v/>
      </c>
      <c r="D486" s="24">
        <f>IFERROR(1/B486,"")</f>
        <v/>
      </c>
      <c r="E486" s="25">
        <f>IFERROR((D486-C486/100)*10000,"")</f>
        <v/>
      </c>
    </row>
    <row r="487">
      <c r="A487" s="23">
        <f>IFERROR(INDEX($R$23:$R$823,ROW()-22),"")</f>
        <v/>
      </c>
      <c r="B487">
        <f>IFERROR(INDEX($S$23:$S$823,ROW()-22),"")</f>
        <v/>
      </c>
      <c r="C487">
        <f>IFERROR(INDEX($W$23:$W$823,ROW()-22),"")</f>
        <v/>
      </c>
      <c r="D487" s="24">
        <f>IFERROR(1/B487,"")</f>
        <v/>
      </c>
      <c r="E487" s="25">
        <f>IFERROR((D487-C487/100)*10000,"")</f>
        <v/>
      </c>
    </row>
    <row r="488">
      <c r="A488" s="23">
        <f>IFERROR(INDEX($R$23:$R$823,ROW()-22),"")</f>
        <v/>
      </c>
      <c r="B488">
        <f>IFERROR(INDEX($S$23:$S$823,ROW()-22),"")</f>
        <v/>
      </c>
      <c r="C488">
        <f>IFERROR(INDEX($W$23:$W$823,ROW()-22),"")</f>
        <v/>
      </c>
      <c r="D488" s="24">
        <f>IFERROR(1/B488,"")</f>
        <v/>
      </c>
      <c r="E488" s="25">
        <f>IFERROR((D488-C488/100)*10000,"")</f>
        <v/>
      </c>
    </row>
    <row r="489">
      <c r="A489" s="23">
        <f>IFERROR(INDEX($R$23:$R$823,ROW()-22),"")</f>
        <v/>
      </c>
      <c r="B489">
        <f>IFERROR(INDEX($S$23:$S$823,ROW()-22),"")</f>
        <v/>
      </c>
      <c r="C489">
        <f>IFERROR(INDEX($W$23:$W$823,ROW()-22),"")</f>
        <v/>
      </c>
      <c r="D489" s="24">
        <f>IFERROR(1/B489,"")</f>
        <v/>
      </c>
      <c r="E489" s="25">
        <f>IFERROR((D489-C489/100)*10000,"")</f>
        <v/>
      </c>
    </row>
    <row r="490">
      <c r="A490" s="23">
        <f>IFERROR(INDEX($R$23:$R$823,ROW()-22),"")</f>
        <v/>
      </c>
      <c r="B490">
        <f>IFERROR(INDEX($S$23:$S$823,ROW()-22),"")</f>
        <v/>
      </c>
      <c r="C490">
        <f>IFERROR(INDEX($W$23:$W$823,ROW()-22),"")</f>
        <v/>
      </c>
      <c r="D490" s="24">
        <f>IFERROR(1/B490,"")</f>
        <v/>
      </c>
      <c r="E490" s="25">
        <f>IFERROR((D490-C490/100)*10000,"")</f>
        <v/>
      </c>
    </row>
    <row r="491">
      <c r="A491" s="23">
        <f>IFERROR(INDEX($R$23:$R$823,ROW()-22),"")</f>
        <v/>
      </c>
      <c r="B491">
        <f>IFERROR(INDEX($S$23:$S$823,ROW()-22),"")</f>
        <v/>
      </c>
      <c r="C491">
        <f>IFERROR(INDEX($W$23:$W$823,ROW()-22),"")</f>
        <v/>
      </c>
      <c r="D491" s="24">
        <f>IFERROR(1/B491,"")</f>
        <v/>
      </c>
      <c r="E491" s="25">
        <f>IFERROR((D491-C491/100)*10000,"")</f>
        <v/>
      </c>
    </row>
    <row r="492">
      <c r="A492" s="23">
        <f>IFERROR(INDEX($R$23:$R$823,ROW()-22),"")</f>
        <v/>
      </c>
      <c r="B492">
        <f>IFERROR(INDEX($S$23:$S$823,ROW()-22),"")</f>
        <v/>
      </c>
      <c r="C492">
        <f>IFERROR(INDEX($W$23:$W$823,ROW()-22),"")</f>
        <v/>
      </c>
      <c r="D492" s="24">
        <f>IFERROR(1/B492,"")</f>
        <v/>
      </c>
      <c r="E492" s="25">
        <f>IFERROR((D492-C492/100)*10000,"")</f>
        <v/>
      </c>
    </row>
    <row r="493">
      <c r="A493" s="23">
        <f>IFERROR(INDEX($R$23:$R$823,ROW()-22),"")</f>
        <v/>
      </c>
      <c r="B493">
        <f>IFERROR(INDEX($S$23:$S$823,ROW()-22),"")</f>
        <v/>
      </c>
      <c r="C493">
        <f>IFERROR(INDEX($W$23:$W$823,ROW()-22),"")</f>
        <v/>
      </c>
      <c r="D493" s="24">
        <f>IFERROR(1/B493,"")</f>
        <v/>
      </c>
      <c r="E493" s="25">
        <f>IFERROR((D493-C493/100)*10000,"")</f>
        <v/>
      </c>
    </row>
    <row r="494">
      <c r="A494" s="23">
        <f>IFERROR(INDEX($R$23:$R$823,ROW()-22),"")</f>
        <v/>
      </c>
      <c r="B494">
        <f>IFERROR(INDEX($S$23:$S$823,ROW()-22),"")</f>
        <v/>
      </c>
      <c r="C494">
        <f>IFERROR(INDEX($W$23:$W$823,ROW()-22),"")</f>
        <v/>
      </c>
      <c r="D494" s="24">
        <f>IFERROR(1/B494,"")</f>
        <v/>
      </c>
      <c r="E494" s="25">
        <f>IFERROR((D494-C494/100)*10000,"")</f>
        <v/>
      </c>
    </row>
    <row r="495">
      <c r="A495" s="23">
        <f>IFERROR(INDEX($R$23:$R$823,ROW()-22),"")</f>
        <v/>
      </c>
      <c r="B495">
        <f>IFERROR(INDEX($S$23:$S$823,ROW()-22),"")</f>
        <v/>
      </c>
      <c r="C495">
        <f>IFERROR(INDEX($W$23:$W$823,ROW()-22),"")</f>
        <v/>
      </c>
      <c r="D495" s="24">
        <f>IFERROR(1/B495,"")</f>
        <v/>
      </c>
      <c r="E495" s="25">
        <f>IFERROR((D495-C495/100)*10000,"")</f>
        <v/>
      </c>
    </row>
    <row r="496">
      <c r="A496" s="23">
        <f>IFERROR(INDEX($R$23:$R$823,ROW()-22),"")</f>
        <v/>
      </c>
      <c r="B496">
        <f>IFERROR(INDEX($S$23:$S$823,ROW()-22),"")</f>
        <v/>
      </c>
      <c r="C496">
        <f>IFERROR(INDEX($W$23:$W$823,ROW()-22),"")</f>
        <v/>
      </c>
      <c r="D496" s="24">
        <f>IFERROR(1/B496,"")</f>
        <v/>
      </c>
      <c r="E496" s="25">
        <f>IFERROR((D496-C496/100)*10000,"")</f>
        <v/>
      </c>
    </row>
    <row r="497">
      <c r="A497" s="23">
        <f>IFERROR(INDEX($R$23:$R$823,ROW()-22),"")</f>
        <v/>
      </c>
      <c r="B497">
        <f>IFERROR(INDEX($S$23:$S$823,ROW()-22),"")</f>
        <v/>
      </c>
      <c r="C497">
        <f>IFERROR(INDEX($W$23:$W$823,ROW()-22),"")</f>
        <v/>
      </c>
      <c r="D497" s="24">
        <f>IFERROR(1/B497,"")</f>
        <v/>
      </c>
      <c r="E497" s="25">
        <f>IFERROR((D497-C497/100)*10000,"")</f>
        <v/>
      </c>
    </row>
    <row r="498">
      <c r="A498" s="23">
        <f>IFERROR(INDEX($R$23:$R$823,ROW()-22),"")</f>
        <v/>
      </c>
      <c r="B498">
        <f>IFERROR(INDEX($S$23:$S$823,ROW()-22),"")</f>
        <v/>
      </c>
      <c r="C498">
        <f>IFERROR(INDEX($W$23:$W$823,ROW()-22),"")</f>
        <v/>
      </c>
      <c r="D498" s="24">
        <f>IFERROR(1/B498,"")</f>
        <v/>
      </c>
      <c r="E498" s="25">
        <f>IFERROR((D498-C498/100)*10000,"")</f>
        <v/>
      </c>
    </row>
    <row r="499">
      <c r="A499" s="23">
        <f>IFERROR(INDEX($R$23:$R$823,ROW()-22),"")</f>
        <v/>
      </c>
      <c r="B499">
        <f>IFERROR(INDEX($S$23:$S$823,ROW()-22),"")</f>
        <v/>
      </c>
      <c r="C499">
        <f>IFERROR(INDEX($W$23:$W$823,ROW()-22),"")</f>
        <v/>
      </c>
      <c r="D499" s="24">
        <f>IFERROR(1/B499,"")</f>
        <v/>
      </c>
      <c r="E499" s="25">
        <f>IFERROR((D499-C499/100)*10000,"")</f>
        <v/>
      </c>
    </row>
    <row r="500">
      <c r="A500" s="23">
        <f>IFERROR(INDEX($R$23:$R$823,ROW()-22),"")</f>
        <v/>
      </c>
      <c r="B500">
        <f>IFERROR(INDEX($S$23:$S$823,ROW()-22),"")</f>
        <v/>
      </c>
      <c r="C500">
        <f>IFERROR(INDEX($W$23:$W$823,ROW()-22),"")</f>
        <v/>
      </c>
      <c r="D500" s="24">
        <f>IFERROR(1/B500,"")</f>
        <v/>
      </c>
      <c r="E500" s="25">
        <f>IFERROR((D500-C500/100)*10000,"")</f>
        <v/>
      </c>
    </row>
    <row r="501">
      <c r="A501" s="23">
        <f>IFERROR(INDEX($R$23:$R$823,ROW()-22),"")</f>
        <v/>
      </c>
      <c r="B501">
        <f>IFERROR(INDEX($S$23:$S$823,ROW()-22),"")</f>
        <v/>
      </c>
      <c r="C501">
        <f>IFERROR(INDEX($W$23:$W$823,ROW()-22),"")</f>
        <v/>
      </c>
      <c r="D501" s="24">
        <f>IFERROR(1/B501,"")</f>
        <v/>
      </c>
      <c r="E501" s="25">
        <f>IFERROR((D501-C501/100)*10000,"")</f>
        <v/>
      </c>
    </row>
    <row r="502">
      <c r="A502" s="23">
        <f>IFERROR(INDEX($R$23:$R$823,ROW()-22),"")</f>
        <v/>
      </c>
      <c r="B502">
        <f>IFERROR(INDEX($S$23:$S$823,ROW()-22),"")</f>
        <v/>
      </c>
      <c r="C502">
        <f>IFERROR(INDEX($W$23:$W$823,ROW()-22),"")</f>
        <v/>
      </c>
      <c r="D502" s="24">
        <f>IFERROR(1/B502,"")</f>
        <v/>
      </c>
      <c r="E502" s="25">
        <f>IFERROR((D502-C502/100)*10000,"")</f>
        <v/>
      </c>
    </row>
    <row r="503">
      <c r="A503" s="23">
        <f>IFERROR(INDEX($R$23:$R$823,ROW()-22),"")</f>
        <v/>
      </c>
      <c r="B503">
        <f>IFERROR(INDEX($S$23:$S$823,ROW()-22),"")</f>
        <v/>
      </c>
      <c r="C503">
        <f>IFERROR(INDEX($W$23:$W$823,ROW()-22),"")</f>
        <v/>
      </c>
      <c r="D503" s="24">
        <f>IFERROR(1/B503,"")</f>
        <v/>
      </c>
      <c r="E503" s="25">
        <f>IFERROR((D503-C503/100)*10000,"")</f>
        <v/>
      </c>
    </row>
    <row r="504">
      <c r="A504" s="23">
        <f>IFERROR(INDEX($R$23:$R$823,ROW()-22),"")</f>
        <v/>
      </c>
      <c r="B504">
        <f>IFERROR(INDEX($S$23:$S$823,ROW()-22),"")</f>
        <v/>
      </c>
      <c r="C504">
        <f>IFERROR(INDEX($W$23:$W$823,ROW()-22),"")</f>
        <v/>
      </c>
      <c r="D504" s="24">
        <f>IFERROR(1/B504,"")</f>
        <v/>
      </c>
      <c r="E504" s="25">
        <f>IFERROR((D504-C504/100)*10000,"")</f>
        <v/>
      </c>
    </row>
    <row r="505">
      <c r="A505" s="23">
        <f>IFERROR(INDEX($R$23:$R$823,ROW()-22),"")</f>
        <v/>
      </c>
      <c r="B505">
        <f>IFERROR(INDEX($S$23:$S$823,ROW()-22),"")</f>
        <v/>
      </c>
      <c r="C505">
        <f>IFERROR(INDEX($W$23:$W$823,ROW()-22),"")</f>
        <v/>
      </c>
      <c r="D505" s="24">
        <f>IFERROR(1/B505,"")</f>
        <v/>
      </c>
      <c r="E505" s="25">
        <f>IFERROR((D505-C505/100)*10000,"")</f>
        <v/>
      </c>
    </row>
    <row r="506">
      <c r="A506" s="23">
        <f>IFERROR(INDEX($R$23:$R$823,ROW()-22),"")</f>
        <v/>
      </c>
      <c r="B506">
        <f>IFERROR(INDEX($S$23:$S$823,ROW()-22),"")</f>
        <v/>
      </c>
      <c r="C506">
        <f>IFERROR(INDEX($W$23:$W$823,ROW()-22),"")</f>
        <v/>
      </c>
      <c r="D506" s="24">
        <f>IFERROR(1/B506,"")</f>
        <v/>
      </c>
      <c r="E506" s="25">
        <f>IFERROR((D506-C506/100)*10000,"")</f>
        <v/>
      </c>
    </row>
    <row r="507">
      <c r="A507" s="23">
        <f>IFERROR(INDEX($R$23:$R$823,ROW()-22),"")</f>
        <v/>
      </c>
      <c r="B507">
        <f>IFERROR(INDEX($S$23:$S$823,ROW()-22),"")</f>
        <v/>
      </c>
      <c r="C507">
        <f>IFERROR(INDEX($W$23:$W$823,ROW()-22),"")</f>
        <v/>
      </c>
      <c r="D507" s="24">
        <f>IFERROR(1/B507,"")</f>
        <v/>
      </c>
      <c r="E507" s="25">
        <f>IFERROR((D507-C507/100)*10000,"")</f>
        <v/>
      </c>
    </row>
    <row r="508">
      <c r="A508" s="23">
        <f>IFERROR(INDEX($R$23:$R$823,ROW()-22),"")</f>
        <v/>
      </c>
      <c r="B508">
        <f>IFERROR(INDEX($S$23:$S$823,ROW()-22),"")</f>
        <v/>
      </c>
      <c r="C508">
        <f>IFERROR(INDEX($W$23:$W$823,ROW()-22),"")</f>
        <v/>
      </c>
      <c r="D508" s="24">
        <f>IFERROR(1/B508,"")</f>
        <v/>
      </c>
      <c r="E508" s="25">
        <f>IFERROR((D508-C508/100)*10000,"")</f>
        <v/>
      </c>
    </row>
    <row r="509">
      <c r="A509" s="23">
        <f>IFERROR(INDEX($R$23:$R$823,ROW()-22),"")</f>
        <v/>
      </c>
      <c r="B509">
        <f>IFERROR(INDEX($S$23:$S$823,ROW()-22),"")</f>
        <v/>
      </c>
      <c r="C509">
        <f>IFERROR(INDEX($W$23:$W$823,ROW()-22),"")</f>
        <v/>
      </c>
      <c r="D509" s="24">
        <f>IFERROR(1/B509,"")</f>
        <v/>
      </c>
      <c r="E509" s="25">
        <f>IFERROR((D509-C509/100)*10000,"")</f>
        <v/>
      </c>
    </row>
    <row r="510">
      <c r="A510" s="23">
        <f>IFERROR(INDEX($R$23:$R$823,ROW()-22),"")</f>
        <v/>
      </c>
      <c r="B510">
        <f>IFERROR(INDEX($S$23:$S$823,ROW()-22),"")</f>
        <v/>
      </c>
      <c r="C510">
        <f>IFERROR(INDEX($W$23:$W$823,ROW()-22),"")</f>
        <v/>
      </c>
      <c r="D510" s="24">
        <f>IFERROR(1/B510,"")</f>
        <v/>
      </c>
      <c r="E510" s="25">
        <f>IFERROR((D510-C510/100)*10000,"")</f>
        <v/>
      </c>
    </row>
    <row r="511">
      <c r="A511" s="23">
        <f>IFERROR(INDEX($R$23:$R$823,ROW()-22),"")</f>
        <v/>
      </c>
      <c r="B511">
        <f>IFERROR(INDEX($S$23:$S$823,ROW()-22),"")</f>
        <v/>
      </c>
      <c r="C511">
        <f>IFERROR(INDEX($W$23:$W$823,ROW()-22),"")</f>
        <v/>
      </c>
      <c r="D511" s="24">
        <f>IFERROR(1/B511,"")</f>
        <v/>
      </c>
      <c r="E511" s="25">
        <f>IFERROR((D511-C511/100)*10000,"")</f>
        <v/>
      </c>
    </row>
    <row r="512">
      <c r="A512" s="23">
        <f>IFERROR(INDEX($R$23:$R$823,ROW()-22),"")</f>
        <v/>
      </c>
      <c r="B512">
        <f>IFERROR(INDEX($S$23:$S$823,ROW()-22),"")</f>
        <v/>
      </c>
      <c r="C512">
        <f>IFERROR(INDEX($W$23:$W$823,ROW()-22),"")</f>
        <v/>
      </c>
      <c r="D512" s="24">
        <f>IFERROR(1/B512,"")</f>
        <v/>
      </c>
      <c r="E512" s="25">
        <f>IFERROR((D512-C512/100)*10000,"")</f>
        <v/>
      </c>
    </row>
    <row r="513">
      <c r="A513" s="23">
        <f>IFERROR(INDEX($R$23:$R$823,ROW()-22),"")</f>
        <v/>
      </c>
      <c r="B513">
        <f>IFERROR(INDEX($S$23:$S$823,ROW()-22),"")</f>
        <v/>
      </c>
      <c r="C513">
        <f>IFERROR(INDEX($W$23:$W$823,ROW()-22),"")</f>
        <v/>
      </c>
      <c r="D513" s="24">
        <f>IFERROR(1/B513,"")</f>
        <v/>
      </c>
      <c r="E513" s="25">
        <f>IFERROR((D513-C513/100)*10000,"")</f>
        <v/>
      </c>
    </row>
    <row r="514">
      <c r="A514" s="23">
        <f>IFERROR(INDEX($R$23:$R$823,ROW()-22),"")</f>
        <v/>
      </c>
      <c r="B514">
        <f>IFERROR(INDEX($S$23:$S$823,ROW()-22),"")</f>
        <v/>
      </c>
      <c r="C514">
        <f>IFERROR(INDEX($W$23:$W$823,ROW()-22),"")</f>
        <v/>
      </c>
      <c r="D514" s="24">
        <f>IFERROR(1/B514,"")</f>
        <v/>
      </c>
      <c r="E514" s="25">
        <f>IFERROR((D514-C514/100)*10000,"")</f>
        <v/>
      </c>
    </row>
    <row r="515">
      <c r="A515" s="23">
        <f>IFERROR(INDEX($R$23:$R$823,ROW()-22),"")</f>
        <v/>
      </c>
      <c r="B515">
        <f>IFERROR(INDEX($S$23:$S$823,ROW()-22),"")</f>
        <v/>
      </c>
      <c r="C515">
        <f>IFERROR(INDEX($W$23:$W$823,ROW()-22),"")</f>
        <v/>
      </c>
      <c r="D515" s="24">
        <f>IFERROR(1/B515,"")</f>
        <v/>
      </c>
      <c r="E515" s="25">
        <f>IFERROR((D515-C515/100)*10000,"")</f>
        <v/>
      </c>
    </row>
    <row r="516">
      <c r="A516" s="23">
        <f>IFERROR(INDEX($R$23:$R$823,ROW()-22),"")</f>
        <v/>
      </c>
      <c r="B516">
        <f>IFERROR(INDEX($S$23:$S$823,ROW()-22),"")</f>
        <v/>
      </c>
      <c r="C516">
        <f>IFERROR(INDEX($W$23:$W$823,ROW()-22),"")</f>
        <v/>
      </c>
      <c r="D516" s="24">
        <f>IFERROR(1/B516,"")</f>
        <v/>
      </c>
      <c r="E516" s="25">
        <f>IFERROR((D516-C516/100)*10000,"")</f>
        <v/>
      </c>
    </row>
    <row r="517">
      <c r="A517" s="23">
        <f>IFERROR(INDEX($R$23:$R$823,ROW()-22),"")</f>
        <v/>
      </c>
      <c r="B517">
        <f>IFERROR(INDEX($S$23:$S$823,ROW()-22),"")</f>
        <v/>
      </c>
      <c r="C517">
        <f>IFERROR(INDEX($W$23:$W$823,ROW()-22),"")</f>
        <v/>
      </c>
      <c r="D517" s="24">
        <f>IFERROR(1/B517,"")</f>
        <v/>
      </c>
      <c r="E517" s="25">
        <f>IFERROR((D517-C517/100)*10000,"")</f>
        <v/>
      </c>
    </row>
    <row r="518">
      <c r="A518" s="23">
        <f>IFERROR(INDEX($R$23:$R$823,ROW()-22),"")</f>
        <v/>
      </c>
      <c r="B518">
        <f>IFERROR(INDEX($S$23:$S$823,ROW()-22),"")</f>
        <v/>
      </c>
      <c r="C518">
        <f>IFERROR(INDEX($W$23:$W$823,ROW()-22),"")</f>
        <v/>
      </c>
      <c r="D518" s="24">
        <f>IFERROR(1/B518,"")</f>
        <v/>
      </c>
      <c r="E518" s="25">
        <f>IFERROR((D518-C518/100)*10000,"")</f>
        <v/>
      </c>
    </row>
    <row r="519">
      <c r="A519" s="23">
        <f>IFERROR(INDEX($R$23:$R$823,ROW()-22),"")</f>
        <v/>
      </c>
      <c r="B519">
        <f>IFERROR(INDEX($S$23:$S$823,ROW()-22),"")</f>
        <v/>
      </c>
      <c r="C519">
        <f>IFERROR(INDEX($W$23:$W$823,ROW()-22),"")</f>
        <v/>
      </c>
      <c r="D519" s="24">
        <f>IFERROR(1/B519,"")</f>
        <v/>
      </c>
      <c r="E519" s="25">
        <f>IFERROR((D519-C519/100)*10000,"")</f>
        <v/>
      </c>
    </row>
    <row r="520">
      <c r="A520" s="23">
        <f>IFERROR(INDEX($R$23:$R$823,ROW()-22),"")</f>
        <v/>
      </c>
      <c r="B520">
        <f>IFERROR(INDEX($S$23:$S$823,ROW()-22),"")</f>
        <v/>
      </c>
      <c r="C520">
        <f>IFERROR(INDEX($W$23:$W$823,ROW()-22),"")</f>
        <v/>
      </c>
      <c r="D520" s="24">
        <f>IFERROR(1/B520,"")</f>
        <v/>
      </c>
      <c r="E520" s="25">
        <f>IFERROR((D520-C520/100)*10000,"")</f>
        <v/>
      </c>
    </row>
    <row r="521">
      <c r="A521" s="23">
        <f>IFERROR(INDEX($R$23:$R$823,ROW()-22),"")</f>
        <v/>
      </c>
      <c r="B521">
        <f>IFERROR(INDEX($S$23:$S$823,ROW()-22),"")</f>
        <v/>
      </c>
      <c r="C521">
        <f>IFERROR(INDEX($W$23:$W$823,ROW()-22),"")</f>
        <v/>
      </c>
      <c r="D521" s="24">
        <f>IFERROR(1/B521,"")</f>
        <v/>
      </c>
      <c r="E521" s="25">
        <f>IFERROR((D521-C521/100)*10000,"")</f>
        <v/>
      </c>
    </row>
    <row r="522">
      <c r="A522" s="23">
        <f>IFERROR(INDEX($R$23:$R$823,ROW()-22),"")</f>
        <v/>
      </c>
      <c r="B522">
        <f>IFERROR(INDEX($S$23:$S$823,ROW()-22),"")</f>
        <v/>
      </c>
      <c r="C522">
        <f>IFERROR(INDEX($W$23:$W$823,ROW()-22),"")</f>
        <v/>
      </c>
      <c r="D522" s="24">
        <f>IFERROR(1/B522,"")</f>
        <v/>
      </c>
      <c r="E522" s="25">
        <f>IFERROR((D522-C522/100)*10000,"")</f>
        <v/>
      </c>
    </row>
    <row r="523">
      <c r="A523" s="23">
        <f>IFERROR(INDEX($R$23:$R$823,ROW()-22),"")</f>
        <v/>
      </c>
      <c r="B523">
        <f>IFERROR(INDEX($S$23:$S$823,ROW()-22),"")</f>
        <v/>
      </c>
      <c r="C523">
        <f>IFERROR(INDEX($W$23:$W$823,ROW()-22),"")</f>
        <v/>
      </c>
      <c r="D523" s="24">
        <f>IFERROR(1/B523,"")</f>
        <v/>
      </c>
      <c r="E523" s="25">
        <f>IFERROR((D523-C523/100)*10000,"")</f>
        <v/>
      </c>
    </row>
    <row r="524">
      <c r="A524" s="23">
        <f>IFERROR(INDEX($R$23:$R$823,ROW()-22),"")</f>
        <v/>
      </c>
      <c r="B524">
        <f>IFERROR(INDEX($S$23:$S$823,ROW()-22),"")</f>
        <v/>
      </c>
      <c r="C524">
        <f>IFERROR(INDEX($W$23:$W$823,ROW()-22),"")</f>
        <v/>
      </c>
      <c r="D524" s="24">
        <f>IFERROR(1/B524,"")</f>
        <v/>
      </c>
      <c r="E524" s="25">
        <f>IFERROR((D524-C524/100)*10000,"")</f>
        <v/>
      </c>
    </row>
    <row r="525">
      <c r="A525" s="23">
        <f>IFERROR(INDEX($R$23:$R$823,ROW()-22),"")</f>
        <v/>
      </c>
      <c r="B525">
        <f>IFERROR(INDEX($S$23:$S$823,ROW()-22),"")</f>
        <v/>
      </c>
      <c r="C525">
        <f>IFERROR(INDEX($W$23:$W$823,ROW()-22),"")</f>
        <v/>
      </c>
      <c r="D525" s="24">
        <f>IFERROR(1/B525,"")</f>
        <v/>
      </c>
      <c r="E525" s="25">
        <f>IFERROR((D525-C525/100)*10000,"")</f>
        <v/>
      </c>
    </row>
    <row r="526">
      <c r="A526" s="23">
        <f>IFERROR(INDEX($R$23:$R$823,ROW()-22),"")</f>
        <v/>
      </c>
      <c r="B526">
        <f>IFERROR(INDEX($S$23:$S$823,ROW()-22),"")</f>
        <v/>
      </c>
      <c r="C526">
        <f>IFERROR(INDEX($W$23:$W$823,ROW()-22),"")</f>
        <v/>
      </c>
      <c r="D526" s="24">
        <f>IFERROR(1/B526,"")</f>
        <v/>
      </c>
      <c r="E526" s="25">
        <f>IFERROR((D526-C526/100)*10000,"")</f>
        <v/>
      </c>
    </row>
    <row r="527">
      <c r="A527" s="23">
        <f>IFERROR(INDEX($R$23:$R$823,ROW()-22),"")</f>
        <v/>
      </c>
      <c r="B527">
        <f>IFERROR(INDEX($S$23:$S$823,ROW()-22),"")</f>
        <v/>
      </c>
      <c r="C527">
        <f>IFERROR(INDEX($W$23:$W$823,ROW()-22),"")</f>
        <v/>
      </c>
      <c r="D527" s="24">
        <f>IFERROR(1/B527,"")</f>
        <v/>
      </c>
      <c r="E527" s="25">
        <f>IFERROR((D527-C527/100)*10000,"")</f>
        <v/>
      </c>
    </row>
    <row r="528">
      <c r="A528" s="23">
        <f>IFERROR(INDEX($R$23:$R$823,ROW()-22),"")</f>
        <v/>
      </c>
      <c r="B528">
        <f>IFERROR(INDEX($S$23:$S$823,ROW()-22),"")</f>
        <v/>
      </c>
      <c r="C528">
        <f>IFERROR(INDEX($W$23:$W$823,ROW()-22),"")</f>
        <v/>
      </c>
      <c r="D528" s="24">
        <f>IFERROR(1/B528,"")</f>
        <v/>
      </c>
      <c r="E528" s="25">
        <f>IFERROR((D528-C528/100)*10000,"")</f>
        <v/>
      </c>
    </row>
    <row r="529">
      <c r="A529" s="23">
        <f>IFERROR(INDEX($R$23:$R$823,ROW()-22),"")</f>
        <v/>
      </c>
      <c r="B529">
        <f>IFERROR(INDEX($S$23:$S$823,ROW()-22),"")</f>
        <v/>
      </c>
      <c r="C529">
        <f>IFERROR(INDEX($W$23:$W$823,ROW()-22),"")</f>
        <v/>
      </c>
      <c r="D529" s="24">
        <f>IFERROR(1/B529,"")</f>
        <v/>
      </c>
      <c r="E529" s="25">
        <f>IFERROR((D529-C529/100)*10000,"")</f>
        <v/>
      </c>
    </row>
    <row r="530">
      <c r="A530" s="23">
        <f>IFERROR(INDEX($R$23:$R$823,ROW()-22),"")</f>
        <v/>
      </c>
      <c r="B530">
        <f>IFERROR(INDEX($S$23:$S$823,ROW()-22),"")</f>
        <v/>
      </c>
      <c r="C530">
        <f>IFERROR(INDEX($W$23:$W$823,ROW()-22),"")</f>
        <v/>
      </c>
      <c r="D530" s="24">
        <f>IFERROR(1/B530,"")</f>
        <v/>
      </c>
      <c r="E530" s="25">
        <f>IFERROR((D530-C530/100)*10000,"")</f>
        <v/>
      </c>
    </row>
    <row r="531">
      <c r="A531" s="23">
        <f>IFERROR(INDEX($R$23:$R$823,ROW()-22),"")</f>
        <v/>
      </c>
      <c r="B531">
        <f>IFERROR(INDEX($S$23:$S$823,ROW()-22),"")</f>
        <v/>
      </c>
      <c r="C531">
        <f>IFERROR(INDEX($W$23:$W$823,ROW()-22),"")</f>
        <v/>
      </c>
      <c r="D531" s="24">
        <f>IFERROR(1/B531,"")</f>
        <v/>
      </c>
      <c r="E531" s="25">
        <f>IFERROR((D531-C531/100)*10000,"")</f>
        <v/>
      </c>
    </row>
    <row r="532">
      <c r="A532" s="23">
        <f>IFERROR(INDEX($R$23:$R$823,ROW()-22),"")</f>
        <v/>
      </c>
      <c r="B532">
        <f>IFERROR(INDEX($S$23:$S$823,ROW()-22),"")</f>
        <v/>
      </c>
      <c r="C532">
        <f>IFERROR(INDEX($W$23:$W$823,ROW()-22),"")</f>
        <v/>
      </c>
      <c r="D532" s="24">
        <f>IFERROR(1/B532,"")</f>
        <v/>
      </c>
      <c r="E532" s="25">
        <f>IFERROR((D532-C532/100)*10000,"")</f>
        <v/>
      </c>
    </row>
    <row r="533">
      <c r="A533" s="23">
        <f>IFERROR(INDEX($R$23:$R$823,ROW()-22),"")</f>
        <v/>
      </c>
      <c r="B533">
        <f>IFERROR(INDEX($S$23:$S$823,ROW()-22),"")</f>
        <v/>
      </c>
      <c r="C533">
        <f>IFERROR(INDEX($W$23:$W$823,ROW()-22),"")</f>
        <v/>
      </c>
      <c r="D533" s="24">
        <f>IFERROR(1/B533,"")</f>
        <v/>
      </c>
      <c r="E533" s="25">
        <f>IFERROR((D533-C533/100)*10000,"")</f>
        <v/>
      </c>
    </row>
    <row r="534">
      <c r="A534" s="23">
        <f>IFERROR(INDEX($R$23:$R$823,ROW()-22),"")</f>
        <v/>
      </c>
      <c r="B534">
        <f>IFERROR(INDEX($S$23:$S$823,ROW()-22),"")</f>
        <v/>
      </c>
      <c r="C534">
        <f>IFERROR(INDEX($W$23:$W$823,ROW()-22),"")</f>
        <v/>
      </c>
      <c r="D534" s="24">
        <f>IFERROR(1/B534,"")</f>
        <v/>
      </c>
      <c r="E534" s="25">
        <f>IFERROR((D534-C534/100)*10000,"")</f>
        <v/>
      </c>
    </row>
    <row r="535">
      <c r="A535" s="23">
        <f>IFERROR(INDEX($R$23:$R$823,ROW()-22),"")</f>
        <v/>
      </c>
      <c r="B535">
        <f>IFERROR(INDEX($S$23:$S$823,ROW()-22),"")</f>
        <v/>
      </c>
      <c r="C535">
        <f>IFERROR(INDEX($W$23:$W$823,ROW()-22),"")</f>
        <v/>
      </c>
      <c r="D535" s="24">
        <f>IFERROR(1/B535,"")</f>
        <v/>
      </c>
      <c r="E535" s="25">
        <f>IFERROR((D535-C535/100)*10000,"")</f>
        <v/>
      </c>
    </row>
    <row r="536">
      <c r="A536" s="23">
        <f>IFERROR(INDEX($R$23:$R$823,ROW()-22),"")</f>
        <v/>
      </c>
      <c r="B536">
        <f>IFERROR(INDEX($S$23:$S$823,ROW()-22),"")</f>
        <v/>
      </c>
      <c r="C536">
        <f>IFERROR(INDEX($W$23:$W$823,ROW()-22),"")</f>
        <v/>
      </c>
      <c r="D536" s="24">
        <f>IFERROR(1/B536,"")</f>
        <v/>
      </c>
      <c r="E536" s="25">
        <f>IFERROR((D536-C536/100)*10000,"")</f>
        <v/>
      </c>
    </row>
    <row r="537">
      <c r="A537" s="23">
        <f>IFERROR(INDEX($R$23:$R$823,ROW()-22),"")</f>
        <v/>
      </c>
      <c r="B537">
        <f>IFERROR(INDEX($S$23:$S$823,ROW()-22),"")</f>
        <v/>
      </c>
      <c r="C537">
        <f>IFERROR(INDEX($W$23:$W$823,ROW()-22),"")</f>
        <v/>
      </c>
      <c r="D537" s="24">
        <f>IFERROR(1/B537,"")</f>
        <v/>
      </c>
      <c r="E537" s="25">
        <f>IFERROR((D537-C537/100)*10000,"")</f>
        <v/>
      </c>
    </row>
    <row r="538">
      <c r="A538" s="23">
        <f>IFERROR(INDEX($R$23:$R$823,ROW()-22),"")</f>
        <v/>
      </c>
      <c r="B538">
        <f>IFERROR(INDEX($S$23:$S$823,ROW()-22),"")</f>
        <v/>
      </c>
      <c r="C538">
        <f>IFERROR(INDEX($W$23:$W$823,ROW()-22),"")</f>
        <v/>
      </c>
      <c r="D538" s="24">
        <f>IFERROR(1/B538,"")</f>
        <v/>
      </c>
      <c r="E538" s="25">
        <f>IFERROR((D538-C538/100)*10000,"")</f>
        <v/>
      </c>
    </row>
    <row r="539">
      <c r="A539" s="23">
        <f>IFERROR(INDEX($R$23:$R$823,ROW()-22),"")</f>
        <v/>
      </c>
      <c r="B539">
        <f>IFERROR(INDEX($S$23:$S$823,ROW()-22),"")</f>
        <v/>
      </c>
      <c r="C539">
        <f>IFERROR(INDEX($W$23:$W$823,ROW()-22),"")</f>
        <v/>
      </c>
      <c r="D539" s="24">
        <f>IFERROR(1/B539,"")</f>
        <v/>
      </c>
      <c r="E539" s="25">
        <f>IFERROR((D539-C539/100)*10000,"")</f>
        <v/>
      </c>
    </row>
    <row r="540">
      <c r="A540" s="23">
        <f>IFERROR(INDEX($R$23:$R$823,ROW()-22),"")</f>
        <v/>
      </c>
      <c r="B540">
        <f>IFERROR(INDEX($S$23:$S$823,ROW()-22),"")</f>
        <v/>
      </c>
      <c r="C540">
        <f>IFERROR(INDEX($W$23:$W$823,ROW()-22),"")</f>
        <v/>
      </c>
      <c r="D540" s="24">
        <f>IFERROR(1/B540,"")</f>
        <v/>
      </c>
      <c r="E540" s="25">
        <f>IFERROR((D540-C540/100)*10000,"")</f>
        <v/>
      </c>
    </row>
    <row r="541">
      <c r="A541" s="23">
        <f>IFERROR(INDEX($R$23:$R$823,ROW()-22),"")</f>
        <v/>
      </c>
      <c r="B541">
        <f>IFERROR(INDEX($S$23:$S$823,ROW()-22),"")</f>
        <v/>
      </c>
      <c r="C541">
        <f>IFERROR(INDEX($W$23:$W$823,ROW()-22),"")</f>
        <v/>
      </c>
      <c r="D541" s="24">
        <f>IFERROR(1/B541,"")</f>
        <v/>
      </c>
      <c r="E541" s="25">
        <f>IFERROR((D541-C541/100)*10000,"")</f>
        <v/>
      </c>
    </row>
    <row r="542">
      <c r="A542" s="23">
        <f>IFERROR(INDEX($R$23:$R$823,ROW()-22),"")</f>
        <v/>
      </c>
      <c r="B542">
        <f>IFERROR(INDEX($S$23:$S$823,ROW()-22),"")</f>
        <v/>
      </c>
      <c r="C542">
        <f>IFERROR(INDEX($W$23:$W$823,ROW()-22),"")</f>
        <v/>
      </c>
      <c r="D542" s="24">
        <f>IFERROR(1/B542,"")</f>
        <v/>
      </c>
      <c r="E542" s="25">
        <f>IFERROR((D542-C542/100)*10000,"")</f>
        <v/>
      </c>
    </row>
    <row r="543">
      <c r="A543" s="23">
        <f>IFERROR(INDEX($R$23:$R$823,ROW()-22),"")</f>
        <v/>
      </c>
      <c r="B543">
        <f>IFERROR(INDEX($S$23:$S$823,ROW()-22),"")</f>
        <v/>
      </c>
      <c r="C543">
        <f>IFERROR(INDEX($W$23:$W$823,ROW()-22),"")</f>
        <v/>
      </c>
      <c r="D543" s="24">
        <f>IFERROR(1/B543,"")</f>
        <v/>
      </c>
      <c r="E543" s="25">
        <f>IFERROR((D543-C543/100)*10000,"")</f>
        <v/>
      </c>
    </row>
    <row r="544">
      <c r="A544" s="23">
        <f>IFERROR(INDEX($R$23:$R$823,ROW()-22),"")</f>
        <v/>
      </c>
      <c r="B544">
        <f>IFERROR(INDEX($S$23:$S$823,ROW()-22),"")</f>
        <v/>
      </c>
      <c r="C544">
        <f>IFERROR(INDEX($W$23:$W$823,ROW()-22),"")</f>
        <v/>
      </c>
      <c r="D544" s="24">
        <f>IFERROR(1/B544,"")</f>
        <v/>
      </c>
      <c r="E544" s="25">
        <f>IFERROR((D544-C544/100)*10000,"")</f>
        <v/>
      </c>
    </row>
    <row r="545">
      <c r="A545" s="23">
        <f>IFERROR(INDEX($R$23:$R$823,ROW()-22),"")</f>
        <v/>
      </c>
      <c r="B545">
        <f>IFERROR(INDEX($S$23:$S$823,ROW()-22),"")</f>
        <v/>
      </c>
      <c r="C545">
        <f>IFERROR(INDEX($W$23:$W$823,ROW()-22),"")</f>
        <v/>
      </c>
      <c r="D545" s="24">
        <f>IFERROR(1/B545,"")</f>
        <v/>
      </c>
      <c r="E545" s="25">
        <f>IFERROR((D545-C545/100)*10000,"")</f>
        <v/>
      </c>
    </row>
    <row r="546">
      <c r="A546" s="23">
        <f>IFERROR(INDEX($R$23:$R$823,ROW()-22),"")</f>
        <v/>
      </c>
      <c r="B546">
        <f>IFERROR(INDEX($S$23:$S$823,ROW()-22),"")</f>
        <v/>
      </c>
      <c r="C546">
        <f>IFERROR(INDEX($W$23:$W$823,ROW()-22),"")</f>
        <v/>
      </c>
      <c r="D546" s="24">
        <f>IFERROR(1/B546,"")</f>
        <v/>
      </c>
      <c r="E546" s="25">
        <f>IFERROR((D546-C546/100)*10000,"")</f>
        <v/>
      </c>
    </row>
    <row r="547">
      <c r="A547" s="23">
        <f>IFERROR(INDEX($R$23:$R$823,ROW()-22),"")</f>
        <v/>
      </c>
      <c r="B547">
        <f>IFERROR(INDEX($S$23:$S$823,ROW()-22),"")</f>
        <v/>
      </c>
      <c r="C547">
        <f>IFERROR(INDEX($W$23:$W$823,ROW()-22),"")</f>
        <v/>
      </c>
      <c r="D547" s="24">
        <f>IFERROR(1/B547,"")</f>
        <v/>
      </c>
      <c r="E547" s="25">
        <f>IFERROR((D547-C547/100)*10000,"")</f>
        <v/>
      </c>
    </row>
    <row r="548">
      <c r="A548" s="23">
        <f>IFERROR(INDEX($R$23:$R$823,ROW()-22),"")</f>
        <v/>
      </c>
      <c r="B548">
        <f>IFERROR(INDEX($S$23:$S$823,ROW()-22),"")</f>
        <v/>
      </c>
      <c r="C548">
        <f>IFERROR(INDEX($W$23:$W$823,ROW()-22),"")</f>
        <v/>
      </c>
      <c r="D548" s="24">
        <f>IFERROR(1/B548,"")</f>
        <v/>
      </c>
      <c r="E548" s="25">
        <f>IFERROR((D548-C548/100)*10000,"")</f>
        <v/>
      </c>
    </row>
    <row r="549">
      <c r="A549" s="23">
        <f>IFERROR(INDEX($R$23:$R$823,ROW()-22),"")</f>
        <v/>
      </c>
      <c r="B549">
        <f>IFERROR(INDEX($S$23:$S$823,ROW()-22),"")</f>
        <v/>
      </c>
      <c r="C549">
        <f>IFERROR(INDEX($W$23:$W$823,ROW()-22),"")</f>
        <v/>
      </c>
      <c r="D549" s="24">
        <f>IFERROR(1/B549,"")</f>
        <v/>
      </c>
      <c r="E549" s="25">
        <f>IFERROR((D549-C549/100)*10000,"")</f>
        <v/>
      </c>
    </row>
    <row r="550">
      <c r="A550" s="23">
        <f>IFERROR(INDEX($R$23:$R$823,ROW()-22),"")</f>
        <v/>
      </c>
      <c r="B550">
        <f>IFERROR(INDEX($S$23:$S$823,ROW()-22),"")</f>
        <v/>
      </c>
      <c r="C550">
        <f>IFERROR(INDEX($W$23:$W$823,ROW()-22),"")</f>
        <v/>
      </c>
      <c r="D550" s="24">
        <f>IFERROR(1/B550,"")</f>
        <v/>
      </c>
      <c r="E550" s="25">
        <f>IFERROR((D550-C550/100)*10000,"")</f>
        <v/>
      </c>
    </row>
    <row r="551">
      <c r="A551" s="23">
        <f>IFERROR(INDEX($R$23:$R$823,ROW()-22),"")</f>
        <v/>
      </c>
      <c r="B551">
        <f>IFERROR(INDEX($S$23:$S$823,ROW()-22),"")</f>
        <v/>
      </c>
      <c r="C551">
        <f>IFERROR(INDEX($W$23:$W$823,ROW()-22),"")</f>
        <v/>
      </c>
      <c r="D551" s="24">
        <f>IFERROR(1/B551,"")</f>
        <v/>
      </c>
      <c r="E551" s="25">
        <f>IFERROR((D551-C551/100)*10000,"")</f>
        <v/>
      </c>
    </row>
    <row r="552">
      <c r="A552" s="23">
        <f>IFERROR(INDEX($R$23:$R$823,ROW()-22),"")</f>
        <v/>
      </c>
      <c r="B552">
        <f>IFERROR(INDEX($S$23:$S$823,ROW()-22),"")</f>
        <v/>
      </c>
      <c r="C552">
        <f>IFERROR(INDEX($W$23:$W$823,ROW()-22),"")</f>
        <v/>
      </c>
      <c r="D552" s="24">
        <f>IFERROR(1/B552,"")</f>
        <v/>
      </c>
      <c r="E552" s="25">
        <f>IFERROR((D552-C552/100)*10000,"")</f>
        <v/>
      </c>
    </row>
    <row r="553">
      <c r="A553" s="23">
        <f>IFERROR(INDEX($R$23:$R$823,ROW()-22),"")</f>
        <v/>
      </c>
      <c r="B553">
        <f>IFERROR(INDEX($S$23:$S$823,ROW()-22),"")</f>
        <v/>
      </c>
      <c r="C553">
        <f>IFERROR(INDEX($W$23:$W$823,ROW()-22),"")</f>
        <v/>
      </c>
      <c r="D553" s="24">
        <f>IFERROR(1/B553,"")</f>
        <v/>
      </c>
      <c r="E553" s="25">
        <f>IFERROR((D553-C553/100)*10000,"")</f>
        <v/>
      </c>
    </row>
    <row r="554">
      <c r="A554" s="23">
        <f>IFERROR(INDEX($R$23:$R$823,ROW()-22),"")</f>
        <v/>
      </c>
      <c r="B554">
        <f>IFERROR(INDEX($S$23:$S$823,ROW()-22),"")</f>
        <v/>
      </c>
      <c r="C554">
        <f>IFERROR(INDEX($W$23:$W$823,ROW()-22),"")</f>
        <v/>
      </c>
      <c r="D554" s="24">
        <f>IFERROR(1/B554,"")</f>
        <v/>
      </c>
      <c r="E554" s="25">
        <f>IFERROR((D554-C554/100)*10000,"")</f>
        <v/>
      </c>
    </row>
    <row r="555">
      <c r="A555" s="23">
        <f>IFERROR(INDEX($R$23:$R$823,ROW()-22),"")</f>
        <v/>
      </c>
      <c r="B555">
        <f>IFERROR(INDEX($S$23:$S$823,ROW()-22),"")</f>
        <v/>
      </c>
      <c r="C555">
        <f>IFERROR(INDEX($W$23:$W$823,ROW()-22),"")</f>
        <v/>
      </c>
      <c r="D555" s="24">
        <f>IFERROR(1/B555,"")</f>
        <v/>
      </c>
      <c r="E555" s="25">
        <f>IFERROR((D555-C555/100)*10000,"")</f>
        <v/>
      </c>
    </row>
    <row r="556">
      <c r="A556" s="23">
        <f>IFERROR(INDEX($R$23:$R$823,ROW()-22),"")</f>
        <v/>
      </c>
      <c r="B556">
        <f>IFERROR(INDEX($S$23:$S$823,ROW()-22),"")</f>
        <v/>
      </c>
      <c r="C556">
        <f>IFERROR(INDEX($W$23:$W$823,ROW()-22),"")</f>
        <v/>
      </c>
      <c r="D556" s="24">
        <f>IFERROR(1/B556,"")</f>
        <v/>
      </c>
      <c r="E556" s="25">
        <f>IFERROR((D556-C556/100)*10000,"")</f>
        <v/>
      </c>
    </row>
    <row r="557">
      <c r="A557" s="23">
        <f>IFERROR(INDEX($R$23:$R$823,ROW()-22),"")</f>
        <v/>
      </c>
      <c r="B557">
        <f>IFERROR(INDEX($S$23:$S$823,ROW()-22),"")</f>
        <v/>
      </c>
      <c r="C557">
        <f>IFERROR(INDEX($W$23:$W$823,ROW()-22),"")</f>
        <v/>
      </c>
      <c r="D557" s="24">
        <f>IFERROR(1/B557,"")</f>
        <v/>
      </c>
      <c r="E557" s="25">
        <f>IFERROR((D557-C557/100)*10000,"")</f>
        <v/>
      </c>
    </row>
    <row r="558">
      <c r="A558" s="23">
        <f>IFERROR(INDEX($R$23:$R$823,ROW()-22),"")</f>
        <v/>
      </c>
      <c r="B558">
        <f>IFERROR(INDEX($S$23:$S$823,ROW()-22),"")</f>
        <v/>
      </c>
      <c r="C558">
        <f>IFERROR(INDEX($W$23:$W$823,ROW()-22),"")</f>
        <v/>
      </c>
      <c r="D558" s="24">
        <f>IFERROR(1/B558,"")</f>
        <v/>
      </c>
      <c r="E558" s="25">
        <f>IFERROR((D558-C558/100)*10000,"")</f>
        <v/>
      </c>
    </row>
    <row r="559">
      <c r="A559" s="23">
        <f>IFERROR(INDEX($R$23:$R$823,ROW()-22),"")</f>
        <v/>
      </c>
      <c r="B559">
        <f>IFERROR(INDEX($S$23:$S$823,ROW()-22),"")</f>
        <v/>
      </c>
      <c r="C559">
        <f>IFERROR(INDEX($W$23:$W$823,ROW()-22),"")</f>
        <v/>
      </c>
      <c r="D559" s="24">
        <f>IFERROR(1/B559,"")</f>
        <v/>
      </c>
      <c r="E559" s="25">
        <f>IFERROR((D559-C559/100)*10000,"")</f>
        <v/>
      </c>
    </row>
    <row r="560">
      <c r="A560" s="23">
        <f>IFERROR(INDEX($R$23:$R$823,ROW()-22),"")</f>
        <v/>
      </c>
      <c r="B560">
        <f>IFERROR(INDEX($S$23:$S$823,ROW()-22),"")</f>
        <v/>
      </c>
      <c r="C560">
        <f>IFERROR(INDEX($W$23:$W$823,ROW()-22),"")</f>
        <v/>
      </c>
      <c r="D560" s="24">
        <f>IFERROR(1/B560,"")</f>
        <v/>
      </c>
      <c r="E560" s="25">
        <f>IFERROR((D560-C560/100)*10000,"")</f>
        <v/>
      </c>
    </row>
    <row r="561">
      <c r="A561" s="23">
        <f>IFERROR(INDEX($R$23:$R$823,ROW()-22),"")</f>
        <v/>
      </c>
      <c r="B561">
        <f>IFERROR(INDEX($S$23:$S$823,ROW()-22),"")</f>
        <v/>
      </c>
      <c r="C561">
        <f>IFERROR(INDEX($W$23:$W$823,ROW()-22),"")</f>
        <v/>
      </c>
      <c r="D561" s="24">
        <f>IFERROR(1/B561,"")</f>
        <v/>
      </c>
      <c r="E561" s="25">
        <f>IFERROR((D561-C561/100)*10000,"")</f>
        <v/>
      </c>
    </row>
    <row r="562">
      <c r="A562" s="23">
        <f>IFERROR(INDEX($R$23:$R$823,ROW()-22),"")</f>
        <v/>
      </c>
      <c r="B562">
        <f>IFERROR(INDEX($S$23:$S$823,ROW()-22),"")</f>
        <v/>
      </c>
      <c r="C562">
        <f>IFERROR(INDEX($W$23:$W$823,ROW()-22),"")</f>
        <v/>
      </c>
      <c r="D562" s="24">
        <f>IFERROR(1/B562,"")</f>
        <v/>
      </c>
      <c r="E562" s="25">
        <f>IFERROR((D562-C562/100)*10000,"")</f>
        <v/>
      </c>
    </row>
    <row r="563">
      <c r="A563" s="23">
        <f>IFERROR(INDEX($R$23:$R$823,ROW()-22),"")</f>
        <v/>
      </c>
      <c r="B563">
        <f>IFERROR(INDEX($S$23:$S$823,ROW()-22),"")</f>
        <v/>
      </c>
      <c r="C563">
        <f>IFERROR(INDEX($W$23:$W$823,ROW()-22),"")</f>
        <v/>
      </c>
      <c r="D563" s="24">
        <f>IFERROR(1/B563,"")</f>
        <v/>
      </c>
      <c r="E563" s="25">
        <f>IFERROR((D563-C563/100)*10000,"")</f>
        <v/>
      </c>
    </row>
    <row r="564">
      <c r="A564" s="23">
        <f>IFERROR(INDEX($R$23:$R$823,ROW()-22),"")</f>
        <v/>
      </c>
      <c r="B564">
        <f>IFERROR(INDEX($S$23:$S$823,ROW()-22),"")</f>
        <v/>
      </c>
      <c r="C564">
        <f>IFERROR(INDEX($W$23:$W$823,ROW()-22),"")</f>
        <v/>
      </c>
      <c r="D564" s="24">
        <f>IFERROR(1/B564,"")</f>
        <v/>
      </c>
      <c r="E564" s="25">
        <f>IFERROR((D564-C564/100)*10000,"")</f>
        <v/>
      </c>
    </row>
    <row r="565">
      <c r="A565" s="23">
        <f>IFERROR(INDEX($R$23:$R$823,ROW()-22),"")</f>
        <v/>
      </c>
      <c r="B565">
        <f>IFERROR(INDEX($S$23:$S$823,ROW()-22),"")</f>
        <v/>
      </c>
      <c r="C565">
        <f>IFERROR(INDEX($W$23:$W$823,ROW()-22),"")</f>
        <v/>
      </c>
      <c r="D565" s="24">
        <f>IFERROR(1/B565,"")</f>
        <v/>
      </c>
      <c r="E565" s="25">
        <f>IFERROR((D565-C565/100)*10000,"")</f>
        <v/>
      </c>
    </row>
    <row r="566">
      <c r="A566" s="23">
        <f>IFERROR(INDEX($R$23:$R$823,ROW()-22),"")</f>
        <v/>
      </c>
      <c r="B566">
        <f>IFERROR(INDEX($S$23:$S$823,ROW()-22),"")</f>
        <v/>
      </c>
      <c r="C566">
        <f>IFERROR(INDEX($W$23:$W$823,ROW()-22),"")</f>
        <v/>
      </c>
      <c r="D566" s="24">
        <f>IFERROR(1/B566,"")</f>
        <v/>
      </c>
      <c r="E566" s="25">
        <f>IFERROR((D566-C566/100)*10000,"")</f>
        <v/>
      </c>
    </row>
    <row r="567">
      <c r="A567" s="23">
        <f>IFERROR(INDEX($R$23:$R$823,ROW()-22),"")</f>
        <v/>
      </c>
      <c r="B567">
        <f>IFERROR(INDEX($S$23:$S$823,ROW()-22),"")</f>
        <v/>
      </c>
      <c r="C567">
        <f>IFERROR(INDEX($W$23:$W$823,ROW()-22),"")</f>
        <v/>
      </c>
      <c r="D567" s="24">
        <f>IFERROR(1/B567,"")</f>
        <v/>
      </c>
      <c r="E567" s="25">
        <f>IFERROR((D567-C567/100)*10000,"")</f>
        <v/>
      </c>
    </row>
    <row r="568">
      <c r="A568" s="23">
        <f>IFERROR(INDEX($R$23:$R$823,ROW()-22),"")</f>
        <v/>
      </c>
      <c r="B568">
        <f>IFERROR(INDEX($S$23:$S$823,ROW()-22),"")</f>
        <v/>
      </c>
      <c r="C568">
        <f>IFERROR(INDEX($W$23:$W$823,ROW()-22),"")</f>
        <v/>
      </c>
      <c r="D568" s="24">
        <f>IFERROR(1/B568,"")</f>
        <v/>
      </c>
      <c r="E568" s="25">
        <f>IFERROR((D568-C568/100)*10000,"")</f>
        <v/>
      </c>
    </row>
    <row r="569">
      <c r="A569" s="23">
        <f>IFERROR(INDEX($R$23:$R$823,ROW()-22),"")</f>
        <v/>
      </c>
      <c r="B569">
        <f>IFERROR(INDEX($S$23:$S$823,ROW()-22),"")</f>
        <v/>
      </c>
      <c r="C569">
        <f>IFERROR(INDEX($W$23:$W$823,ROW()-22),"")</f>
        <v/>
      </c>
      <c r="D569" s="24">
        <f>IFERROR(1/B569,"")</f>
        <v/>
      </c>
      <c r="E569" s="25">
        <f>IFERROR((D569-C569/100)*10000,"")</f>
        <v/>
      </c>
    </row>
    <row r="570">
      <c r="A570" s="23">
        <f>IFERROR(INDEX($R$23:$R$823,ROW()-22),"")</f>
        <v/>
      </c>
      <c r="B570">
        <f>IFERROR(INDEX($S$23:$S$823,ROW()-22),"")</f>
        <v/>
      </c>
      <c r="C570">
        <f>IFERROR(INDEX($W$23:$W$823,ROW()-22),"")</f>
        <v/>
      </c>
      <c r="D570" s="24">
        <f>IFERROR(1/B570,"")</f>
        <v/>
      </c>
      <c r="E570" s="25">
        <f>IFERROR((D570-C570/100)*10000,"")</f>
        <v/>
      </c>
    </row>
    <row r="571">
      <c r="A571" s="23">
        <f>IFERROR(INDEX($R$23:$R$823,ROW()-22),"")</f>
        <v/>
      </c>
      <c r="B571">
        <f>IFERROR(INDEX($S$23:$S$823,ROW()-22),"")</f>
        <v/>
      </c>
      <c r="C571">
        <f>IFERROR(INDEX($W$23:$W$823,ROW()-22),"")</f>
        <v/>
      </c>
      <c r="D571" s="24">
        <f>IFERROR(1/B571,"")</f>
        <v/>
      </c>
      <c r="E571" s="25">
        <f>IFERROR((D571-C571/100)*10000,"")</f>
        <v/>
      </c>
    </row>
    <row r="572">
      <c r="A572" s="23">
        <f>IFERROR(INDEX($R$23:$R$823,ROW()-22),"")</f>
        <v/>
      </c>
      <c r="B572">
        <f>IFERROR(INDEX($S$23:$S$823,ROW()-22),"")</f>
        <v/>
      </c>
      <c r="C572">
        <f>IFERROR(INDEX($W$23:$W$823,ROW()-22),"")</f>
        <v/>
      </c>
      <c r="D572" s="24">
        <f>IFERROR(1/B572,"")</f>
        <v/>
      </c>
      <c r="E572" s="25">
        <f>IFERROR((D572-C572/100)*10000,"")</f>
        <v/>
      </c>
    </row>
    <row r="573">
      <c r="A573" s="23">
        <f>IFERROR(INDEX($R$23:$R$823,ROW()-22),"")</f>
        <v/>
      </c>
      <c r="B573">
        <f>IFERROR(INDEX($S$23:$S$823,ROW()-22),"")</f>
        <v/>
      </c>
      <c r="C573">
        <f>IFERROR(INDEX($W$23:$W$823,ROW()-22),"")</f>
        <v/>
      </c>
      <c r="D573" s="24">
        <f>IFERROR(1/B573,"")</f>
        <v/>
      </c>
      <c r="E573" s="25">
        <f>IFERROR((D573-C573/100)*10000,"")</f>
        <v/>
      </c>
    </row>
    <row r="574">
      <c r="A574" s="23">
        <f>IFERROR(INDEX($R$23:$R$823,ROW()-22),"")</f>
        <v/>
      </c>
      <c r="B574">
        <f>IFERROR(INDEX($S$23:$S$823,ROW()-22),"")</f>
        <v/>
      </c>
      <c r="C574">
        <f>IFERROR(INDEX($W$23:$W$823,ROW()-22),"")</f>
        <v/>
      </c>
      <c r="D574" s="24">
        <f>IFERROR(1/B574,"")</f>
        <v/>
      </c>
      <c r="E574" s="25">
        <f>IFERROR((D574-C574/100)*10000,"")</f>
        <v/>
      </c>
    </row>
    <row r="575">
      <c r="A575" s="23">
        <f>IFERROR(INDEX($R$23:$R$823,ROW()-22),"")</f>
        <v/>
      </c>
      <c r="B575">
        <f>IFERROR(INDEX($S$23:$S$823,ROW()-22),"")</f>
        <v/>
      </c>
      <c r="C575">
        <f>IFERROR(INDEX($W$23:$W$823,ROW()-22),"")</f>
        <v/>
      </c>
      <c r="D575" s="24">
        <f>IFERROR(1/B575,"")</f>
        <v/>
      </c>
      <c r="E575" s="25">
        <f>IFERROR((D575-C575/100)*10000,"")</f>
        <v/>
      </c>
    </row>
    <row r="576">
      <c r="A576" s="23">
        <f>IFERROR(INDEX($R$23:$R$823,ROW()-22),"")</f>
        <v/>
      </c>
      <c r="B576">
        <f>IFERROR(INDEX($S$23:$S$823,ROW()-22),"")</f>
        <v/>
      </c>
      <c r="C576">
        <f>IFERROR(INDEX($W$23:$W$823,ROW()-22),"")</f>
        <v/>
      </c>
      <c r="D576" s="24">
        <f>IFERROR(1/B576,"")</f>
        <v/>
      </c>
      <c r="E576" s="25">
        <f>IFERROR((D576-C576/100)*10000,"")</f>
        <v/>
      </c>
    </row>
    <row r="577">
      <c r="A577" s="23">
        <f>IFERROR(INDEX($R$23:$R$823,ROW()-22),"")</f>
        <v/>
      </c>
      <c r="B577">
        <f>IFERROR(INDEX($S$23:$S$823,ROW()-22),"")</f>
        <v/>
      </c>
      <c r="C577">
        <f>IFERROR(INDEX($W$23:$W$823,ROW()-22),"")</f>
        <v/>
      </c>
      <c r="D577" s="24">
        <f>IFERROR(1/B577,"")</f>
        <v/>
      </c>
      <c r="E577" s="25">
        <f>IFERROR((D577-C577/100)*10000,"")</f>
        <v/>
      </c>
    </row>
    <row r="578">
      <c r="A578" s="23">
        <f>IFERROR(INDEX($R$23:$R$823,ROW()-22),"")</f>
        <v/>
      </c>
      <c r="B578">
        <f>IFERROR(INDEX($S$23:$S$823,ROW()-22),"")</f>
        <v/>
      </c>
      <c r="C578">
        <f>IFERROR(INDEX($W$23:$W$823,ROW()-22),"")</f>
        <v/>
      </c>
      <c r="D578" s="24">
        <f>IFERROR(1/B578,"")</f>
        <v/>
      </c>
      <c r="E578" s="25">
        <f>IFERROR((D578-C578/100)*10000,"")</f>
        <v/>
      </c>
    </row>
    <row r="579">
      <c r="A579" s="23">
        <f>IFERROR(INDEX($R$23:$R$823,ROW()-22),"")</f>
        <v/>
      </c>
      <c r="B579">
        <f>IFERROR(INDEX($S$23:$S$823,ROW()-22),"")</f>
        <v/>
      </c>
      <c r="C579">
        <f>IFERROR(INDEX($W$23:$W$823,ROW()-22),"")</f>
        <v/>
      </c>
      <c r="D579" s="24">
        <f>IFERROR(1/B579,"")</f>
        <v/>
      </c>
      <c r="E579" s="25">
        <f>IFERROR((D579-C579/100)*10000,"")</f>
        <v/>
      </c>
    </row>
    <row r="580">
      <c r="A580" s="23">
        <f>IFERROR(INDEX($R$23:$R$823,ROW()-22),"")</f>
        <v/>
      </c>
      <c r="B580">
        <f>IFERROR(INDEX($S$23:$S$823,ROW()-22),"")</f>
        <v/>
      </c>
      <c r="C580">
        <f>IFERROR(INDEX($W$23:$W$823,ROW()-22),"")</f>
        <v/>
      </c>
      <c r="D580" s="24">
        <f>IFERROR(1/B580,"")</f>
        <v/>
      </c>
      <c r="E580" s="25">
        <f>IFERROR((D580-C580/100)*10000,"")</f>
        <v/>
      </c>
    </row>
    <row r="581">
      <c r="A581" s="23">
        <f>IFERROR(INDEX($R$23:$R$823,ROW()-22),"")</f>
        <v/>
      </c>
      <c r="B581">
        <f>IFERROR(INDEX($S$23:$S$823,ROW()-22),"")</f>
        <v/>
      </c>
      <c r="C581">
        <f>IFERROR(INDEX($W$23:$W$823,ROW()-22),"")</f>
        <v/>
      </c>
      <c r="D581" s="24">
        <f>IFERROR(1/B581,"")</f>
        <v/>
      </c>
      <c r="E581" s="25">
        <f>IFERROR((D581-C581/100)*10000,"")</f>
        <v/>
      </c>
    </row>
    <row r="582">
      <c r="A582" s="23">
        <f>IFERROR(INDEX($R$23:$R$823,ROW()-22),"")</f>
        <v/>
      </c>
      <c r="B582">
        <f>IFERROR(INDEX($S$23:$S$823,ROW()-22),"")</f>
        <v/>
      </c>
      <c r="C582">
        <f>IFERROR(INDEX($W$23:$W$823,ROW()-22),"")</f>
        <v/>
      </c>
      <c r="D582" s="24">
        <f>IFERROR(1/B582,"")</f>
        <v/>
      </c>
      <c r="E582" s="25">
        <f>IFERROR((D582-C582/100)*10000,"")</f>
        <v/>
      </c>
    </row>
    <row r="583">
      <c r="A583" s="23">
        <f>IFERROR(INDEX($R$23:$R$823,ROW()-22),"")</f>
        <v/>
      </c>
      <c r="B583">
        <f>IFERROR(INDEX($S$23:$S$823,ROW()-22),"")</f>
        <v/>
      </c>
      <c r="C583">
        <f>IFERROR(INDEX($W$23:$W$823,ROW()-22),"")</f>
        <v/>
      </c>
      <c r="D583" s="24">
        <f>IFERROR(1/B583,"")</f>
        <v/>
      </c>
      <c r="E583" s="25">
        <f>IFERROR((D583-C583/100)*10000,"")</f>
        <v/>
      </c>
    </row>
    <row r="584">
      <c r="A584" s="23">
        <f>IFERROR(INDEX($R$23:$R$823,ROW()-22),"")</f>
        <v/>
      </c>
      <c r="B584">
        <f>IFERROR(INDEX($S$23:$S$823,ROW()-22),"")</f>
        <v/>
      </c>
      <c r="C584">
        <f>IFERROR(INDEX($W$23:$W$823,ROW()-22),"")</f>
        <v/>
      </c>
      <c r="D584" s="24">
        <f>IFERROR(1/B584,"")</f>
        <v/>
      </c>
      <c r="E584" s="25">
        <f>IFERROR((D584-C584/100)*10000,"")</f>
        <v/>
      </c>
    </row>
    <row r="585">
      <c r="A585" s="23">
        <f>IFERROR(INDEX($R$23:$R$823,ROW()-22),"")</f>
        <v/>
      </c>
      <c r="B585">
        <f>IFERROR(INDEX($S$23:$S$823,ROW()-22),"")</f>
        <v/>
      </c>
      <c r="C585">
        <f>IFERROR(INDEX($W$23:$W$823,ROW()-22),"")</f>
        <v/>
      </c>
      <c r="D585" s="24">
        <f>IFERROR(1/B585,"")</f>
        <v/>
      </c>
      <c r="E585" s="25">
        <f>IFERROR((D585-C585/100)*10000,"")</f>
        <v/>
      </c>
    </row>
    <row r="586">
      <c r="A586" s="23">
        <f>IFERROR(INDEX($R$23:$R$823,ROW()-22),"")</f>
        <v/>
      </c>
      <c r="B586">
        <f>IFERROR(INDEX($S$23:$S$823,ROW()-22),"")</f>
        <v/>
      </c>
      <c r="C586">
        <f>IFERROR(INDEX($W$23:$W$823,ROW()-22),"")</f>
        <v/>
      </c>
      <c r="D586" s="24">
        <f>IFERROR(1/B586,"")</f>
        <v/>
      </c>
      <c r="E586" s="25">
        <f>IFERROR((D586-C586/100)*10000,"")</f>
        <v/>
      </c>
    </row>
    <row r="587">
      <c r="A587" s="23">
        <f>IFERROR(INDEX($R$23:$R$823,ROW()-22),"")</f>
        <v/>
      </c>
      <c r="B587">
        <f>IFERROR(INDEX($S$23:$S$823,ROW()-22),"")</f>
        <v/>
      </c>
      <c r="C587">
        <f>IFERROR(INDEX($W$23:$W$823,ROW()-22),"")</f>
        <v/>
      </c>
      <c r="D587" s="24">
        <f>IFERROR(1/B587,"")</f>
        <v/>
      </c>
      <c r="E587" s="25">
        <f>IFERROR((D587-C587/100)*10000,"")</f>
        <v/>
      </c>
    </row>
    <row r="588">
      <c r="A588" s="23">
        <f>IFERROR(INDEX($R$23:$R$823,ROW()-22),"")</f>
        <v/>
      </c>
      <c r="B588">
        <f>IFERROR(INDEX($S$23:$S$823,ROW()-22),"")</f>
        <v/>
      </c>
      <c r="C588">
        <f>IFERROR(INDEX($W$23:$W$823,ROW()-22),"")</f>
        <v/>
      </c>
      <c r="D588" s="24">
        <f>IFERROR(1/B588,"")</f>
        <v/>
      </c>
      <c r="E588" s="25">
        <f>IFERROR((D588-C588/100)*10000,"")</f>
        <v/>
      </c>
    </row>
    <row r="589">
      <c r="A589" s="23">
        <f>IFERROR(INDEX($R$23:$R$823,ROW()-22),"")</f>
        <v/>
      </c>
      <c r="B589">
        <f>IFERROR(INDEX($S$23:$S$823,ROW()-22),"")</f>
        <v/>
      </c>
      <c r="C589">
        <f>IFERROR(INDEX($W$23:$W$823,ROW()-22),"")</f>
        <v/>
      </c>
      <c r="D589" s="24">
        <f>IFERROR(1/B589,"")</f>
        <v/>
      </c>
      <c r="E589" s="25">
        <f>IFERROR((D589-C589/100)*10000,"")</f>
        <v/>
      </c>
    </row>
    <row r="590">
      <c r="A590" s="23">
        <f>IFERROR(INDEX($R$23:$R$823,ROW()-22),"")</f>
        <v/>
      </c>
      <c r="B590">
        <f>IFERROR(INDEX($S$23:$S$823,ROW()-22),"")</f>
        <v/>
      </c>
      <c r="C590">
        <f>IFERROR(INDEX($W$23:$W$823,ROW()-22),"")</f>
        <v/>
      </c>
      <c r="D590" s="24">
        <f>IFERROR(1/B590,"")</f>
        <v/>
      </c>
      <c r="E590" s="25">
        <f>IFERROR((D590-C590/100)*10000,"")</f>
        <v/>
      </c>
    </row>
    <row r="591">
      <c r="A591" s="23">
        <f>IFERROR(INDEX($R$23:$R$823,ROW()-22),"")</f>
        <v/>
      </c>
      <c r="B591">
        <f>IFERROR(INDEX($S$23:$S$823,ROW()-22),"")</f>
        <v/>
      </c>
      <c r="C591">
        <f>IFERROR(INDEX($W$23:$W$823,ROW()-22),"")</f>
        <v/>
      </c>
      <c r="D591" s="24">
        <f>IFERROR(1/B591,"")</f>
        <v/>
      </c>
      <c r="E591" s="25">
        <f>IFERROR((D591-C591/100)*10000,"")</f>
        <v/>
      </c>
    </row>
    <row r="592">
      <c r="A592" s="23">
        <f>IFERROR(INDEX($R$23:$R$823,ROW()-22),"")</f>
        <v/>
      </c>
      <c r="B592">
        <f>IFERROR(INDEX($S$23:$S$823,ROW()-22),"")</f>
        <v/>
      </c>
      <c r="C592">
        <f>IFERROR(INDEX($W$23:$W$823,ROW()-22),"")</f>
        <v/>
      </c>
      <c r="D592" s="24">
        <f>IFERROR(1/B592,"")</f>
        <v/>
      </c>
      <c r="E592" s="25">
        <f>IFERROR((D592-C592/100)*10000,"")</f>
        <v/>
      </c>
    </row>
    <row r="593">
      <c r="A593" s="23">
        <f>IFERROR(INDEX($R$23:$R$823,ROW()-22),"")</f>
        <v/>
      </c>
      <c r="B593">
        <f>IFERROR(INDEX($S$23:$S$823,ROW()-22),"")</f>
        <v/>
      </c>
      <c r="C593">
        <f>IFERROR(INDEX($W$23:$W$823,ROW()-22),"")</f>
        <v/>
      </c>
      <c r="D593" s="24">
        <f>IFERROR(1/B593,"")</f>
        <v/>
      </c>
      <c r="E593" s="25">
        <f>IFERROR((D593-C593/100)*10000,"")</f>
        <v/>
      </c>
    </row>
    <row r="594">
      <c r="A594" s="23">
        <f>IFERROR(INDEX($R$23:$R$823,ROW()-22),"")</f>
        <v/>
      </c>
      <c r="B594">
        <f>IFERROR(INDEX($S$23:$S$823,ROW()-22),"")</f>
        <v/>
      </c>
      <c r="C594">
        <f>IFERROR(INDEX($W$23:$W$823,ROW()-22),"")</f>
        <v/>
      </c>
      <c r="D594" s="24">
        <f>IFERROR(1/B594,"")</f>
        <v/>
      </c>
      <c r="E594" s="25">
        <f>IFERROR((D594-C594/100)*10000,"")</f>
        <v/>
      </c>
    </row>
    <row r="595">
      <c r="A595" s="23">
        <f>IFERROR(INDEX($R$23:$R$823,ROW()-22),"")</f>
        <v/>
      </c>
      <c r="B595">
        <f>IFERROR(INDEX($S$23:$S$823,ROW()-22),"")</f>
        <v/>
      </c>
      <c r="C595">
        <f>IFERROR(INDEX($W$23:$W$823,ROW()-22),"")</f>
        <v/>
      </c>
      <c r="D595" s="24">
        <f>IFERROR(1/B595,"")</f>
        <v/>
      </c>
      <c r="E595" s="25">
        <f>IFERROR((D595-C595/100)*10000,"")</f>
        <v/>
      </c>
    </row>
    <row r="596">
      <c r="A596" s="23">
        <f>IFERROR(INDEX($R$23:$R$823,ROW()-22),"")</f>
        <v/>
      </c>
      <c r="B596">
        <f>IFERROR(INDEX($S$23:$S$823,ROW()-22),"")</f>
        <v/>
      </c>
      <c r="C596">
        <f>IFERROR(INDEX($W$23:$W$823,ROW()-22),"")</f>
        <v/>
      </c>
      <c r="D596" s="24">
        <f>IFERROR(1/B596,"")</f>
        <v/>
      </c>
      <c r="E596" s="25">
        <f>IFERROR((D596-C596/100)*10000,"")</f>
        <v/>
      </c>
    </row>
    <row r="597">
      <c r="A597" s="23">
        <f>IFERROR(INDEX($R$23:$R$823,ROW()-22),"")</f>
        <v/>
      </c>
      <c r="B597">
        <f>IFERROR(INDEX($S$23:$S$823,ROW()-22),"")</f>
        <v/>
      </c>
      <c r="C597">
        <f>IFERROR(INDEX($W$23:$W$823,ROW()-22),"")</f>
        <v/>
      </c>
      <c r="D597" s="24">
        <f>IFERROR(1/B597,"")</f>
        <v/>
      </c>
      <c r="E597" s="25">
        <f>IFERROR((D597-C597/100)*10000,"")</f>
        <v/>
      </c>
    </row>
    <row r="598">
      <c r="A598" s="23">
        <f>IFERROR(INDEX($R$23:$R$823,ROW()-22),"")</f>
        <v/>
      </c>
      <c r="B598">
        <f>IFERROR(INDEX($S$23:$S$823,ROW()-22),"")</f>
        <v/>
      </c>
      <c r="C598">
        <f>IFERROR(INDEX($W$23:$W$823,ROW()-22),"")</f>
        <v/>
      </c>
      <c r="D598" s="24">
        <f>IFERROR(1/B598,"")</f>
        <v/>
      </c>
      <c r="E598" s="25">
        <f>IFERROR((D598-C598/100)*10000,"")</f>
        <v/>
      </c>
    </row>
    <row r="599">
      <c r="A599" s="23">
        <f>IFERROR(INDEX($R$23:$R$823,ROW()-22),"")</f>
        <v/>
      </c>
      <c r="B599">
        <f>IFERROR(INDEX($S$23:$S$823,ROW()-22),"")</f>
        <v/>
      </c>
      <c r="C599">
        <f>IFERROR(INDEX($W$23:$W$823,ROW()-22),"")</f>
        <v/>
      </c>
      <c r="D599" s="24">
        <f>IFERROR(1/B599,"")</f>
        <v/>
      </c>
      <c r="E599" s="25">
        <f>IFERROR((D599-C599/100)*10000,"")</f>
        <v/>
      </c>
    </row>
    <row r="600">
      <c r="A600" s="23">
        <f>IFERROR(INDEX($R$23:$R$823,ROW()-22),"")</f>
        <v/>
      </c>
      <c r="B600">
        <f>IFERROR(INDEX($S$23:$S$823,ROW()-22),"")</f>
        <v/>
      </c>
      <c r="C600">
        <f>IFERROR(INDEX($W$23:$W$823,ROW()-22),"")</f>
        <v/>
      </c>
      <c r="D600" s="24">
        <f>IFERROR(1/B600,"")</f>
        <v/>
      </c>
      <c r="E600" s="25">
        <f>IFERROR((D600-C600/100)*10000,"")</f>
        <v/>
      </c>
    </row>
    <row r="601">
      <c r="A601" s="23">
        <f>IFERROR(INDEX($R$23:$R$823,ROW()-22),"")</f>
        <v/>
      </c>
      <c r="B601">
        <f>IFERROR(INDEX($S$23:$S$823,ROW()-22),"")</f>
        <v/>
      </c>
      <c r="C601">
        <f>IFERROR(INDEX($W$23:$W$823,ROW()-22),"")</f>
        <v/>
      </c>
      <c r="D601" s="24">
        <f>IFERROR(1/B601,"")</f>
        <v/>
      </c>
      <c r="E601" s="25">
        <f>IFERROR((D601-C601/100)*10000,"")</f>
        <v/>
      </c>
    </row>
    <row r="602">
      <c r="A602" s="23">
        <f>IFERROR(INDEX($R$23:$R$823,ROW()-22),"")</f>
        <v/>
      </c>
      <c r="B602">
        <f>IFERROR(INDEX($S$23:$S$823,ROW()-22),"")</f>
        <v/>
      </c>
      <c r="C602">
        <f>IFERROR(INDEX($W$23:$W$823,ROW()-22),"")</f>
        <v/>
      </c>
      <c r="D602" s="24">
        <f>IFERROR(1/B602,"")</f>
        <v/>
      </c>
      <c r="E602" s="25">
        <f>IFERROR((D602-C602/100)*10000,"")</f>
        <v/>
      </c>
    </row>
    <row r="603">
      <c r="A603" s="23">
        <f>IFERROR(INDEX($R$23:$R$823,ROW()-22),"")</f>
        <v/>
      </c>
      <c r="B603">
        <f>IFERROR(INDEX($S$23:$S$823,ROW()-22),"")</f>
        <v/>
      </c>
      <c r="C603">
        <f>IFERROR(INDEX($W$23:$W$823,ROW()-22),"")</f>
        <v/>
      </c>
      <c r="D603" s="24">
        <f>IFERROR(1/B603,"")</f>
        <v/>
      </c>
      <c r="E603" s="25">
        <f>IFERROR((D603-C603/100)*10000,"")</f>
        <v/>
      </c>
    </row>
    <row r="604">
      <c r="A604" s="23">
        <f>IFERROR(INDEX($R$23:$R$823,ROW()-22),"")</f>
        <v/>
      </c>
      <c r="B604">
        <f>IFERROR(INDEX($S$23:$S$823,ROW()-22),"")</f>
        <v/>
      </c>
      <c r="C604">
        <f>IFERROR(INDEX($W$23:$W$823,ROW()-22),"")</f>
        <v/>
      </c>
      <c r="D604" s="24">
        <f>IFERROR(1/B604,"")</f>
        <v/>
      </c>
      <c r="E604" s="25">
        <f>IFERROR((D604-C604/100)*10000,"")</f>
        <v/>
      </c>
    </row>
    <row r="605">
      <c r="A605" s="23">
        <f>IFERROR(INDEX($R$23:$R$823,ROW()-22),"")</f>
        <v/>
      </c>
      <c r="B605">
        <f>IFERROR(INDEX($S$23:$S$823,ROW()-22),"")</f>
        <v/>
      </c>
      <c r="C605">
        <f>IFERROR(INDEX($W$23:$W$823,ROW()-22),"")</f>
        <v/>
      </c>
      <c r="D605" s="24">
        <f>IFERROR(1/B605,"")</f>
        <v/>
      </c>
      <c r="E605" s="25">
        <f>IFERROR((D605-C605/100)*10000,"")</f>
        <v/>
      </c>
    </row>
    <row r="606">
      <c r="A606" s="23">
        <f>IFERROR(INDEX($R$23:$R$823,ROW()-22),"")</f>
        <v/>
      </c>
      <c r="B606">
        <f>IFERROR(INDEX($S$23:$S$823,ROW()-22),"")</f>
        <v/>
      </c>
      <c r="C606">
        <f>IFERROR(INDEX($W$23:$W$823,ROW()-22),"")</f>
        <v/>
      </c>
      <c r="D606" s="24">
        <f>IFERROR(1/B606,"")</f>
        <v/>
      </c>
      <c r="E606" s="25">
        <f>IFERROR((D606-C606/100)*10000,"")</f>
        <v/>
      </c>
    </row>
    <row r="607">
      <c r="A607" s="23">
        <f>IFERROR(INDEX($R$23:$R$823,ROW()-22),"")</f>
        <v/>
      </c>
      <c r="B607">
        <f>IFERROR(INDEX($S$23:$S$823,ROW()-22),"")</f>
        <v/>
      </c>
      <c r="C607">
        <f>IFERROR(INDEX($W$23:$W$823,ROW()-22),"")</f>
        <v/>
      </c>
      <c r="D607" s="24">
        <f>IFERROR(1/B607,"")</f>
        <v/>
      </c>
      <c r="E607" s="25">
        <f>IFERROR((D607-C607/100)*10000,"")</f>
        <v/>
      </c>
    </row>
    <row r="608">
      <c r="A608" s="23">
        <f>IFERROR(INDEX($R$23:$R$823,ROW()-22),"")</f>
        <v/>
      </c>
      <c r="B608">
        <f>IFERROR(INDEX($S$23:$S$823,ROW()-22),"")</f>
        <v/>
      </c>
      <c r="C608">
        <f>IFERROR(INDEX($W$23:$W$823,ROW()-22),"")</f>
        <v/>
      </c>
      <c r="D608" s="24">
        <f>IFERROR(1/B608,"")</f>
        <v/>
      </c>
      <c r="E608" s="25">
        <f>IFERROR((D608-C608/100)*10000,"")</f>
        <v/>
      </c>
    </row>
    <row r="609">
      <c r="A609" s="23">
        <f>IFERROR(INDEX($R$23:$R$823,ROW()-22),"")</f>
        <v/>
      </c>
      <c r="B609">
        <f>IFERROR(INDEX($S$23:$S$823,ROW()-22),"")</f>
        <v/>
      </c>
      <c r="C609">
        <f>IFERROR(INDEX($W$23:$W$823,ROW()-22),"")</f>
        <v/>
      </c>
      <c r="D609" s="24">
        <f>IFERROR(1/B609,"")</f>
        <v/>
      </c>
      <c r="E609" s="25">
        <f>IFERROR((D609-C609/100)*10000,"")</f>
        <v/>
      </c>
    </row>
    <row r="610">
      <c r="A610" s="23">
        <f>IFERROR(INDEX($R$23:$R$823,ROW()-22),"")</f>
        <v/>
      </c>
      <c r="B610">
        <f>IFERROR(INDEX($S$23:$S$823,ROW()-22),"")</f>
        <v/>
      </c>
      <c r="C610">
        <f>IFERROR(INDEX($W$23:$W$823,ROW()-22),"")</f>
        <v/>
      </c>
      <c r="D610" s="24">
        <f>IFERROR(1/B610,"")</f>
        <v/>
      </c>
      <c r="E610" s="25">
        <f>IFERROR((D610-C610/100)*10000,"")</f>
        <v/>
      </c>
    </row>
    <row r="611">
      <c r="A611" s="23">
        <f>IFERROR(INDEX($R$23:$R$823,ROW()-22),"")</f>
        <v/>
      </c>
      <c r="B611">
        <f>IFERROR(INDEX($S$23:$S$823,ROW()-22),"")</f>
        <v/>
      </c>
      <c r="C611">
        <f>IFERROR(INDEX($W$23:$W$823,ROW()-22),"")</f>
        <v/>
      </c>
      <c r="D611" s="24">
        <f>IFERROR(1/B611,"")</f>
        <v/>
      </c>
      <c r="E611" s="25">
        <f>IFERROR((D611-C611/100)*10000,"")</f>
        <v/>
      </c>
    </row>
    <row r="612">
      <c r="A612" s="23">
        <f>IFERROR(INDEX($R$23:$R$823,ROW()-22),"")</f>
        <v/>
      </c>
      <c r="B612">
        <f>IFERROR(INDEX($S$23:$S$823,ROW()-22),"")</f>
        <v/>
      </c>
      <c r="C612">
        <f>IFERROR(INDEX($W$23:$W$823,ROW()-22),"")</f>
        <v/>
      </c>
      <c r="D612" s="24">
        <f>IFERROR(1/B612,"")</f>
        <v/>
      </c>
      <c r="E612" s="25">
        <f>IFERROR((D612-C612/100)*10000,"")</f>
        <v/>
      </c>
    </row>
    <row r="613">
      <c r="A613" s="23">
        <f>IFERROR(INDEX($R$23:$R$823,ROW()-22),"")</f>
        <v/>
      </c>
      <c r="B613">
        <f>IFERROR(INDEX($S$23:$S$823,ROW()-22),"")</f>
        <v/>
      </c>
      <c r="C613">
        <f>IFERROR(INDEX($W$23:$W$823,ROW()-22),"")</f>
        <v/>
      </c>
      <c r="D613" s="24">
        <f>IFERROR(1/B613,"")</f>
        <v/>
      </c>
      <c r="E613" s="25">
        <f>IFERROR((D613-C613/100)*10000,"")</f>
        <v/>
      </c>
    </row>
    <row r="614">
      <c r="A614" s="23">
        <f>IFERROR(INDEX($R$23:$R$823,ROW()-22),"")</f>
        <v/>
      </c>
      <c r="B614">
        <f>IFERROR(INDEX($S$23:$S$823,ROW()-22),"")</f>
        <v/>
      </c>
      <c r="C614">
        <f>IFERROR(INDEX($W$23:$W$823,ROW()-22),"")</f>
        <v/>
      </c>
      <c r="D614" s="24">
        <f>IFERROR(1/B614,"")</f>
        <v/>
      </c>
      <c r="E614" s="25">
        <f>IFERROR((D614-C614/100)*10000,"")</f>
        <v/>
      </c>
    </row>
    <row r="615">
      <c r="A615" s="23">
        <f>IFERROR(INDEX($R$23:$R$823,ROW()-22),"")</f>
        <v/>
      </c>
      <c r="B615">
        <f>IFERROR(INDEX($S$23:$S$823,ROW()-22),"")</f>
        <v/>
      </c>
      <c r="C615">
        <f>IFERROR(INDEX($W$23:$W$823,ROW()-22),"")</f>
        <v/>
      </c>
      <c r="D615" s="24">
        <f>IFERROR(1/B615,"")</f>
        <v/>
      </c>
      <c r="E615" s="25">
        <f>IFERROR((D615-C615/100)*10000,"")</f>
        <v/>
      </c>
    </row>
    <row r="616">
      <c r="A616" s="23">
        <f>IFERROR(INDEX($R$23:$R$823,ROW()-22),"")</f>
        <v/>
      </c>
      <c r="B616">
        <f>IFERROR(INDEX($S$23:$S$823,ROW()-22),"")</f>
        <v/>
      </c>
      <c r="C616">
        <f>IFERROR(INDEX($W$23:$W$823,ROW()-22),"")</f>
        <v/>
      </c>
      <c r="D616" s="24">
        <f>IFERROR(1/B616,"")</f>
        <v/>
      </c>
      <c r="E616" s="25">
        <f>IFERROR((D616-C616/100)*10000,"")</f>
        <v/>
      </c>
    </row>
    <row r="617">
      <c r="A617" s="23">
        <f>IFERROR(INDEX($R$23:$R$823,ROW()-22),"")</f>
        <v/>
      </c>
      <c r="B617">
        <f>IFERROR(INDEX($S$23:$S$823,ROW()-22),"")</f>
        <v/>
      </c>
      <c r="C617">
        <f>IFERROR(INDEX($W$23:$W$823,ROW()-22),"")</f>
        <v/>
      </c>
      <c r="D617" s="24">
        <f>IFERROR(1/B617,"")</f>
        <v/>
      </c>
      <c r="E617" s="25">
        <f>IFERROR((D617-C617/100)*10000,"")</f>
        <v/>
      </c>
    </row>
    <row r="618">
      <c r="A618" s="23">
        <f>IFERROR(INDEX($R$23:$R$823,ROW()-22),"")</f>
        <v/>
      </c>
      <c r="B618">
        <f>IFERROR(INDEX($S$23:$S$823,ROW()-22),"")</f>
        <v/>
      </c>
      <c r="C618">
        <f>IFERROR(INDEX($W$23:$W$823,ROW()-22),"")</f>
        <v/>
      </c>
      <c r="D618" s="24">
        <f>IFERROR(1/B618,"")</f>
        <v/>
      </c>
      <c r="E618" s="25">
        <f>IFERROR((D618-C618/100)*10000,"")</f>
        <v/>
      </c>
    </row>
    <row r="619">
      <c r="A619" s="23">
        <f>IFERROR(INDEX($R$23:$R$823,ROW()-22),"")</f>
        <v/>
      </c>
      <c r="B619">
        <f>IFERROR(INDEX($S$23:$S$823,ROW()-22),"")</f>
        <v/>
      </c>
      <c r="C619">
        <f>IFERROR(INDEX($W$23:$W$823,ROW()-22),"")</f>
        <v/>
      </c>
      <c r="D619" s="24">
        <f>IFERROR(1/B619,"")</f>
        <v/>
      </c>
      <c r="E619" s="25">
        <f>IFERROR((D619-C619/100)*10000,"")</f>
        <v/>
      </c>
    </row>
    <row r="620">
      <c r="A620" s="23">
        <f>IFERROR(INDEX($R$23:$R$823,ROW()-22),"")</f>
        <v/>
      </c>
      <c r="B620">
        <f>IFERROR(INDEX($S$23:$S$823,ROW()-22),"")</f>
        <v/>
      </c>
      <c r="C620">
        <f>IFERROR(INDEX($W$23:$W$823,ROW()-22),"")</f>
        <v/>
      </c>
      <c r="D620" s="24">
        <f>IFERROR(1/B620,"")</f>
        <v/>
      </c>
      <c r="E620" s="25">
        <f>IFERROR((D620-C620/100)*10000,"")</f>
        <v/>
      </c>
    </row>
    <row r="621">
      <c r="A621" s="23">
        <f>IFERROR(INDEX($R$23:$R$823,ROW()-22),"")</f>
        <v/>
      </c>
      <c r="B621">
        <f>IFERROR(INDEX($S$23:$S$823,ROW()-22),"")</f>
        <v/>
      </c>
      <c r="C621">
        <f>IFERROR(INDEX($W$23:$W$823,ROW()-22),"")</f>
        <v/>
      </c>
      <c r="D621" s="24">
        <f>IFERROR(1/B621,"")</f>
        <v/>
      </c>
      <c r="E621" s="25">
        <f>IFERROR((D621-C621/100)*10000,"")</f>
        <v/>
      </c>
    </row>
    <row r="622">
      <c r="A622" s="23">
        <f>IFERROR(INDEX($R$23:$R$823,ROW()-22),"")</f>
        <v/>
      </c>
      <c r="B622">
        <f>IFERROR(INDEX($S$23:$S$823,ROW()-22),"")</f>
        <v/>
      </c>
      <c r="C622">
        <f>IFERROR(INDEX($W$23:$W$823,ROW()-22),"")</f>
        <v/>
      </c>
      <c r="D622" s="24">
        <f>IFERROR(1/B622,"")</f>
        <v/>
      </c>
      <c r="E622" s="25">
        <f>IFERROR((D622-C622/100)*10000,"")</f>
        <v/>
      </c>
    </row>
    <row r="623">
      <c r="A623" s="23">
        <f>IFERROR(INDEX($R$23:$R$823,ROW()-22),"")</f>
        <v/>
      </c>
      <c r="B623">
        <f>IFERROR(INDEX($S$23:$S$823,ROW()-22),"")</f>
        <v/>
      </c>
      <c r="C623">
        <f>IFERROR(INDEX($W$23:$W$823,ROW()-22),"")</f>
        <v/>
      </c>
      <c r="D623" s="24">
        <f>IFERROR(1/B623,"")</f>
        <v/>
      </c>
      <c r="E623" s="25">
        <f>IFERROR((D623-C623/100)*10000,"")</f>
        <v/>
      </c>
    </row>
    <row r="624">
      <c r="A624" s="23">
        <f>IFERROR(INDEX($R$23:$R$823,ROW()-22),"")</f>
        <v/>
      </c>
      <c r="B624">
        <f>IFERROR(INDEX($S$23:$S$823,ROW()-22),"")</f>
        <v/>
      </c>
      <c r="C624">
        <f>IFERROR(INDEX($W$23:$W$823,ROW()-22),"")</f>
        <v/>
      </c>
      <c r="D624" s="24">
        <f>IFERROR(1/B624,"")</f>
        <v/>
      </c>
      <c r="E624" s="25">
        <f>IFERROR((D624-C624/100)*10000,"")</f>
        <v/>
      </c>
    </row>
    <row r="625">
      <c r="A625" s="23">
        <f>IFERROR(INDEX($R$23:$R$823,ROW()-22),"")</f>
        <v/>
      </c>
      <c r="B625">
        <f>IFERROR(INDEX($S$23:$S$823,ROW()-22),"")</f>
        <v/>
      </c>
      <c r="C625">
        <f>IFERROR(INDEX($W$23:$W$823,ROW()-22),"")</f>
        <v/>
      </c>
      <c r="D625" s="24">
        <f>IFERROR(1/B625,"")</f>
        <v/>
      </c>
      <c r="E625" s="25">
        <f>IFERROR((D625-C625/100)*10000,"")</f>
        <v/>
      </c>
    </row>
    <row r="626">
      <c r="A626" s="23">
        <f>IFERROR(INDEX($R$23:$R$823,ROW()-22),"")</f>
        <v/>
      </c>
      <c r="B626">
        <f>IFERROR(INDEX($S$23:$S$823,ROW()-22),"")</f>
        <v/>
      </c>
      <c r="C626">
        <f>IFERROR(INDEX($W$23:$W$823,ROW()-22),"")</f>
        <v/>
      </c>
      <c r="D626" s="24">
        <f>IFERROR(1/B626,"")</f>
        <v/>
      </c>
      <c r="E626" s="25">
        <f>IFERROR((D626-C626/100)*10000,"")</f>
        <v/>
      </c>
    </row>
    <row r="627">
      <c r="A627" s="23">
        <f>IFERROR(INDEX($R$23:$R$823,ROW()-22),"")</f>
        <v/>
      </c>
      <c r="B627">
        <f>IFERROR(INDEX($S$23:$S$823,ROW()-22),"")</f>
        <v/>
      </c>
      <c r="C627">
        <f>IFERROR(INDEX($W$23:$W$823,ROW()-22),"")</f>
        <v/>
      </c>
      <c r="D627" s="24">
        <f>IFERROR(1/B627,"")</f>
        <v/>
      </c>
      <c r="E627" s="25">
        <f>IFERROR((D627-C627/100)*10000,"")</f>
        <v/>
      </c>
    </row>
    <row r="628">
      <c r="A628" s="23">
        <f>IFERROR(INDEX($R$23:$R$823,ROW()-22),"")</f>
        <v/>
      </c>
      <c r="B628">
        <f>IFERROR(INDEX($S$23:$S$823,ROW()-22),"")</f>
        <v/>
      </c>
      <c r="C628">
        <f>IFERROR(INDEX($W$23:$W$823,ROW()-22),"")</f>
        <v/>
      </c>
      <c r="D628" s="24">
        <f>IFERROR(1/B628,"")</f>
        <v/>
      </c>
      <c r="E628" s="25">
        <f>IFERROR((D628-C628/100)*10000,"")</f>
        <v/>
      </c>
    </row>
    <row r="629">
      <c r="A629" s="23">
        <f>IFERROR(INDEX($R$23:$R$823,ROW()-22),"")</f>
        <v/>
      </c>
      <c r="B629">
        <f>IFERROR(INDEX($S$23:$S$823,ROW()-22),"")</f>
        <v/>
      </c>
      <c r="C629">
        <f>IFERROR(INDEX($W$23:$W$823,ROW()-22),"")</f>
        <v/>
      </c>
      <c r="D629" s="24">
        <f>IFERROR(1/B629,"")</f>
        <v/>
      </c>
      <c r="E629" s="25">
        <f>IFERROR((D629-C629/100)*10000,"")</f>
        <v/>
      </c>
    </row>
    <row r="630">
      <c r="A630" s="23">
        <f>IFERROR(INDEX($R$23:$R$823,ROW()-22),"")</f>
        <v/>
      </c>
      <c r="B630">
        <f>IFERROR(INDEX($S$23:$S$823,ROW()-22),"")</f>
        <v/>
      </c>
      <c r="C630">
        <f>IFERROR(INDEX($W$23:$W$823,ROW()-22),"")</f>
        <v/>
      </c>
      <c r="D630" s="24">
        <f>IFERROR(1/B630,"")</f>
        <v/>
      </c>
      <c r="E630" s="25">
        <f>IFERROR((D630-C630/100)*10000,"")</f>
        <v/>
      </c>
    </row>
    <row r="631">
      <c r="A631" s="23">
        <f>IFERROR(INDEX($R$23:$R$823,ROW()-22),"")</f>
        <v/>
      </c>
      <c r="B631">
        <f>IFERROR(INDEX($S$23:$S$823,ROW()-22),"")</f>
        <v/>
      </c>
      <c r="C631">
        <f>IFERROR(INDEX($W$23:$W$823,ROW()-22),"")</f>
        <v/>
      </c>
      <c r="D631" s="24">
        <f>IFERROR(1/B631,"")</f>
        <v/>
      </c>
      <c r="E631" s="25">
        <f>IFERROR((D631-C631/100)*10000,"")</f>
        <v/>
      </c>
    </row>
    <row r="632">
      <c r="A632" s="23">
        <f>IFERROR(INDEX($R$23:$R$823,ROW()-22),"")</f>
        <v/>
      </c>
      <c r="B632">
        <f>IFERROR(INDEX($S$23:$S$823,ROW()-22),"")</f>
        <v/>
      </c>
      <c r="C632">
        <f>IFERROR(INDEX($W$23:$W$823,ROW()-22),"")</f>
        <v/>
      </c>
      <c r="D632" s="24">
        <f>IFERROR(1/B632,"")</f>
        <v/>
      </c>
      <c r="E632" s="25">
        <f>IFERROR((D632-C632/100)*10000,"")</f>
        <v/>
      </c>
    </row>
    <row r="633">
      <c r="A633" s="23">
        <f>IFERROR(INDEX($R$23:$R$823,ROW()-22),"")</f>
        <v/>
      </c>
      <c r="B633">
        <f>IFERROR(INDEX($S$23:$S$823,ROW()-22),"")</f>
        <v/>
      </c>
      <c r="C633">
        <f>IFERROR(INDEX($W$23:$W$823,ROW()-22),"")</f>
        <v/>
      </c>
      <c r="D633" s="24">
        <f>IFERROR(1/B633,"")</f>
        <v/>
      </c>
      <c r="E633" s="25">
        <f>IFERROR((D633-C633/100)*10000,"")</f>
        <v/>
      </c>
    </row>
    <row r="634">
      <c r="A634" s="23">
        <f>IFERROR(INDEX($R$23:$R$823,ROW()-22),"")</f>
        <v/>
      </c>
      <c r="B634">
        <f>IFERROR(INDEX($S$23:$S$823,ROW()-22),"")</f>
        <v/>
      </c>
      <c r="C634">
        <f>IFERROR(INDEX($W$23:$W$823,ROW()-22),"")</f>
        <v/>
      </c>
      <c r="D634" s="24">
        <f>IFERROR(1/B634,"")</f>
        <v/>
      </c>
      <c r="E634" s="25">
        <f>IFERROR((D634-C634/100)*10000,"")</f>
        <v/>
      </c>
    </row>
    <row r="635">
      <c r="A635" s="23">
        <f>IFERROR(INDEX($R$23:$R$823,ROW()-22),"")</f>
        <v/>
      </c>
      <c r="B635">
        <f>IFERROR(INDEX($S$23:$S$823,ROW()-22),"")</f>
        <v/>
      </c>
      <c r="C635">
        <f>IFERROR(INDEX($W$23:$W$823,ROW()-22),"")</f>
        <v/>
      </c>
      <c r="D635" s="24">
        <f>IFERROR(1/B635,"")</f>
        <v/>
      </c>
      <c r="E635" s="25">
        <f>IFERROR((D635-C635/100)*10000,"")</f>
        <v/>
      </c>
    </row>
    <row r="636">
      <c r="A636" s="23">
        <f>IFERROR(INDEX($R$23:$R$823,ROW()-22),"")</f>
        <v/>
      </c>
      <c r="B636">
        <f>IFERROR(INDEX($S$23:$S$823,ROW()-22),"")</f>
        <v/>
      </c>
      <c r="C636">
        <f>IFERROR(INDEX($W$23:$W$823,ROW()-22),"")</f>
        <v/>
      </c>
      <c r="D636" s="24">
        <f>IFERROR(1/B636,"")</f>
        <v/>
      </c>
      <c r="E636" s="25">
        <f>IFERROR((D636-C636/100)*10000,"")</f>
        <v/>
      </c>
    </row>
    <row r="637">
      <c r="A637" s="23">
        <f>IFERROR(INDEX($R$23:$R$823,ROW()-22),"")</f>
        <v/>
      </c>
      <c r="B637">
        <f>IFERROR(INDEX($S$23:$S$823,ROW()-22),"")</f>
        <v/>
      </c>
      <c r="C637">
        <f>IFERROR(INDEX($W$23:$W$823,ROW()-22),"")</f>
        <v/>
      </c>
      <c r="D637" s="24">
        <f>IFERROR(1/B637,"")</f>
        <v/>
      </c>
      <c r="E637" s="25">
        <f>IFERROR((D637-C637/100)*10000,"")</f>
        <v/>
      </c>
    </row>
    <row r="638">
      <c r="A638" s="23">
        <f>IFERROR(INDEX($R$23:$R$823,ROW()-22),"")</f>
        <v/>
      </c>
      <c r="B638">
        <f>IFERROR(INDEX($S$23:$S$823,ROW()-22),"")</f>
        <v/>
      </c>
      <c r="C638">
        <f>IFERROR(INDEX($W$23:$W$823,ROW()-22),"")</f>
        <v/>
      </c>
      <c r="D638" s="24">
        <f>IFERROR(1/B638,"")</f>
        <v/>
      </c>
      <c r="E638" s="25">
        <f>IFERROR((D638-C638/100)*10000,"")</f>
        <v/>
      </c>
    </row>
    <row r="639">
      <c r="A639" s="23">
        <f>IFERROR(INDEX($R$23:$R$823,ROW()-22),"")</f>
        <v/>
      </c>
      <c r="B639">
        <f>IFERROR(INDEX($S$23:$S$823,ROW()-22),"")</f>
        <v/>
      </c>
      <c r="C639">
        <f>IFERROR(INDEX($W$23:$W$823,ROW()-22),"")</f>
        <v/>
      </c>
      <c r="D639" s="24">
        <f>IFERROR(1/B639,"")</f>
        <v/>
      </c>
      <c r="E639" s="25">
        <f>IFERROR((D639-C639/100)*10000,"")</f>
        <v/>
      </c>
    </row>
    <row r="640">
      <c r="A640" s="23">
        <f>IFERROR(INDEX($R$23:$R$823,ROW()-22),"")</f>
        <v/>
      </c>
      <c r="B640">
        <f>IFERROR(INDEX($S$23:$S$823,ROW()-22),"")</f>
        <v/>
      </c>
      <c r="C640">
        <f>IFERROR(INDEX($W$23:$W$823,ROW()-22),"")</f>
        <v/>
      </c>
      <c r="D640" s="24">
        <f>IFERROR(1/B640,"")</f>
        <v/>
      </c>
      <c r="E640" s="25">
        <f>IFERROR((D640-C640/100)*10000,"")</f>
        <v/>
      </c>
    </row>
    <row r="641">
      <c r="A641" s="23">
        <f>IFERROR(INDEX($R$23:$R$823,ROW()-22),"")</f>
        <v/>
      </c>
      <c r="B641">
        <f>IFERROR(INDEX($S$23:$S$823,ROW()-22),"")</f>
        <v/>
      </c>
      <c r="C641">
        <f>IFERROR(INDEX($W$23:$W$823,ROW()-22),"")</f>
        <v/>
      </c>
      <c r="D641" s="24">
        <f>IFERROR(1/B641,"")</f>
        <v/>
      </c>
      <c r="E641" s="25">
        <f>IFERROR((D641-C641/100)*10000,"")</f>
        <v/>
      </c>
    </row>
    <row r="642">
      <c r="A642" s="23">
        <f>IFERROR(INDEX($R$23:$R$823,ROW()-22),"")</f>
        <v/>
      </c>
      <c r="B642">
        <f>IFERROR(INDEX($S$23:$S$823,ROW()-22),"")</f>
        <v/>
      </c>
      <c r="C642">
        <f>IFERROR(INDEX($W$23:$W$823,ROW()-22),"")</f>
        <v/>
      </c>
      <c r="D642" s="24">
        <f>IFERROR(1/B642,"")</f>
        <v/>
      </c>
      <c r="E642" s="25">
        <f>IFERROR((D642-C642/100)*10000,"")</f>
        <v/>
      </c>
    </row>
    <row r="643">
      <c r="A643" s="23">
        <f>IFERROR(INDEX($R$23:$R$823,ROW()-22),"")</f>
        <v/>
      </c>
      <c r="B643">
        <f>IFERROR(INDEX($S$23:$S$823,ROW()-22),"")</f>
        <v/>
      </c>
      <c r="C643">
        <f>IFERROR(INDEX($W$23:$W$823,ROW()-22),"")</f>
        <v/>
      </c>
      <c r="D643" s="24">
        <f>IFERROR(1/B643,"")</f>
        <v/>
      </c>
      <c r="E643" s="25">
        <f>IFERROR((D643-C643/100)*10000,"")</f>
        <v/>
      </c>
    </row>
    <row r="644">
      <c r="A644" s="23">
        <f>IFERROR(INDEX($R$23:$R$823,ROW()-22),"")</f>
        <v/>
      </c>
      <c r="B644">
        <f>IFERROR(INDEX($S$23:$S$823,ROW()-22),"")</f>
        <v/>
      </c>
      <c r="C644">
        <f>IFERROR(INDEX($W$23:$W$823,ROW()-22),"")</f>
        <v/>
      </c>
      <c r="D644" s="24">
        <f>IFERROR(1/B644,"")</f>
        <v/>
      </c>
      <c r="E644" s="25">
        <f>IFERROR((D644-C644/100)*10000,"")</f>
        <v/>
      </c>
    </row>
    <row r="645">
      <c r="A645" s="23">
        <f>IFERROR(INDEX($R$23:$R$823,ROW()-22),"")</f>
        <v/>
      </c>
      <c r="B645">
        <f>IFERROR(INDEX($S$23:$S$823,ROW()-22),"")</f>
        <v/>
      </c>
      <c r="C645">
        <f>IFERROR(INDEX($W$23:$W$823,ROW()-22),"")</f>
        <v/>
      </c>
      <c r="D645" s="24">
        <f>IFERROR(1/B645,"")</f>
        <v/>
      </c>
      <c r="E645" s="25">
        <f>IFERROR((D645-C645/100)*10000,"")</f>
        <v/>
      </c>
    </row>
    <row r="646">
      <c r="A646" s="23">
        <f>IFERROR(INDEX($R$23:$R$823,ROW()-22),"")</f>
        <v/>
      </c>
      <c r="B646">
        <f>IFERROR(INDEX($S$23:$S$823,ROW()-22),"")</f>
        <v/>
      </c>
      <c r="C646">
        <f>IFERROR(INDEX($W$23:$W$823,ROW()-22),"")</f>
        <v/>
      </c>
      <c r="D646" s="24">
        <f>IFERROR(1/B646,"")</f>
        <v/>
      </c>
      <c r="E646" s="25">
        <f>IFERROR((D646-C646/100)*10000,"")</f>
        <v/>
      </c>
    </row>
    <row r="647">
      <c r="A647" s="23">
        <f>IFERROR(INDEX($R$23:$R$823,ROW()-22),"")</f>
        <v/>
      </c>
      <c r="B647">
        <f>IFERROR(INDEX($S$23:$S$823,ROW()-22),"")</f>
        <v/>
      </c>
      <c r="C647">
        <f>IFERROR(INDEX($W$23:$W$823,ROW()-22),"")</f>
        <v/>
      </c>
      <c r="D647" s="24">
        <f>IFERROR(1/B647,"")</f>
        <v/>
      </c>
      <c r="E647" s="25">
        <f>IFERROR((D647-C647/100)*10000,"")</f>
        <v/>
      </c>
    </row>
    <row r="648">
      <c r="A648" s="23">
        <f>IFERROR(INDEX($R$23:$R$823,ROW()-22),"")</f>
        <v/>
      </c>
      <c r="B648">
        <f>IFERROR(INDEX($S$23:$S$823,ROW()-22),"")</f>
        <v/>
      </c>
      <c r="C648">
        <f>IFERROR(INDEX($W$23:$W$823,ROW()-22),"")</f>
        <v/>
      </c>
      <c r="D648" s="24">
        <f>IFERROR(1/B648,"")</f>
        <v/>
      </c>
      <c r="E648" s="25">
        <f>IFERROR((D648-C648/100)*10000,"")</f>
        <v/>
      </c>
    </row>
    <row r="649">
      <c r="A649" s="23">
        <f>IFERROR(INDEX($R$23:$R$823,ROW()-22),"")</f>
        <v/>
      </c>
      <c r="B649">
        <f>IFERROR(INDEX($S$23:$S$823,ROW()-22),"")</f>
        <v/>
      </c>
      <c r="C649">
        <f>IFERROR(INDEX($W$23:$W$823,ROW()-22),"")</f>
        <v/>
      </c>
      <c r="D649" s="24">
        <f>IFERROR(1/B649,"")</f>
        <v/>
      </c>
      <c r="E649" s="25">
        <f>IFERROR((D649-C649/100)*10000,"")</f>
        <v/>
      </c>
    </row>
    <row r="650">
      <c r="A650" s="23">
        <f>IFERROR(INDEX($R$23:$R$823,ROW()-22),"")</f>
        <v/>
      </c>
      <c r="B650">
        <f>IFERROR(INDEX($S$23:$S$823,ROW()-22),"")</f>
        <v/>
      </c>
      <c r="C650">
        <f>IFERROR(INDEX($W$23:$W$823,ROW()-22),"")</f>
        <v/>
      </c>
      <c r="D650" s="24">
        <f>IFERROR(1/B650,"")</f>
        <v/>
      </c>
      <c r="E650" s="25">
        <f>IFERROR((D650-C650/100)*10000,"")</f>
        <v/>
      </c>
    </row>
    <row r="651">
      <c r="A651" s="23">
        <f>IFERROR(INDEX($R$23:$R$823,ROW()-22),"")</f>
        <v/>
      </c>
      <c r="B651">
        <f>IFERROR(INDEX($S$23:$S$823,ROW()-22),"")</f>
        <v/>
      </c>
      <c r="C651">
        <f>IFERROR(INDEX($W$23:$W$823,ROW()-22),"")</f>
        <v/>
      </c>
      <c r="D651" s="24">
        <f>IFERROR(1/B651,"")</f>
        <v/>
      </c>
      <c r="E651" s="25">
        <f>IFERROR((D651-C651/100)*10000,"")</f>
        <v/>
      </c>
    </row>
    <row r="652">
      <c r="A652" s="23">
        <f>IFERROR(INDEX($R$23:$R$823,ROW()-22),"")</f>
        <v/>
      </c>
      <c r="B652">
        <f>IFERROR(INDEX($S$23:$S$823,ROW()-22),"")</f>
        <v/>
      </c>
      <c r="C652">
        <f>IFERROR(INDEX($W$23:$W$823,ROW()-22),"")</f>
        <v/>
      </c>
      <c r="D652" s="24">
        <f>IFERROR(1/B652,"")</f>
        <v/>
      </c>
      <c r="E652" s="25">
        <f>IFERROR((D652-C652/100)*10000,"")</f>
        <v/>
      </c>
    </row>
    <row r="653">
      <c r="A653" s="23">
        <f>IFERROR(INDEX($R$23:$R$823,ROW()-22),"")</f>
        <v/>
      </c>
      <c r="B653">
        <f>IFERROR(INDEX($S$23:$S$823,ROW()-22),"")</f>
        <v/>
      </c>
      <c r="C653">
        <f>IFERROR(INDEX($W$23:$W$823,ROW()-22),"")</f>
        <v/>
      </c>
      <c r="D653" s="24">
        <f>IFERROR(1/B653,"")</f>
        <v/>
      </c>
      <c r="E653" s="25">
        <f>IFERROR((D653-C653/100)*10000,"")</f>
        <v/>
      </c>
    </row>
    <row r="654">
      <c r="A654" s="23">
        <f>IFERROR(INDEX($R$23:$R$823,ROW()-22),"")</f>
        <v/>
      </c>
      <c r="B654">
        <f>IFERROR(INDEX($S$23:$S$823,ROW()-22),"")</f>
        <v/>
      </c>
      <c r="C654">
        <f>IFERROR(INDEX($W$23:$W$823,ROW()-22),"")</f>
        <v/>
      </c>
      <c r="D654" s="24">
        <f>IFERROR(1/B654,"")</f>
        <v/>
      </c>
      <c r="E654" s="25">
        <f>IFERROR((D654-C654/100)*10000,"")</f>
        <v/>
      </c>
    </row>
    <row r="655">
      <c r="A655" s="23">
        <f>IFERROR(INDEX($R$23:$R$823,ROW()-22),"")</f>
        <v/>
      </c>
      <c r="B655">
        <f>IFERROR(INDEX($S$23:$S$823,ROW()-22),"")</f>
        <v/>
      </c>
      <c r="C655">
        <f>IFERROR(INDEX($W$23:$W$823,ROW()-22),"")</f>
        <v/>
      </c>
      <c r="D655" s="24">
        <f>IFERROR(1/B655,"")</f>
        <v/>
      </c>
      <c r="E655" s="25">
        <f>IFERROR((D655-C655/100)*10000,"")</f>
        <v/>
      </c>
    </row>
    <row r="656">
      <c r="A656" s="23">
        <f>IFERROR(INDEX($R$23:$R$823,ROW()-22),"")</f>
        <v/>
      </c>
      <c r="B656">
        <f>IFERROR(INDEX($S$23:$S$823,ROW()-22),"")</f>
        <v/>
      </c>
      <c r="C656">
        <f>IFERROR(INDEX($W$23:$W$823,ROW()-22),"")</f>
        <v/>
      </c>
      <c r="D656" s="24">
        <f>IFERROR(1/B656,"")</f>
        <v/>
      </c>
      <c r="E656" s="25">
        <f>IFERROR((D656-C656/100)*10000,"")</f>
        <v/>
      </c>
    </row>
    <row r="657">
      <c r="A657" s="23">
        <f>IFERROR(INDEX($R$23:$R$823,ROW()-22),"")</f>
        <v/>
      </c>
      <c r="B657">
        <f>IFERROR(INDEX($S$23:$S$823,ROW()-22),"")</f>
        <v/>
      </c>
      <c r="C657">
        <f>IFERROR(INDEX($W$23:$W$823,ROW()-22),"")</f>
        <v/>
      </c>
      <c r="D657" s="24">
        <f>IFERROR(1/B657,"")</f>
        <v/>
      </c>
      <c r="E657" s="25">
        <f>IFERROR((D657-C657/100)*10000,"")</f>
        <v/>
      </c>
    </row>
    <row r="658">
      <c r="A658" s="23">
        <f>IFERROR(INDEX($R$23:$R$823,ROW()-22),"")</f>
        <v/>
      </c>
      <c r="B658">
        <f>IFERROR(INDEX($S$23:$S$823,ROW()-22),"")</f>
        <v/>
      </c>
      <c r="C658">
        <f>IFERROR(INDEX($W$23:$W$823,ROW()-22),"")</f>
        <v/>
      </c>
      <c r="D658" s="24">
        <f>IFERROR(1/B658,"")</f>
        <v/>
      </c>
      <c r="E658" s="25">
        <f>IFERROR((D658-C658/100)*10000,"")</f>
        <v/>
      </c>
    </row>
    <row r="659">
      <c r="A659" s="23">
        <f>IFERROR(INDEX($R$23:$R$823,ROW()-22),"")</f>
        <v/>
      </c>
      <c r="B659">
        <f>IFERROR(INDEX($S$23:$S$823,ROW()-22),"")</f>
        <v/>
      </c>
      <c r="C659">
        <f>IFERROR(INDEX($W$23:$W$823,ROW()-22),"")</f>
        <v/>
      </c>
      <c r="D659" s="24">
        <f>IFERROR(1/B659,"")</f>
        <v/>
      </c>
      <c r="E659" s="25">
        <f>IFERROR((D659-C659/100)*10000,"")</f>
        <v/>
      </c>
    </row>
    <row r="660">
      <c r="A660" s="23">
        <f>IFERROR(INDEX($R$23:$R$823,ROW()-22),"")</f>
        <v/>
      </c>
      <c r="B660">
        <f>IFERROR(INDEX($S$23:$S$823,ROW()-22),"")</f>
        <v/>
      </c>
      <c r="C660">
        <f>IFERROR(INDEX($W$23:$W$823,ROW()-22),"")</f>
        <v/>
      </c>
      <c r="D660" s="24">
        <f>IFERROR(1/B660,"")</f>
        <v/>
      </c>
      <c r="E660" s="25">
        <f>IFERROR((D660-C660/100)*10000,"")</f>
        <v/>
      </c>
    </row>
    <row r="661">
      <c r="A661" s="23">
        <f>IFERROR(INDEX($R$23:$R$823,ROW()-22),"")</f>
        <v/>
      </c>
      <c r="B661">
        <f>IFERROR(INDEX($S$23:$S$823,ROW()-22),"")</f>
        <v/>
      </c>
      <c r="C661">
        <f>IFERROR(INDEX($W$23:$W$823,ROW()-22),"")</f>
        <v/>
      </c>
      <c r="D661" s="24">
        <f>IFERROR(1/B661,"")</f>
        <v/>
      </c>
      <c r="E661" s="25">
        <f>IFERROR((D661-C661/100)*10000,"")</f>
        <v/>
      </c>
    </row>
    <row r="662">
      <c r="A662" s="23">
        <f>IFERROR(INDEX($R$23:$R$823,ROW()-22),"")</f>
        <v/>
      </c>
      <c r="B662">
        <f>IFERROR(INDEX($S$23:$S$823,ROW()-22),"")</f>
        <v/>
      </c>
      <c r="C662">
        <f>IFERROR(INDEX($W$23:$W$823,ROW()-22),"")</f>
        <v/>
      </c>
      <c r="D662" s="24">
        <f>IFERROR(1/B662,"")</f>
        <v/>
      </c>
      <c r="E662" s="25">
        <f>IFERROR((D662-C662/100)*10000,"")</f>
        <v/>
      </c>
    </row>
    <row r="663">
      <c r="A663" s="23">
        <f>IFERROR(INDEX($R$23:$R$823,ROW()-22),"")</f>
        <v/>
      </c>
      <c r="B663">
        <f>IFERROR(INDEX($S$23:$S$823,ROW()-22),"")</f>
        <v/>
      </c>
      <c r="C663">
        <f>IFERROR(INDEX($W$23:$W$823,ROW()-22),"")</f>
        <v/>
      </c>
      <c r="D663" s="24">
        <f>IFERROR(1/B663,"")</f>
        <v/>
      </c>
      <c r="E663" s="25">
        <f>IFERROR((D663-C663/100)*10000,"")</f>
        <v/>
      </c>
    </row>
    <row r="664">
      <c r="A664" s="23">
        <f>IFERROR(INDEX($R$23:$R$823,ROW()-22),"")</f>
        <v/>
      </c>
      <c r="B664">
        <f>IFERROR(INDEX($S$23:$S$823,ROW()-22),"")</f>
        <v/>
      </c>
      <c r="C664">
        <f>IFERROR(INDEX($W$23:$W$823,ROW()-22),"")</f>
        <v/>
      </c>
      <c r="D664" s="24">
        <f>IFERROR(1/B664,"")</f>
        <v/>
      </c>
      <c r="E664" s="25">
        <f>IFERROR((D664-C664/100)*10000,"")</f>
        <v/>
      </c>
    </row>
    <row r="665">
      <c r="A665" s="23">
        <f>IFERROR(INDEX($R$23:$R$823,ROW()-22),"")</f>
        <v/>
      </c>
      <c r="B665">
        <f>IFERROR(INDEX($S$23:$S$823,ROW()-22),"")</f>
        <v/>
      </c>
      <c r="C665">
        <f>IFERROR(INDEX($W$23:$W$823,ROW()-22),"")</f>
        <v/>
      </c>
      <c r="D665" s="24">
        <f>IFERROR(1/B665,"")</f>
        <v/>
      </c>
      <c r="E665" s="25">
        <f>IFERROR((D665-C665/100)*10000,"")</f>
        <v/>
      </c>
    </row>
    <row r="666">
      <c r="A666" s="23">
        <f>IFERROR(INDEX($R$23:$R$823,ROW()-22),"")</f>
        <v/>
      </c>
      <c r="B666">
        <f>IFERROR(INDEX($S$23:$S$823,ROW()-22),"")</f>
        <v/>
      </c>
      <c r="C666">
        <f>IFERROR(INDEX($W$23:$W$823,ROW()-22),"")</f>
        <v/>
      </c>
      <c r="D666" s="24">
        <f>IFERROR(1/B666,"")</f>
        <v/>
      </c>
      <c r="E666" s="25">
        <f>IFERROR((D666-C666/100)*10000,"")</f>
        <v/>
      </c>
    </row>
    <row r="667">
      <c r="A667" s="23">
        <f>IFERROR(INDEX($R$23:$R$823,ROW()-22),"")</f>
        <v/>
      </c>
      <c r="B667">
        <f>IFERROR(INDEX($S$23:$S$823,ROW()-22),"")</f>
        <v/>
      </c>
      <c r="C667">
        <f>IFERROR(INDEX($W$23:$W$823,ROW()-22),"")</f>
        <v/>
      </c>
      <c r="D667" s="24">
        <f>IFERROR(1/B667,"")</f>
        <v/>
      </c>
      <c r="E667" s="25">
        <f>IFERROR((D667-C667/100)*10000,"")</f>
        <v/>
      </c>
    </row>
    <row r="668">
      <c r="A668" s="23">
        <f>IFERROR(INDEX($R$23:$R$823,ROW()-22),"")</f>
        <v/>
      </c>
      <c r="B668">
        <f>IFERROR(INDEX($S$23:$S$823,ROW()-22),"")</f>
        <v/>
      </c>
      <c r="C668">
        <f>IFERROR(INDEX($W$23:$W$823,ROW()-22),"")</f>
        <v/>
      </c>
      <c r="D668" s="24">
        <f>IFERROR(1/B668,"")</f>
        <v/>
      </c>
      <c r="E668" s="25">
        <f>IFERROR((D668-C668/100)*10000,"")</f>
        <v/>
      </c>
    </row>
    <row r="669">
      <c r="A669" s="23">
        <f>IFERROR(INDEX($R$23:$R$823,ROW()-22),"")</f>
        <v/>
      </c>
      <c r="B669">
        <f>IFERROR(INDEX($S$23:$S$823,ROW()-22),"")</f>
        <v/>
      </c>
      <c r="C669">
        <f>IFERROR(INDEX($W$23:$W$823,ROW()-22),"")</f>
        <v/>
      </c>
      <c r="D669" s="24">
        <f>IFERROR(1/B669,"")</f>
        <v/>
      </c>
      <c r="E669" s="25">
        <f>IFERROR((D669-C669/100)*10000,"")</f>
        <v/>
      </c>
    </row>
    <row r="670">
      <c r="A670" s="23">
        <f>IFERROR(INDEX($R$23:$R$823,ROW()-22),"")</f>
        <v/>
      </c>
      <c r="B670">
        <f>IFERROR(INDEX($S$23:$S$823,ROW()-22),"")</f>
        <v/>
      </c>
      <c r="C670">
        <f>IFERROR(INDEX($W$23:$W$823,ROW()-22),"")</f>
        <v/>
      </c>
      <c r="D670" s="24">
        <f>IFERROR(1/B670,"")</f>
        <v/>
      </c>
      <c r="E670" s="25">
        <f>IFERROR((D670-C670/100)*10000,"")</f>
        <v/>
      </c>
    </row>
    <row r="671">
      <c r="A671" s="23">
        <f>IFERROR(INDEX($R$23:$R$823,ROW()-22),"")</f>
        <v/>
      </c>
      <c r="B671">
        <f>IFERROR(INDEX($S$23:$S$823,ROW()-22),"")</f>
        <v/>
      </c>
      <c r="C671">
        <f>IFERROR(INDEX($W$23:$W$823,ROW()-22),"")</f>
        <v/>
      </c>
      <c r="D671" s="24">
        <f>IFERROR(1/B671,"")</f>
        <v/>
      </c>
      <c r="E671" s="25">
        <f>IFERROR((D671-C671/100)*10000,"")</f>
        <v/>
      </c>
    </row>
    <row r="672">
      <c r="A672" s="23">
        <f>IFERROR(INDEX($R$23:$R$823,ROW()-22),"")</f>
        <v/>
      </c>
      <c r="B672">
        <f>IFERROR(INDEX($S$23:$S$823,ROW()-22),"")</f>
        <v/>
      </c>
      <c r="C672">
        <f>IFERROR(INDEX($W$23:$W$823,ROW()-22),"")</f>
        <v/>
      </c>
      <c r="D672" s="24">
        <f>IFERROR(1/B672,"")</f>
        <v/>
      </c>
      <c r="E672" s="25">
        <f>IFERROR((D672-C672/100)*10000,"")</f>
        <v/>
      </c>
    </row>
    <row r="673">
      <c r="A673" s="23">
        <f>IFERROR(INDEX($R$23:$R$823,ROW()-22),"")</f>
        <v/>
      </c>
      <c r="B673">
        <f>IFERROR(INDEX($S$23:$S$823,ROW()-22),"")</f>
        <v/>
      </c>
      <c r="C673">
        <f>IFERROR(INDEX($W$23:$W$823,ROW()-22),"")</f>
        <v/>
      </c>
      <c r="D673" s="24">
        <f>IFERROR(1/B673,"")</f>
        <v/>
      </c>
      <c r="E673" s="25">
        <f>IFERROR((D673-C673/100)*10000,"")</f>
        <v/>
      </c>
    </row>
    <row r="674">
      <c r="A674" s="23">
        <f>IFERROR(INDEX($R$23:$R$823,ROW()-22),"")</f>
        <v/>
      </c>
      <c r="B674">
        <f>IFERROR(INDEX($S$23:$S$823,ROW()-22),"")</f>
        <v/>
      </c>
      <c r="C674">
        <f>IFERROR(INDEX($W$23:$W$823,ROW()-22),"")</f>
        <v/>
      </c>
      <c r="D674" s="24">
        <f>IFERROR(1/B674,"")</f>
        <v/>
      </c>
      <c r="E674" s="25">
        <f>IFERROR((D674-C674/100)*10000,"")</f>
        <v/>
      </c>
    </row>
    <row r="675">
      <c r="A675" s="23">
        <f>IFERROR(INDEX($R$23:$R$823,ROW()-22),"")</f>
        <v/>
      </c>
      <c r="B675">
        <f>IFERROR(INDEX($S$23:$S$823,ROW()-22),"")</f>
        <v/>
      </c>
      <c r="C675">
        <f>IFERROR(INDEX($W$23:$W$823,ROW()-22),"")</f>
        <v/>
      </c>
      <c r="D675" s="24">
        <f>IFERROR(1/B675,"")</f>
        <v/>
      </c>
      <c r="E675" s="25">
        <f>IFERROR((D675-C675/100)*10000,"")</f>
        <v/>
      </c>
    </row>
    <row r="676">
      <c r="A676" s="23">
        <f>IFERROR(INDEX($R$23:$R$823,ROW()-22),"")</f>
        <v/>
      </c>
      <c r="B676">
        <f>IFERROR(INDEX($S$23:$S$823,ROW()-22),"")</f>
        <v/>
      </c>
      <c r="C676">
        <f>IFERROR(INDEX($W$23:$W$823,ROW()-22),"")</f>
        <v/>
      </c>
      <c r="D676" s="24">
        <f>IFERROR(1/B676,"")</f>
        <v/>
      </c>
      <c r="E676" s="25">
        <f>IFERROR((D676-C676/100)*10000,"")</f>
        <v/>
      </c>
    </row>
    <row r="677">
      <c r="A677" s="23">
        <f>IFERROR(INDEX($R$23:$R$823,ROW()-22),"")</f>
        <v/>
      </c>
      <c r="B677">
        <f>IFERROR(INDEX($S$23:$S$823,ROW()-22),"")</f>
        <v/>
      </c>
      <c r="C677">
        <f>IFERROR(INDEX($W$23:$W$823,ROW()-22),"")</f>
        <v/>
      </c>
      <c r="D677" s="24">
        <f>IFERROR(1/B677,"")</f>
        <v/>
      </c>
      <c r="E677" s="25">
        <f>IFERROR((D677-C677/100)*10000,"")</f>
        <v/>
      </c>
    </row>
    <row r="678">
      <c r="A678" s="23">
        <f>IFERROR(INDEX($R$23:$R$823,ROW()-22),"")</f>
        <v/>
      </c>
      <c r="B678">
        <f>IFERROR(INDEX($S$23:$S$823,ROW()-22),"")</f>
        <v/>
      </c>
      <c r="C678">
        <f>IFERROR(INDEX($W$23:$W$823,ROW()-22),"")</f>
        <v/>
      </c>
      <c r="D678" s="24">
        <f>IFERROR(1/B678,"")</f>
        <v/>
      </c>
      <c r="E678" s="25">
        <f>IFERROR((D678-C678/100)*10000,"")</f>
        <v/>
      </c>
    </row>
    <row r="679">
      <c r="A679" s="23">
        <f>IFERROR(INDEX($R$23:$R$823,ROW()-22),"")</f>
        <v/>
      </c>
      <c r="B679">
        <f>IFERROR(INDEX($S$23:$S$823,ROW()-22),"")</f>
        <v/>
      </c>
      <c r="C679">
        <f>IFERROR(INDEX($W$23:$W$823,ROW()-22),"")</f>
        <v/>
      </c>
      <c r="D679" s="24">
        <f>IFERROR(1/B679,"")</f>
        <v/>
      </c>
      <c r="E679" s="25">
        <f>IFERROR((D679-C679/100)*10000,"")</f>
        <v/>
      </c>
    </row>
    <row r="680">
      <c r="A680" s="23">
        <f>IFERROR(INDEX($R$23:$R$823,ROW()-22),"")</f>
        <v/>
      </c>
      <c r="B680">
        <f>IFERROR(INDEX($S$23:$S$823,ROW()-22),"")</f>
        <v/>
      </c>
      <c r="C680">
        <f>IFERROR(INDEX($W$23:$W$823,ROW()-22),"")</f>
        <v/>
      </c>
      <c r="D680" s="24">
        <f>IFERROR(1/B680,"")</f>
        <v/>
      </c>
      <c r="E680" s="25">
        <f>IFERROR((D680-C680/100)*10000,"")</f>
        <v/>
      </c>
    </row>
    <row r="681">
      <c r="A681" s="23">
        <f>IFERROR(INDEX($R$23:$R$823,ROW()-22),"")</f>
        <v/>
      </c>
      <c r="B681">
        <f>IFERROR(INDEX($S$23:$S$823,ROW()-22),"")</f>
        <v/>
      </c>
      <c r="C681">
        <f>IFERROR(INDEX($W$23:$W$823,ROW()-22),"")</f>
        <v/>
      </c>
      <c r="D681" s="24">
        <f>IFERROR(1/B681,"")</f>
        <v/>
      </c>
      <c r="E681" s="25">
        <f>IFERROR((D681-C681/100)*10000,"")</f>
        <v/>
      </c>
    </row>
    <row r="682">
      <c r="A682" s="23">
        <f>IFERROR(INDEX($R$23:$R$823,ROW()-22),"")</f>
        <v/>
      </c>
      <c r="B682">
        <f>IFERROR(INDEX($S$23:$S$823,ROW()-22),"")</f>
        <v/>
      </c>
      <c r="C682">
        <f>IFERROR(INDEX($W$23:$W$823,ROW()-22),"")</f>
        <v/>
      </c>
      <c r="D682" s="24">
        <f>IFERROR(1/B682,"")</f>
        <v/>
      </c>
      <c r="E682" s="25">
        <f>IFERROR((D682-C682/100)*10000,"")</f>
        <v/>
      </c>
    </row>
    <row r="683">
      <c r="A683" s="23">
        <f>IFERROR(INDEX($R$23:$R$823,ROW()-22),"")</f>
        <v/>
      </c>
      <c r="B683">
        <f>IFERROR(INDEX($S$23:$S$823,ROW()-22),"")</f>
        <v/>
      </c>
      <c r="C683">
        <f>IFERROR(INDEX($W$23:$W$823,ROW()-22),"")</f>
        <v/>
      </c>
      <c r="D683" s="24">
        <f>IFERROR(1/B683,"")</f>
        <v/>
      </c>
      <c r="E683" s="25">
        <f>IFERROR((D683-C683/100)*10000,"")</f>
        <v/>
      </c>
    </row>
    <row r="684">
      <c r="A684" s="23">
        <f>IFERROR(INDEX($R$23:$R$823,ROW()-22),"")</f>
        <v/>
      </c>
      <c r="B684">
        <f>IFERROR(INDEX($S$23:$S$823,ROW()-22),"")</f>
        <v/>
      </c>
      <c r="C684">
        <f>IFERROR(INDEX($W$23:$W$823,ROW()-22),"")</f>
        <v/>
      </c>
      <c r="D684" s="24">
        <f>IFERROR(1/B684,"")</f>
        <v/>
      </c>
      <c r="E684" s="25">
        <f>IFERROR((D684-C684/100)*10000,"")</f>
        <v/>
      </c>
    </row>
    <row r="685">
      <c r="A685" s="23">
        <f>IFERROR(INDEX($R$23:$R$823,ROW()-22),"")</f>
        <v/>
      </c>
      <c r="B685">
        <f>IFERROR(INDEX($S$23:$S$823,ROW()-22),"")</f>
        <v/>
      </c>
      <c r="C685">
        <f>IFERROR(INDEX($W$23:$W$823,ROW()-22),"")</f>
        <v/>
      </c>
      <c r="D685" s="24">
        <f>IFERROR(1/B685,"")</f>
        <v/>
      </c>
      <c r="E685" s="25">
        <f>IFERROR((D685-C685/100)*10000,"")</f>
        <v/>
      </c>
    </row>
    <row r="686">
      <c r="A686" s="23">
        <f>IFERROR(INDEX($R$23:$R$823,ROW()-22),"")</f>
        <v/>
      </c>
      <c r="B686">
        <f>IFERROR(INDEX($S$23:$S$823,ROW()-22),"")</f>
        <v/>
      </c>
      <c r="C686">
        <f>IFERROR(INDEX($W$23:$W$823,ROW()-22),"")</f>
        <v/>
      </c>
      <c r="D686" s="24">
        <f>IFERROR(1/B686,"")</f>
        <v/>
      </c>
      <c r="E686" s="25">
        <f>IFERROR((D686-C686/100)*10000,"")</f>
        <v/>
      </c>
    </row>
    <row r="687">
      <c r="A687" s="23">
        <f>IFERROR(INDEX($R$23:$R$823,ROW()-22),"")</f>
        <v/>
      </c>
      <c r="B687">
        <f>IFERROR(INDEX($S$23:$S$823,ROW()-22),"")</f>
        <v/>
      </c>
      <c r="C687">
        <f>IFERROR(INDEX($W$23:$W$823,ROW()-22),"")</f>
        <v/>
      </c>
      <c r="D687" s="24">
        <f>IFERROR(1/B687,"")</f>
        <v/>
      </c>
      <c r="E687" s="25">
        <f>IFERROR((D687-C687/100)*10000,"")</f>
        <v/>
      </c>
    </row>
    <row r="688">
      <c r="A688" s="23">
        <f>IFERROR(INDEX($R$23:$R$823,ROW()-22),"")</f>
        <v/>
      </c>
      <c r="B688">
        <f>IFERROR(INDEX($S$23:$S$823,ROW()-22),"")</f>
        <v/>
      </c>
      <c r="C688">
        <f>IFERROR(INDEX($W$23:$W$823,ROW()-22),"")</f>
        <v/>
      </c>
      <c r="D688" s="24">
        <f>IFERROR(1/B688,"")</f>
        <v/>
      </c>
      <c r="E688" s="25">
        <f>IFERROR((D688-C688/100)*10000,"")</f>
        <v/>
      </c>
    </row>
    <row r="689">
      <c r="A689" s="23">
        <f>IFERROR(INDEX($R$23:$R$823,ROW()-22),"")</f>
        <v/>
      </c>
      <c r="B689">
        <f>IFERROR(INDEX($S$23:$S$823,ROW()-22),"")</f>
        <v/>
      </c>
      <c r="C689">
        <f>IFERROR(INDEX($W$23:$W$823,ROW()-22),"")</f>
        <v/>
      </c>
      <c r="D689" s="24">
        <f>IFERROR(1/B689,"")</f>
        <v/>
      </c>
      <c r="E689" s="25">
        <f>IFERROR((D689-C689/100)*10000,"")</f>
        <v/>
      </c>
    </row>
    <row r="690">
      <c r="A690" s="23">
        <f>IFERROR(INDEX($R$23:$R$823,ROW()-22),"")</f>
        <v/>
      </c>
      <c r="B690">
        <f>IFERROR(INDEX($S$23:$S$823,ROW()-22),"")</f>
        <v/>
      </c>
      <c r="C690">
        <f>IFERROR(INDEX($W$23:$W$823,ROW()-22),"")</f>
        <v/>
      </c>
      <c r="D690" s="24">
        <f>IFERROR(1/B690,"")</f>
        <v/>
      </c>
      <c r="E690" s="25">
        <f>IFERROR((D690-C690/100)*10000,"")</f>
        <v/>
      </c>
    </row>
    <row r="691">
      <c r="A691" s="23">
        <f>IFERROR(INDEX($R$23:$R$823,ROW()-22),"")</f>
        <v/>
      </c>
      <c r="B691">
        <f>IFERROR(INDEX($S$23:$S$823,ROW()-22),"")</f>
        <v/>
      </c>
      <c r="C691">
        <f>IFERROR(INDEX($W$23:$W$823,ROW()-22),"")</f>
        <v/>
      </c>
      <c r="D691" s="24">
        <f>IFERROR(1/B691,"")</f>
        <v/>
      </c>
      <c r="E691" s="25">
        <f>IFERROR((D691-C691/100)*10000,"")</f>
        <v/>
      </c>
    </row>
    <row r="692">
      <c r="A692" s="23">
        <f>IFERROR(INDEX($R$23:$R$823,ROW()-22),"")</f>
        <v/>
      </c>
      <c r="B692">
        <f>IFERROR(INDEX($S$23:$S$823,ROW()-22),"")</f>
        <v/>
      </c>
      <c r="C692">
        <f>IFERROR(INDEX($W$23:$W$823,ROW()-22),"")</f>
        <v/>
      </c>
      <c r="D692" s="24">
        <f>IFERROR(1/B692,"")</f>
        <v/>
      </c>
      <c r="E692" s="25">
        <f>IFERROR((D692-C692/100)*10000,"")</f>
        <v/>
      </c>
    </row>
    <row r="693">
      <c r="A693" s="23">
        <f>IFERROR(INDEX($R$23:$R$823,ROW()-22),"")</f>
        <v/>
      </c>
      <c r="B693">
        <f>IFERROR(INDEX($S$23:$S$823,ROW()-22),"")</f>
        <v/>
      </c>
      <c r="C693">
        <f>IFERROR(INDEX($W$23:$W$823,ROW()-22),"")</f>
        <v/>
      </c>
      <c r="D693" s="24">
        <f>IFERROR(1/B693,"")</f>
        <v/>
      </c>
      <c r="E693" s="25">
        <f>IFERROR((D693-C693/100)*10000,"")</f>
        <v/>
      </c>
    </row>
    <row r="694">
      <c r="A694" s="23">
        <f>IFERROR(INDEX($R$23:$R$823,ROW()-22),"")</f>
        <v/>
      </c>
      <c r="B694">
        <f>IFERROR(INDEX($S$23:$S$823,ROW()-22),"")</f>
        <v/>
      </c>
      <c r="C694">
        <f>IFERROR(INDEX($W$23:$W$823,ROW()-22),"")</f>
        <v/>
      </c>
      <c r="D694" s="24">
        <f>IFERROR(1/B694,"")</f>
        <v/>
      </c>
      <c r="E694" s="25">
        <f>IFERROR((D694-C694/100)*10000,"")</f>
        <v/>
      </c>
    </row>
    <row r="695">
      <c r="A695" s="23">
        <f>IFERROR(INDEX($R$23:$R$823,ROW()-22),"")</f>
        <v/>
      </c>
      <c r="B695">
        <f>IFERROR(INDEX($S$23:$S$823,ROW()-22),"")</f>
        <v/>
      </c>
      <c r="C695">
        <f>IFERROR(INDEX($W$23:$W$823,ROW()-22),"")</f>
        <v/>
      </c>
      <c r="D695" s="24">
        <f>IFERROR(1/B695,"")</f>
        <v/>
      </c>
      <c r="E695" s="25">
        <f>IFERROR((D695-C695/100)*10000,"")</f>
        <v/>
      </c>
    </row>
    <row r="696">
      <c r="A696" s="23">
        <f>IFERROR(INDEX($R$23:$R$823,ROW()-22),"")</f>
        <v/>
      </c>
      <c r="B696">
        <f>IFERROR(INDEX($S$23:$S$823,ROW()-22),"")</f>
        <v/>
      </c>
      <c r="C696">
        <f>IFERROR(INDEX($W$23:$W$823,ROW()-22),"")</f>
        <v/>
      </c>
      <c r="D696" s="24">
        <f>IFERROR(1/B696,"")</f>
        <v/>
      </c>
      <c r="E696" s="25">
        <f>IFERROR((D696-C696/100)*10000,"")</f>
        <v/>
      </c>
    </row>
    <row r="697">
      <c r="A697" s="23">
        <f>IFERROR(INDEX($R$23:$R$823,ROW()-22),"")</f>
        <v/>
      </c>
      <c r="B697">
        <f>IFERROR(INDEX($S$23:$S$823,ROW()-22),"")</f>
        <v/>
      </c>
      <c r="C697">
        <f>IFERROR(INDEX($W$23:$W$823,ROW()-22),"")</f>
        <v/>
      </c>
      <c r="D697" s="24">
        <f>IFERROR(1/B697,"")</f>
        <v/>
      </c>
      <c r="E697" s="25">
        <f>IFERROR((D697-C697/100)*10000,"")</f>
        <v/>
      </c>
    </row>
    <row r="698">
      <c r="A698" s="23">
        <f>IFERROR(INDEX($R$23:$R$823,ROW()-22),"")</f>
        <v/>
      </c>
      <c r="B698">
        <f>IFERROR(INDEX($S$23:$S$823,ROW()-22),"")</f>
        <v/>
      </c>
      <c r="C698">
        <f>IFERROR(INDEX($W$23:$W$823,ROW()-22),"")</f>
        <v/>
      </c>
      <c r="D698" s="24">
        <f>IFERROR(1/B698,"")</f>
        <v/>
      </c>
      <c r="E698" s="25">
        <f>IFERROR((D698-C698/100)*10000,"")</f>
        <v/>
      </c>
    </row>
    <row r="699">
      <c r="A699" s="23">
        <f>IFERROR(INDEX($R$23:$R$823,ROW()-22),"")</f>
        <v/>
      </c>
      <c r="B699">
        <f>IFERROR(INDEX($S$23:$S$823,ROW()-22),"")</f>
        <v/>
      </c>
      <c r="C699">
        <f>IFERROR(INDEX($W$23:$W$823,ROW()-22),"")</f>
        <v/>
      </c>
      <c r="D699" s="24">
        <f>IFERROR(1/B699,"")</f>
        <v/>
      </c>
      <c r="E699" s="25">
        <f>IFERROR((D699-C699/100)*10000,"")</f>
        <v/>
      </c>
    </row>
    <row r="700">
      <c r="A700" s="23">
        <f>IFERROR(INDEX($R$23:$R$823,ROW()-22),"")</f>
        <v/>
      </c>
      <c r="B700">
        <f>IFERROR(INDEX($S$23:$S$823,ROW()-22),"")</f>
        <v/>
      </c>
      <c r="C700">
        <f>IFERROR(INDEX($W$23:$W$823,ROW()-22),"")</f>
        <v/>
      </c>
      <c r="D700" s="24">
        <f>IFERROR(1/B700,"")</f>
        <v/>
      </c>
      <c r="E700" s="25">
        <f>IFERROR((D700-C700/100)*10000,"")</f>
        <v/>
      </c>
    </row>
    <row r="701">
      <c r="A701" s="23">
        <f>IFERROR(INDEX($R$23:$R$823,ROW()-22),"")</f>
        <v/>
      </c>
      <c r="B701">
        <f>IFERROR(INDEX($S$23:$S$823,ROW()-22),"")</f>
        <v/>
      </c>
      <c r="C701">
        <f>IFERROR(INDEX($W$23:$W$823,ROW()-22),"")</f>
        <v/>
      </c>
      <c r="D701" s="24">
        <f>IFERROR(1/B701,"")</f>
        <v/>
      </c>
      <c r="E701" s="25">
        <f>IFERROR((D701-C701/100)*10000,"")</f>
        <v/>
      </c>
    </row>
    <row r="702">
      <c r="A702" s="23">
        <f>IFERROR(INDEX($R$23:$R$823,ROW()-22),"")</f>
        <v/>
      </c>
      <c r="B702">
        <f>IFERROR(INDEX($S$23:$S$823,ROW()-22),"")</f>
        <v/>
      </c>
      <c r="C702">
        <f>IFERROR(INDEX($W$23:$W$823,ROW()-22),"")</f>
        <v/>
      </c>
      <c r="D702" s="24">
        <f>IFERROR(1/B702,"")</f>
        <v/>
      </c>
      <c r="E702" s="25">
        <f>IFERROR((D702-C702/100)*10000,"")</f>
        <v/>
      </c>
    </row>
    <row r="703">
      <c r="A703" s="23">
        <f>IFERROR(INDEX($R$23:$R$823,ROW()-22),"")</f>
        <v/>
      </c>
      <c r="B703">
        <f>IFERROR(INDEX($S$23:$S$823,ROW()-22),"")</f>
        <v/>
      </c>
      <c r="C703">
        <f>IFERROR(INDEX($W$23:$W$823,ROW()-22),"")</f>
        <v/>
      </c>
      <c r="D703" s="24">
        <f>IFERROR(1/B703,"")</f>
        <v/>
      </c>
      <c r="E703" s="25">
        <f>IFERROR((D703-C703/100)*10000,"")</f>
        <v/>
      </c>
    </row>
    <row r="704">
      <c r="A704" s="23">
        <f>IFERROR(INDEX($R$23:$R$823,ROW()-22),"")</f>
        <v/>
      </c>
      <c r="B704">
        <f>IFERROR(INDEX($S$23:$S$823,ROW()-22),"")</f>
        <v/>
      </c>
      <c r="C704">
        <f>IFERROR(INDEX($W$23:$W$823,ROW()-22),"")</f>
        <v/>
      </c>
      <c r="D704" s="24">
        <f>IFERROR(1/B704,"")</f>
        <v/>
      </c>
      <c r="E704" s="25">
        <f>IFERROR((D704-C704/100)*10000,"")</f>
        <v/>
      </c>
    </row>
    <row r="705">
      <c r="A705" s="23">
        <f>IFERROR(INDEX($R$23:$R$823,ROW()-22),"")</f>
        <v/>
      </c>
      <c r="B705">
        <f>IFERROR(INDEX($S$23:$S$823,ROW()-22),"")</f>
        <v/>
      </c>
      <c r="C705">
        <f>IFERROR(INDEX($W$23:$W$823,ROW()-22),"")</f>
        <v/>
      </c>
      <c r="D705" s="24">
        <f>IFERROR(1/B705,"")</f>
        <v/>
      </c>
      <c r="E705" s="25">
        <f>IFERROR((D705-C705/100)*10000,"")</f>
        <v/>
      </c>
    </row>
    <row r="706">
      <c r="A706" s="23">
        <f>IFERROR(INDEX($R$23:$R$823,ROW()-22),"")</f>
        <v/>
      </c>
      <c r="B706">
        <f>IFERROR(INDEX($S$23:$S$823,ROW()-22),"")</f>
        <v/>
      </c>
      <c r="C706">
        <f>IFERROR(INDEX($W$23:$W$823,ROW()-22),"")</f>
        <v/>
      </c>
      <c r="D706" s="24">
        <f>IFERROR(1/B706,"")</f>
        <v/>
      </c>
      <c r="E706" s="25">
        <f>IFERROR((D706-C706/100)*10000,"")</f>
        <v/>
      </c>
    </row>
    <row r="707">
      <c r="A707" s="23">
        <f>IFERROR(INDEX($R$23:$R$823,ROW()-22),"")</f>
        <v/>
      </c>
      <c r="B707">
        <f>IFERROR(INDEX($S$23:$S$823,ROW()-22),"")</f>
        <v/>
      </c>
      <c r="C707">
        <f>IFERROR(INDEX($W$23:$W$823,ROW()-22),"")</f>
        <v/>
      </c>
      <c r="D707" s="24">
        <f>IFERROR(1/B707,"")</f>
        <v/>
      </c>
      <c r="E707" s="25">
        <f>IFERROR((D707-C707/100)*10000,"")</f>
        <v/>
      </c>
    </row>
    <row r="708">
      <c r="A708" s="23">
        <f>IFERROR(INDEX($R$23:$R$823,ROW()-22),"")</f>
        <v/>
      </c>
      <c r="B708">
        <f>IFERROR(INDEX($S$23:$S$823,ROW()-22),"")</f>
        <v/>
      </c>
      <c r="C708">
        <f>IFERROR(INDEX($W$23:$W$823,ROW()-22),"")</f>
        <v/>
      </c>
      <c r="D708" s="24">
        <f>IFERROR(1/B708,"")</f>
        <v/>
      </c>
      <c r="E708" s="25">
        <f>IFERROR((D708-C708/100)*10000,"")</f>
        <v/>
      </c>
    </row>
    <row r="709">
      <c r="A709" s="23">
        <f>IFERROR(INDEX($R$23:$R$823,ROW()-22),"")</f>
        <v/>
      </c>
      <c r="B709">
        <f>IFERROR(INDEX($S$23:$S$823,ROW()-22),"")</f>
        <v/>
      </c>
      <c r="C709">
        <f>IFERROR(INDEX($W$23:$W$823,ROW()-22),"")</f>
        <v/>
      </c>
      <c r="D709" s="24">
        <f>IFERROR(1/B709,"")</f>
        <v/>
      </c>
      <c r="E709" s="25">
        <f>IFERROR((D709-C709/100)*10000,"")</f>
        <v/>
      </c>
    </row>
    <row r="710">
      <c r="A710" s="23">
        <f>IFERROR(INDEX($R$23:$R$823,ROW()-22),"")</f>
        <v/>
      </c>
      <c r="B710">
        <f>IFERROR(INDEX($S$23:$S$823,ROW()-22),"")</f>
        <v/>
      </c>
      <c r="C710">
        <f>IFERROR(INDEX($W$23:$W$823,ROW()-22),"")</f>
        <v/>
      </c>
      <c r="D710" s="24">
        <f>IFERROR(1/B710,"")</f>
        <v/>
      </c>
      <c r="E710" s="25">
        <f>IFERROR((D710-C710/100)*10000,"")</f>
        <v/>
      </c>
    </row>
    <row r="711">
      <c r="A711" s="23">
        <f>IFERROR(INDEX($R$23:$R$823,ROW()-22),"")</f>
        <v/>
      </c>
      <c r="B711">
        <f>IFERROR(INDEX($S$23:$S$823,ROW()-22),"")</f>
        <v/>
      </c>
      <c r="C711">
        <f>IFERROR(INDEX($W$23:$W$823,ROW()-22),"")</f>
        <v/>
      </c>
      <c r="D711" s="24">
        <f>IFERROR(1/B711,"")</f>
        <v/>
      </c>
      <c r="E711" s="25">
        <f>IFERROR((D711-C711/100)*10000,"")</f>
        <v/>
      </c>
    </row>
    <row r="712">
      <c r="A712" s="23">
        <f>IFERROR(INDEX($R$23:$R$823,ROW()-22),"")</f>
        <v/>
      </c>
      <c r="B712">
        <f>IFERROR(INDEX($S$23:$S$823,ROW()-22),"")</f>
        <v/>
      </c>
      <c r="C712">
        <f>IFERROR(INDEX($W$23:$W$823,ROW()-22),"")</f>
        <v/>
      </c>
      <c r="D712" s="24">
        <f>IFERROR(1/B712,"")</f>
        <v/>
      </c>
      <c r="E712" s="25">
        <f>IFERROR((D712-C712/100)*10000,"")</f>
        <v/>
      </c>
    </row>
    <row r="713">
      <c r="A713" s="23">
        <f>IFERROR(INDEX($R$23:$R$823,ROW()-22),"")</f>
        <v/>
      </c>
      <c r="B713">
        <f>IFERROR(INDEX($S$23:$S$823,ROW()-22),"")</f>
        <v/>
      </c>
      <c r="C713">
        <f>IFERROR(INDEX($W$23:$W$823,ROW()-22),"")</f>
        <v/>
      </c>
      <c r="D713" s="24">
        <f>IFERROR(1/B713,"")</f>
        <v/>
      </c>
      <c r="E713" s="25">
        <f>IFERROR((D713-C713/100)*10000,"")</f>
        <v/>
      </c>
    </row>
    <row r="714">
      <c r="A714" s="23">
        <f>IFERROR(INDEX($R$23:$R$823,ROW()-22),"")</f>
        <v/>
      </c>
      <c r="B714">
        <f>IFERROR(INDEX($S$23:$S$823,ROW()-22),"")</f>
        <v/>
      </c>
      <c r="C714">
        <f>IFERROR(INDEX($W$23:$W$823,ROW()-22),"")</f>
        <v/>
      </c>
      <c r="D714" s="24">
        <f>IFERROR(1/B714,"")</f>
        <v/>
      </c>
      <c r="E714" s="25">
        <f>IFERROR((D714-C714/100)*10000,"")</f>
        <v/>
      </c>
    </row>
    <row r="715">
      <c r="A715" s="23">
        <f>IFERROR(INDEX($R$23:$R$823,ROW()-22),"")</f>
        <v/>
      </c>
      <c r="B715">
        <f>IFERROR(INDEX($S$23:$S$823,ROW()-22),"")</f>
        <v/>
      </c>
      <c r="C715">
        <f>IFERROR(INDEX($W$23:$W$823,ROW()-22),"")</f>
        <v/>
      </c>
      <c r="D715" s="24">
        <f>IFERROR(1/B715,"")</f>
        <v/>
      </c>
      <c r="E715" s="25">
        <f>IFERROR((D715-C715/100)*10000,"")</f>
        <v/>
      </c>
    </row>
    <row r="716">
      <c r="A716" s="23">
        <f>IFERROR(INDEX($R$23:$R$823,ROW()-22),"")</f>
        <v/>
      </c>
      <c r="B716">
        <f>IFERROR(INDEX($S$23:$S$823,ROW()-22),"")</f>
        <v/>
      </c>
      <c r="C716">
        <f>IFERROR(INDEX($W$23:$W$823,ROW()-22),"")</f>
        <v/>
      </c>
      <c r="D716" s="24">
        <f>IFERROR(1/B716,"")</f>
        <v/>
      </c>
      <c r="E716" s="25">
        <f>IFERROR((D716-C716/100)*10000,"")</f>
        <v/>
      </c>
    </row>
    <row r="717">
      <c r="A717" s="23">
        <f>IFERROR(INDEX($R$23:$R$823,ROW()-22),"")</f>
        <v/>
      </c>
      <c r="B717">
        <f>IFERROR(INDEX($S$23:$S$823,ROW()-22),"")</f>
        <v/>
      </c>
      <c r="C717">
        <f>IFERROR(INDEX($W$23:$W$823,ROW()-22),"")</f>
        <v/>
      </c>
      <c r="D717" s="24">
        <f>IFERROR(1/B717,"")</f>
        <v/>
      </c>
      <c r="E717" s="25">
        <f>IFERROR((D717-C717/100)*10000,"")</f>
        <v/>
      </c>
    </row>
    <row r="718">
      <c r="A718" s="23">
        <f>IFERROR(INDEX($R$23:$R$823,ROW()-22),"")</f>
        <v/>
      </c>
      <c r="B718">
        <f>IFERROR(INDEX($S$23:$S$823,ROW()-22),"")</f>
        <v/>
      </c>
      <c r="C718">
        <f>IFERROR(INDEX($W$23:$W$823,ROW()-22),"")</f>
        <v/>
      </c>
      <c r="D718" s="24">
        <f>IFERROR(1/B718,"")</f>
        <v/>
      </c>
      <c r="E718" s="25">
        <f>IFERROR((D718-C718/100)*10000,"")</f>
        <v/>
      </c>
    </row>
    <row r="719">
      <c r="A719" s="23">
        <f>IFERROR(INDEX($R$23:$R$823,ROW()-22),"")</f>
        <v/>
      </c>
      <c r="B719">
        <f>IFERROR(INDEX($S$23:$S$823,ROW()-22),"")</f>
        <v/>
      </c>
      <c r="C719">
        <f>IFERROR(INDEX($W$23:$W$823,ROW()-22),"")</f>
        <v/>
      </c>
      <c r="D719" s="24">
        <f>IFERROR(1/B719,"")</f>
        <v/>
      </c>
      <c r="E719" s="25">
        <f>IFERROR((D719-C719/100)*10000,"")</f>
        <v/>
      </c>
    </row>
    <row r="720">
      <c r="A720" s="23">
        <f>IFERROR(INDEX($R$23:$R$823,ROW()-22),"")</f>
        <v/>
      </c>
      <c r="B720">
        <f>IFERROR(INDEX($S$23:$S$823,ROW()-22),"")</f>
        <v/>
      </c>
      <c r="C720">
        <f>IFERROR(INDEX($W$23:$W$823,ROW()-22),"")</f>
        <v/>
      </c>
      <c r="D720" s="24">
        <f>IFERROR(1/B720,"")</f>
        <v/>
      </c>
      <c r="E720" s="25">
        <f>IFERROR((D720-C720/100)*10000,"")</f>
        <v/>
      </c>
    </row>
    <row r="721">
      <c r="A721" s="23">
        <f>IFERROR(INDEX($R$23:$R$823,ROW()-22),"")</f>
        <v/>
      </c>
      <c r="B721">
        <f>IFERROR(INDEX($S$23:$S$823,ROW()-22),"")</f>
        <v/>
      </c>
      <c r="C721">
        <f>IFERROR(INDEX($W$23:$W$823,ROW()-22),"")</f>
        <v/>
      </c>
      <c r="D721" s="24">
        <f>IFERROR(1/B721,"")</f>
        <v/>
      </c>
      <c r="E721" s="25">
        <f>IFERROR((D721-C721/100)*10000,"")</f>
        <v/>
      </c>
    </row>
    <row r="722">
      <c r="A722" s="23">
        <f>IFERROR(INDEX($R$23:$R$823,ROW()-22),"")</f>
        <v/>
      </c>
      <c r="B722">
        <f>IFERROR(INDEX($S$23:$S$823,ROW()-22),"")</f>
        <v/>
      </c>
      <c r="C722">
        <f>IFERROR(INDEX($W$23:$W$823,ROW()-22),"")</f>
        <v/>
      </c>
      <c r="D722" s="24">
        <f>IFERROR(1/B722,"")</f>
        <v/>
      </c>
      <c r="E722" s="25">
        <f>IFERROR((D722-C722/100)*10000,"")</f>
        <v/>
      </c>
    </row>
    <row r="723">
      <c r="A723" s="23">
        <f>IFERROR(INDEX($R$23:$R$823,ROW()-22),"")</f>
        <v/>
      </c>
      <c r="B723">
        <f>IFERROR(INDEX($S$23:$S$823,ROW()-22),"")</f>
        <v/>
      </c>
      <c r="C723">
        <f>IFERROR(INDEX($W$23:$W$823,ROW()-22),"")</f>
        <v/>
      </c>
      <c r="D723" s="24">
        <f>IFERROR(1/B723,"")</f>
        <v/>
      </c>
      <c r="E723" s="25">
        <f>IFERROR((D723-C723/100)*10000,"")</f>
        <v/>
      </c>
    </row>
    <row r="724">
      <c r="A724" s="23">
        <f>IFERROR(INDEX($R$23:$R$823,ROW()-22),"")</f>
        <v/>
      </c>
      <c r="B724">
        <f>IFERROR(INDEX($S$23:$S$823,ROW()-22),"")</f>
        <v/>
      </c>
      <c r="C724">
        <f>IFERROR(INDEX($W$23:$W$823,ROW()-22),"")</f>
        <v/>
      </c>
      <c r="D724" s="24">
        <f>IFERROR(1/B724,"")</f>
        <v/>
      </c>
      <c r="E724" s="25">
        <f>IFERROR((D724-C724/100)*10000,"")</f>
        <v/>
      </c>
    </row>
    <row r="725">
      <c r="A725" s="23">
        <f>IFERROR(INDEX($R$23:$R$823,ROW()-22),"")</f>
        <v/>
      </c>
      <c r="B725">
        <f>IFERROR(INDEX($S$23:$S$823,ROW()-22),"")</f>
        <v/>
      </c>
      <c r="C725">
        <f>IFERROR(INDEX($W$23:$W$823,ROW()-22),"")</f>
        <v/>
      </c>
      <c r="D725" s="24">
        <f>IFERROR(1/B725,"")</f>
        <v/>
      </c>
      <c r="E725" s="25">
        <f>IFERROR((D725-C725/100)*10000,"")</f>
        <v/>
      </c>
    </row>
    <row r="726">
      <c r="A726" s="23">
        <f>IFERROR(INDEX($R$23:$R$823,ROW()-22),"")</f>
        <v/>
      </c>
      <c r="B726">
        <f>IFERROR(INDEX($S$23:$S$823,ROW()-22),"")</f>
        <v/>
      </c>
      <c r="C726">
        <f>IFERROR(INDEX($W$23:$W$823,ROW()-22),"")</f>
        <v/>
      </c>
      <c r="D726" s="24">
        <f>IFERROR(1/B726,"")</f>
        <v/>
      </c>
      <c r="E726" s="25">
        <f>IFERROR((D726-C726/100)*10000,"")</f>
        <v/>
      </c>
    </row>
    <row r="727">
      <c r="A727" s="23">
        <f>IFERROR(INDEX($R$23:$R$823,ROW()-22),"")</f>
        <v/>
      </c>
      <c r="B727">
        <f>IFERROR(INDEX($S$23:$S$823,ROW()-22),"")</f>
        <v/>
      </c>
      <c r="C727">
        <f>IFERROR(INDEX($W$23:$W$823,ROW()-22),"")</f>
        <v/>
      </c>
      <c r="D727" s="24">
        <f>IFERROR(1/B727,"")</f>
        <v/>
      </c>
      <c r="E727" s="25">
        <f>IFERROR((D727-C727/100)*10000,"")</f>
        <v/>
      </c>
    </row>
    <row r="728">
      <c r="A728" s="23">
        <f>IFERROR(INDEX($R$23:$R$823,ROW()-22),"")</f>
        <v/>
      </c>
      <c r="B728">
        <f>IFERROR(INDEX($S$23:$S$823,ROW()-22),"")</f>
        <v/>
      </c>
      <c r="C728">
        <f>IFERROR(INDEX($W$23:$W$823,ROW()-22),"")</f>
        <v/>
      </c>
      <c r="D728" s="24">
        <f>IFERROR(1/B728,"")</f>
        <v/>
      </c>
      <c r="E728" s="25">
        <f>IFERROR((D728-C728/100)*10000,"")</f>
        <v/>
      </c>
    </row>
    <row r="729">
      <c r="A729" s="23">
        <f>IFERROR(INDEX($R$23:$R$823,ROW()-22),"")</f>
        <v/>
      </c>
      <c r="B729">
        <f>IFERROR(INDEX($S$23:$S$823,ROW()-22),"")</f>
        <v/>
      </c>
      <c r="C729">
        <f>IFERROR(INDEX($W$23:$W$823,ROW()-22),"")</f>
        <v/>
      </c>
      <c r="D729" s="24">
        <f>IFERROR(1/B729,"")</f>
        <v/>
      </c>
      <c r="E729" s="25">
        <f>IFERROR((D729-C729/100)*10000,"")</f>
        <v/>
      </c>
    </row>
    <row r="730">
      <c r="A730" s="23">
        <f>IFERROR(INDEX($R$23:$R$823,ROW()-22),"")</f>
        <v/>
      </c>
      <c r="B730">
        <f>IFERROR(INDEX($S$23:$S$823,ROW()-22),"")</f>
        <v/>
      </c>
      <c r="C730">
        <f>IFERROR(INDEX($W$23:$W$823,ROW()-22),"")</f>
        <v/>
      </c>
      <c r="D730" s="24">
        <f>IFERROR(1/B730,"")</f>
        <v/>
      </c>
      <c r="E730" s="25">
        <f>IFERROR((D730-C730/100)*10000,"")</f>
        <v/>
      </c>
    </row>
    <row r="731">
      <c r="A731" s="23">
        <f>IFERROR(INDEX($R$23:$R$823,ROW()-22),"")</f>
        <v/>
      </c>
      <c r="B731">
        <f>IFERROR(INDEX($S$23:$S$823,ROW()-22),"")</f>
        <v/>
      </c>
      <c r="C731">
        <f>IFERROR(INDEX($W$23:$W$823,ROW()-22),"")</f>
        <v/>
      </c>
      <c r="D731" s="24">
        <f>IFERROR(1/B731,"")</f>
        <v/>
      </c>
      <c r="E731" s="25">
        <f>IFERROR((D731-C731/100)*10000,"")</f>
        <v/>
      </c>
    </row>
    <row r="732">
      <c r="A732" s="23">
        <f>IFERROR(INDEX($R$23:$R$823,ROW()-22),"")</f>
        <v/>
      </c>
      <c r="B732">
        <f>IFERROR(INDEX($S$23:$S$823,ROW()-22),"")</f>
        <v/>
      </c>
      <c r="C732">
        <f>IFERROR(INDEX($W$23:$W$823,ROW()-22),"")</f>
        <v/>
      </c>
      <c r="D732" s="24">
        <f>IFERROR(1/B732,"")</f>
        <v/>
      </c>
      <c r="E732" s="25">
        <f>IFERROR((D732-C732/100)*10000,"")</f>
        <v/>
      </c>
    </row>
    <row r="733">
      <c r="A733" s="23">
        <f>IFERROR(INDEX($R$23:$R$823,ROW()-22),"")</f>
        <v/>
      </c>
      <c r="B733">
        <f>IFERROR(INDEX($S$23:$S$823,ROW()-22),"")</f>
        <v/>
      </c>
      <c r="C733">
        <f>IFERROR(INDEX($W$23:$W$823,ROW()-22),"")</f>
        <v/>
      </c>
      <c r="D733" s="24">
        <f>IFERROR(1/B733,"")</f>
        <v/>
      </c>
      <c r="E733" s="25">
        <f>IFERROR((D733-C733/100)*10000,"")</f>
        <v/>
      </c>
    </row>
    <row r="734">
      <c r="A734" s="23">
        <f>IFERROR(INDEX($R$23:$R$823,ROW()-22),"")</f>
        <v/>
      </c>
      <c r="B734">
        <f>IFERROR(INDEX($S$23:$S$823,ROW()-22),"")</f>
        <v/>
      </c>
      <c r="C734">
        <f>IFERROR(INDEX($W$23:$W$823,ROW()-22),"")</f>
        <v/>
      </c>
      <c r="D734" s="24">
        <f>IFERROR(1/B734,"")</f>
        <v/>
      </c>
      <c r="E734" s="25">
        <f>IFERROR((D734-C734/100)*10000,"")</f>
        <v/>
      </c>
    </row>
    <row r="735">
      <c r="A735" s="23">
        <f>IFERROR(INDEX($R$23:$R$823,ROW()-22),"")</f>
        <v/>
      </c>
      <c r="B735">
        <f>IFERROR(INDEX($S$23:$S$823,ROW()-22),"")</f>
        <v/>
      </c>
      <c r="C735">
        <f>IFERROR(INDEX($W$23:$W$823,ROW()-22),"")</f>
        <v/>
      </c>
      <c r="D735" s="24">
        <f>IFERROR(1/B735,"")</f>
        <v/>
      </c>
      <c r="E735" s="25">
        <f>IFERROR((D735-C735/100)*10000,"")</f>
        <v/>
      </c>
    </row>
    <row r="736">
      <c r="A736" s="23">
        <f>IFERROR(INDEX($R$23:$R$823,ROW()-22),"")</f>
        <v/>
      </c>
      <c r="B736">
        <f>IFERROR(INDEX($S$23:$S$823,ROW()-22),"")</f>
        <v/>
      </c>
      <c r="C736">
        <f>IFERROR(INDEX($W$23:$W$823,ROW()-22),"")</f>
        <v/>
      </c>
      <c r="D736" s="24">
        <f>IFERROR(1/B736,"")</f>
        <v/>
      </c>
      <c r="E736" s="25">
        <f>IFERROR((D736-C736/100)*10000,"")</f>
        <v/>
      </c>
    </row>
    <row r="737">
      <c r="A737" s="23">
        <f>IFERROR(INDEX($R$23:$R$823,ROW()-22),"")</f>
        <v/>
      </c>
      <c r="B737">
        <f>IFERROR(INDEX($S$23:$S$823,ROW()-22),"")</f>
        <v/>
      </c>
      <c r="C737">
        <f>IFERROR(INDEX($W$23:$W$823,ROW()-22),"")</f>
        <v/>
      </c>
      <c r="D737" s="24">
        <f>IFERROR(1/B737,"")</f>
        <v/>
      </c>
      <c r="E737" s="25">
        <f>IFERROR((D737-C737/100)*10000,"")</f>
        <v/>
      </c>
    </row>
    <row r="738">
      <c r="A738" s="23">
        <f>IFERROR(INDEX($R$23:$R$823,ROW()-22),"")</f>
        <v/>
      </c>
      <c r="B738">
        <f>IFERROR(INDEX($S$23:$S$823,ROW()-22),"")</f>
        <v/>
      </c>
      <c r="C738">
        <f>IFERROR(INDEX($W$23:$W$823,ROW()-22),"")</f>
        <v/>
      </c>
      <c r="D738" s="24">
        <f>IFERROR(1/B738,"")</f>
        <v/>
      </c>
      <c r="E738" s="25">
        <f>IFERROR((D738-C738/100)*10000,"")</f>
        <v/>
      </c>
    </row>
    <row r="739">
      <c r="A739" s="23">
        <f>IFERROR(INDEX($R$23:$R$823,ROW()-22),"")</f>
        <v/>
      </c>
      <c r="B739">
        <f>IFERROR(INDEX($S$23:$S$823,ROW()-22),"")</f>
        <v/>
      </c>
      <c r="C739">
        <f>IFERROR(INDEX($W$23:$W$823,ROW()-22),"")</f>
        <v/>
      </c>
      <c r="D739" s="24">
        <f>IFERROR(1/B739,"")</f>
        <v/>
      </c>
      <c r="E739" s="25">
        <f>IFERROR((D739-C739/100)*10000,"")</f>
        <v/>
      </c>
    </row>
    <row r="740">
      <c r="A740" s="23">
        <f>IFERROR(INDEX($R$23:$R$823,ROW()-22),"")</f>
        <v/>
      </c>
      <c r="B740">
        <f>IFERROR(INDEX($S$23:$S$823,ROW()-22),"")</f>
        <v/>
      </c>
      <c r="C740">
        <f>IFERROR(INDEX($W$23:$W$823,ROW()-22),"")</f>
        <v/>
      </c>
      <c r="D740" s="24">
        <f>IFERROR(1/B740,"")</f>
        <v/>
      </c>
      <c r="E740" s="25">
        <f>IFERROR((D740-C740/100)*10000,"")</f>
        <v/>
      </c>
    </row>
    <row r="741">
      <c r="A741" s="23">
        <f>IFERROR(INDEX($R$23:$R$823,ROW()-22),"")</f>
        <v/>
      </c>
      <c r="B741">
        <f>IFERROR(INDEX($S$23:$S$823,ROW()-22),"")</f>
        <v/>
      </c>
      <c r="C741">
        <f>IFERROR(INDEX($W$23:$W$823,ROW()-22),"")</f>
        <v/>
      </c>
      <c r="D741" s="24">
        <f>IFERROR(1/B741,"")</f>
        <v/>
      </c>
      <c r="E741" s="25">
        <f>IFERROR((D741-C741/100)*10000,"")</f>
        <v/>
      </c>
    </row>
    <row r="742">
      <c r="A742" s="23">
        <f>IFERROR(INDEX($R$23:$R$823,ROW()-22),"")</f>
        <v/>
      </c>
      <c r="B742">
        <f>IFERROR(INDEX($S$23:$S$823,ROW()-22),"")</f>
        <v/>
      </c>
      <c r="C742">
        <f>IFERROR(INDEX($W$23:$W$823,ROW()-22),"")</f>
        <v/>
      </c>
      <c r="D742" s="24">
        <f>IFERROR(1/B742,"")</f>
        <v/>
      </c>
      <c r="E742" s="25">
        <f>IFERROR((D742-C742/100)*10000,"")</f>
        <v/>
      </c>
    </row>
    <row r="743">
      <c r="A743" s="23">
        <f>IFERROR(INDEX($R$23:$R$823,ROW()-22),"")</f>
        <v/>
      </c>
      <c r="B743">
        <f>IFERROR(INDEX($S$23:$S$823,ROW()-22),"")</f>
        <v/>
      </c>
      <c r="C743">
        <f>IFERROR(INDEX($W$23:$W$823,ROW()-22),"")</f>
        <v/>
      </c>
      <c r="D743" s="24">
        <f>IFERROR(1/B743,"")</f>
        <v/>
      </c>
      <c r="E743" s="25">
        <f>IFERROR((D743-C743/100)*10000,"")</f>
        <v/>
      </c>
    </row>
    <row r="744">
      <c r="A744" s="23">
        <f>IFERROR(INDEX($R$23:$R$823,ROW()-22),"")</f>
        <v/>
      </c>
      <c r="B744">
        <f>IFERROR(INDEX($S$23:$S$823,ROW()-22),"")</f>
        <v/>
      </c>
      <c r="C744">
        <f>IFERROR(INDEX($W$23:$W$823,ROW()-22),"")</f>
        <v/>
      </c>
      <c r="D744" s="24">
        <f>IFERROR(1/B744,"")</f>
        <v/>
      </c>
      <c r="E744" s="25">
        <f>IFERROR((D744-C744/100)*10000,"")</f>
        <v/>
      </c>
    </row>
    <row r="745">
      <c r="A745" s="23">
        <f>IFERROR(INDEX($R$23:$R$823,ROW()-22),"")</f>
        <v/>
      </c>
      <c r="B745">
        <f>IFERROR(INDEX($S$23:$S$823,ROW()-22),"")</f>
        <v/>
      </c>
      <c r="C745">
        <f>IFERROR(INDEX($W$23:$W$823,ROW()-22),"")</f>
        <v/>
      </c>
      <c r="D745" s="24">
        <f>IFERROR(1/B745,"")</f>
        <v/>
      </c>
      <c r="E745" s="25">
        <f>IFERROR((D745-C745/100)*10000,"")</f>
        <v/>
      </c>
    </row>
    <row r="746">
      <c r="A746" s="23">
        <f>IFERROR(INDEX($R$23:$R$823,ROW()-22),"")</f>
        <v/>
      </c>
      <c r="B746">
        <f>IFERROR(INDEX($S$23:$S$823,ROW()-22),"")</f>
        <v/>
      </c>
      <c r="C746">
        <f>IFERROR(INDEX($W$23:$W$823,ROW()-22),"")</f>
        <v/>
      </c>
      <c r="D746" s="24">
        <f>IFERROR(1/B746,"")</f>
        <v/>
      </c>
      <c r="E746" s="25">
        <f>IFERROR((D746-C746/100)*10000,"")</f>
        <v/>
      </c>
    </row>
    <row r="747">
      <c r="A747" s="23">
        <f>IFERROR(INDEX($R$23:$R$823,ROW()-22),"")</f>
        <v/>
      </c>
      <c r="B747">
        <f>IFERROR(INDEX($S$23:$S$823,ROW()-22),"")</f>
        <v/>
      </c>
      <c r="C747">
        <f>IFERROR(INDEX($W$23:$W$823,ROW()-22),"")</f>
        <v/>
      </c>
      <c r="D747" s="24">
        <f>IFERROR(1/B747,"")</f>
        <v/>
      </c>
      <c r="E747" s="25">
        <f>IFERROR((D747-C747/100)*10000,"")</f>
        <v/>
      </c>
    </row>
    <row r="748">
      <c r="A748" s="23">
        <f>IFERROR(INDEX($R$23:$R$823,ROW()-22),"")</f>
        <v/>
      </c>
      <c r="B748">
        <f>IFERROR(INDEX($S$23:$S$823,ROW()-22),"")</f>
        <v/>
      </c>
      <c r="C748">
        <f>IFERROR(INDEX($W$23:$W$823,ROW()-22),"")</f>
        <v/>
      </c>
      <c r="D748" s="24">
        <f>IFERROR(1/B748,"")</f>
        <v/>
      </c>
      <c r="E748" s="25">
        <f>IFERROR((D748-C748/100)*10000,"")</f>
        <v/>
      </c>
    </row>
    <row r="749">
      <c r="A749" s="23">
        <f>IFERROR(INDEX($R$23:$R$823,ROW()-22),"")</f>
        <v/>
      </c>
      <c r="B749">
        <f>IFERROR(INDEX($S$23:$S$823,ROW()-22),"")</f>
        <v/>
      </c>
      <c r="C749">
        <f>IFERROR(INDEX($W$23:$W$823,ROW()-22),"")</f>
        <v/>
      </c>
      <c r="D749" s="24">
        <f>IFERROR(1/B749,"")</f>
        <v/>
      </c>
      <c r="E749" s="25">
        <f>IFERROR((D749-C749/100)*10000,"")</f>
        <v/>
      </c>
    </row>
    <row r="750">
      <c r="A750" s="23">
        <f>IFERROR(INDEX($R$23:$R$823,ROW()-22),"")</f>
        <v/>
      </c>
      <c r="B750">
        <f>IFERROR(INDEX($S$23:$S$823,ROW()-22),"")</f>
        <v/>
      </c>
      <c r="C750">
        <f>IFERROR(INDEX($W$23:$W$823,ROW()-22),"")</f>
        <v/>
      </c>
      <c r="D750" s="24">
        <f>IFERROR(1/B750,"")</f>
        <v/>
      </c>
      <c r="E750" s="25">
        <f>IFERROR((D750-C750/100)*10000,"")</f>
        <v/>
      </c>
    </row>
    <row r="751">
      <c r="A751" s="23">
        <f>IFERROR(INDEX($R$23:$R$823,ROW()-22),"")</f>
        <v/>
      </c>
      <c r="B751">
        <f>IFERROR(INDEX($S$23:$S$823,ROW()-22),"")</f>
        <v/>
      </c>
      <c r="C751">
        <f>IFERROR(INDEX($W$23:$W$823,ROW()-22),"")</f>
        <v/>
      </c>
      <c r="D751" s="24">
        <f>IFERROR(1/B751,"")</f>
        <v/>
      </c>
      <c r="E751" s="25">
        <f>IFERROR((D751-C751/100)*10000,"")</f>
        <v/>
      </c>
    </row>
    <row r="752">
      <c r="A752" s="23">
        <f>IFERROR(INDEX($R$23:$R$823,ROW()-22),"")</f>
        <v/>
      </c>
      <c r="B752">
        <f>IFERROR(INDEX($S$23:$S$823,ROW()-22),"")</f>
        <v/>
      </c>
      <c r="C752">
        <f>IFERROR(INDEX($W$23:$W$823,ROW()-22),"")</f>
        <v/>
      </c>
      <c r="D752" s="24">
        <f>IFERROR(1/B752,"")</f>
        <v/>
      </c>
      <c r="E752" s="25">
        <f>IFERROR((D752-C752/100)*10000,"")</f>
        <v/>
      </c>
    </row>
    <row r="753">
      <c r="A753" s="23">
        <f>IFERROR(INDEX($R$23:$R$823,ROW()-22),"")</f>
        <v/>
      </c>
      <c r="B753">
        <f>IFERROR(INDEX($S$23:$S$823,ROW()-22),"")</f>
        <v/>
      </c>
      <c r="C753">
        <f>IFERROR(INDEX($W$23:$W$823,ROW()-22),"")</f>
        <v/>
      </c>
      <c r="D753" s="24">
        <f>IFERROR(1/B753,"")</f>
        <v/>
      </c>
      <c r="E753" s="25">
        <f>IFERROR((D753-C753/100)*10000,"")</f>
        <v/>
      </c>
    </row>
    <row r="754">
      <c r="A754" s="23">
        <f>IFERROR(INDEX($R$23:$R$823,ROW()-22),"")</f>
        <v/>
      </c>
      <c r="B754">
        <f>IFERROR(INDEX($S$23:$S$823,ROW()-22),"")</f>
        <v/>
      </c>
      <c r="C754">
        <f>IFERROR(INDEX($W$23:$W$823,ROW()-22),"")</f>
        <v/>
      </c>
      <c r="D754" s="24">
        <f>IFERROR(1/B754,"")</f>
        <v/>
      </c>
      <c r="E754" s="25">
        <f>IFERROR((D754-C754/100)*10000,"")</f>
        <v/>
      </c>
    </row>
    <row r="755">
      <c r="A755" s="23">
        <f>IFERROR(INDEX($R$23:$R$823,ROW()-22),"")</f>
        <v/>
      </c>
      <c r="B755">
        <f>IFERROR(INDEX($S$23:$S$823,ROW()-22),"")</f>
        <v/>
      </c>
      <c r="C755">
        <f>IFERROR(INDEX($W$23:$W$823,ROW()-22),"")</f>
        <v/>
      </c>
      <c r="D755" s="24">
        <f>IFERROR(1/B755,"")</f>
        <v/>
      </c>
      <c r="E755" s="25">
        <f>IFERROR((D755-C755/100)*10000,"")</f>
        <v/>
      </c>
    </row>
    <row r="756">
      <c r="A756" s="23">
        <f>IFERROR(INDEX($R$23:$R$823,ROW()-22),"")</f>
        <v/>
      </c>
      <c r="B756">
        <f>IFERROR(INDEX($S$23:$S$823,ROW()-22),"")</f>
        <v/>
      </c>
      <c r="C756">
        <f>IFERROR(INDEX($W$23:$W$823,ROW()-22),"")</f>
        <v/>
      </c>
      <c r="D756" s="24">
        <f>IFERROR(1/B756,"")</f>
        <v/>
      </c>
      <c r="E756" s="25">
        <f>IFERROR((D756-C756/100)*10000,"")</f>
        <v/>
      </c>
    </row>
    <row r="757">
      <c r="A757" s="23">
        <f>IFERROR(INDEX($R$23:$R$823,ROW()-22),"")</f>
        <v/>
      </c>
      <c r="B757">
        <f>IFERROR(INDEX($S$23:$S$823,ROW()-22),"")</f>
        <v/>
      </c>
      <c r="C757">
        <f>IFERROR(INDEX($W$23:$W$823,ROW()-22),"")</f>
        <v/>
      </c>
      <c r="D757" s="24">
        <f>IFERROR(1/B757,"")</f>
        <v/>
      </c>
      <c r="E757" s="25">
        <f>IFERROR((D757-C757/100)*10000,"")</f>
        <v/>
      </c>
    </row>
    <row r="758">
      <c r="A758" s="23">
        <f>IFERROR(INDEX($R$23:$R$823,ROW()-22),"")</f>
        <v/>
      </c>
      <c r="B758">
        <f>IFERROR(INDEX($S$23:$S$823,ROW()-22),"")</f>
        <v/>
      </c>
      <c r="C758">
        <f>IFERROR(INDEX($W$23:$W$823,ROW()-22),"")</f>
        <v/>
      </c>
      <c r="D758" s="24">
        <f>IFERROR(1/B758,"")</f>
        <v/>
      </c>
      <c r="E758" s="25">
        <f>IFERROR((D758-C758/100)*10000,"")</f>
        <v/>
      </c>
    </row>
    <row r="759">
      <c r="A759" s="23">
        <f>IFERROR(INDEX($R$23:$R$823,ROW()-22),"")</f>
        <v/>
      </c>
      <c r="B759">
        <f>IFERROR(INDEX($S$23:$S$823,ROW()-22),"")</f>
        <v/>
      </c>
      <c r="C759">
        <f>IFERROR(INDEX($W$23:$W$823,ROW()-22),"")</f>
        <v/>
      </c>
      <c r="D759" s="24">
        <f>IFERROR(1/B759,"")</f>
        <v/>
      </c>
      <c r="E759" s="25">
        <f>IFERROR((D759-C759/100)*10000,"")</f>
        <v/>
      </c>
    </row>
    <row r="760">
      <c r="A760" s="23">
        <f>IFERROR(INDEX($R$23:$R$823,ROW()-22),"")</f>
        <v/>
      </c>
      <c r="B760">
        <f>IFERROR(INDEX($S$23:$S$823,ROW()-22),"")</f>
        <v/>
      </c>
      <c r="C760">
        <f>IFERROR(INDEX($W$23:$W$823,ROW()-22),"")</f>
        <v/>
      </c>
      <c r="D760" s="24">
        <f>IFERROR(1/B760,"")</f>
        <v/>
      </c>
      <c r="E760" s="25">
        <f>IFERROR((D760-C760/100)*10000,"")</f>
        <v/>
      </c>
    </row>
    <row r="761">
      <c r="A761" s="23">
        <f>IFERROR(INDEX($R$23:$R$823,ROW()-22),"")</f>
        <v/>
      </c>
      <c r="B761">
        <f>IFERROR(INDEX($S$23:$S$823,ROW()-22),"")</f>
        <v/>
      </c>
      <c r="C761">
        <f>IFERROR(INDEX($W$23:$W$823,ROW()-22),"")</f>
        <v/>
      </c>
      <c r="D761" s="24">
        <f>IFERROR(1/B761,"")</f>
        <v/>
      </c>
      <c r="E761" s="25">
        <f>IFERROR((D761-C761/100)*10000,"")</f>
        <v/>
      </c>
    </row>
    <row r="762">
      <c r="A762" s="23">
        <f>IFERROR(INDEX($R$23:$R$823,ROW()-22),"")</f>
        <v/>
      </c>
      <c r="B762">
        <f>IFERROR(INDEX($S$23:$S$823,ROW()-22),"")</f>
        <v/>
      </c>
      <c r="C762">
        <f>IFERROR(INDEX($W$23:$W$823,ROW()-22),"")</f>
        <v/>
      </c>
      <c r="D762" s="24">
        <f>IFERROR(1/B762,"")</f>
        <v/>
      </c>
      <c r="E762" s="25">
        <f>IFERROR((D762-C762/100)*10000,"")</f>
        <v/>
      </c>
    </row>
    <row r="763">
      <c r="A763" s="23">
        <f>IFERROR(INDEX($R$23:$R$823,ROW()-22),"")</f>
        <v/>
      </c>
      <c r="B763">
        <f>IFERROR(INDEX($S$23:$S$823,ROW()-22),"")</f>
        <v/>
      </c>
      <c r="C763">
        <f>IFERROR(INDEX($W$23:$W$823,ROW()-22),"")</f>
        <v/>
      </c>
      <c r="D763" s="24">
        <f>IFERROR(1/B763,"")</f>
        <v/>
      </c>
      <c r="E763" s="25">
        <f>IFERROR((D763-C763/100)*10000,"")</f>
        <v/>
      </c>
    </row>
    <row r="764">
      <c r="A764" s="23">
        <f>IFERROR(INDEX($R$23:$R$823,ROW()-22),"")</f>
        <v/>
      </c>
      <c r="B764">
        <f>IFERROR(INDEX($S$23:$S$823,ROW()-22),"")</f>
        <v/>
      </c>
      <c r="C764">
        <f>IFERROR(INDEX($W$23:$W$823,ROW()-22),"")</f>
        <v/>
      </c>
      <c r="D764" s="24">
        <f>IFERROR(1/B764,"")</f>
        <v/>
      </c>
      <c r="E764" s="25">
        <f>IFERROR((D764-C764/100)*10000,"")</f>
        <v/>
      </c>
    </row>
    <row r="765">
      <c r="A765" s="23">
        <f>IFERROR(INDEX($R$23:$R$823,ROW()-22),"")</f>
        <v/>
      </c>
      <c r="B765">
        <f>IFERROR(INDEX($S$23:$S$823,ROW()-22),"")</f>
        <v/>
      </c>
      <c r="C765">
        <f>IFERROR(INDEX($W$23:$W$823,ROW()-22),"")</f>
        <v/>
      </c>
      <c r="D765" s="24">
        <f>IFERROR(1/B765,"")</f>
        <v/>
      </c>
      <c r="E765" s="25">
        <f>IFERROR((D765-C765/100)*10000,"")</f>
        <v/>
      </c>
    </row>
    <row r="766">
      <c r="A766" s="23">
        <f>IFERROR(INDEX($R$23:$R$823,ROW()-22),"")</f>
        <v/>
      </c>
      <c r="B766">
        <f>IFERROR(INDEX($S$23:$S$823,ROW()-22),"")</f>
        <v/>
      </c>
      <c r="C766">
        <f>IFERROR(INDEX($W$23:$W$823,ROW()-22),"")</f>
        <v/>
      </c>
      <c r="D766" s="24">
        <f>IFERROR(1/B766,"")</f>
        <v/>
      </c>
      <c r="E766" s="25">
        <f>IFERROR((D766-C766/100)*10000,"")</f>
        <v/>
      </c>
    </row>
    <row r="767">
      <c r="A767" s="23">
        <f>IFERROR(INDEX($R$23:$R$823,ROW()-22),"")</f>
        <v/>
      </c>
      <c r="B767">
        <f>IFERROR(INDEX($S$23:$S$823,ROW()-22),"")</f>
        <v/>
      </c>
      <c r="C767">
        <f>IFERROR(INDEX($W$23:$W$823,ROW()-22),"")</f>
        <v/>
      </c>
      <c r="D767" s="24">
        <f>IFERROR(1/B767,"")</f>
        <v/>
      </c>
      <c r="E767" s="25">
        <f>IFERROR((D767-C767/100)*10000,"")</f>
        <v/>
      </c>
    </row>
    <row r="768">
      <c r="A768" s="23">
        <f>IFERROR(INDEX($R$23:$R$823,ROW()-22),"")</f>
        <v/>
      </c>
      <c r="B768">
        <f>IFERROR(INDEX($S$23:$S$823,ROW()-22),"")</f>
        <v/>
      </c>
      <c r="C768">
        <f>IFERROR(INDEX($W$23:$W$823,ROW()-22),"")</f>
        <v/>
      </c>
      <c r="D768" s="24">
        <f>IFERROR(1/B768,"")</f>
        <v/>
      </c>
      <c r="E768" s="25">
        <f>IFERROR((D768-C768/100)*10000,"")</f>
        <v/>
      </c>
    </row>
    <row r="769">
      <c r="A769" s="23">
        <f>IFERROR(INDEX($R$23:$R$823,ROW()-22),"")</f>
        <v/>
      </c>
      <c r="B769">
        <f>IFERROR(INDEX($S$23:$S$823,ROW()-22),"")</f>
        <v/>
      </c>
      <c r="C769">
        <f>IFERROR(INDEX($W$23:$W$823,ROW()-22),"")</f>
        <v/>
      </c>
      <c r="D769" s="24">
        <f>IFERROR(1/B769,"")</f>
        <v/>
      </c>
      <c r="E769" s="25">
        <f>IFERROR((D769-C769/100)*10000,"")</f>
        <v/>
      </c>
    </row>
    <row r="770">
      <c r="A770" s="23">
        <f>IFERROR(INDEX($R$23:$R$823,ROW()-22),"")</f>
        <v/>
      </c>
      <c r="B770">
        <f>IFERROR(INDEX($S$23:$S$823,ROW()-22),"")</f>
        <v/>
      </c>
      <c r="C770">
        <f>IFERROR(INDEX($W$23:$W$823,ROW()-22),"")</f>
        <v/>
      </c>
      <c r="D770" s="24">
        <f>IFERROR(1/B770,"")</f>
        <v/>
      </c>
      <c r="E770" s="25">
        <f>IFERROR((D770-C770/100)*10000,"")</f>
        <v/>
      </c>
    </row>
    <row r="771">
      <c r="A771" s="23">
        <f>IFERROR(INDEX($R$23:$R$823,ROW()-22),"")</f>
        <v/>
      </c>
      <c r="B771">
        <f>IFERROR(INDEX($S$23:$S$823,ROW()-22),"")</f>
        <v/>
      </c>
      <c r="C771">
        <f>IFERROR(INDEX($W$23:$W$823,ROW()-22),"")</f>
        <v/>
      </c>
      <c r="D771" s="24">
        <f>IFERROR(1/B771,"")</f>
        <v/>
      </c>
      <c r="E771" s="25">
        <f>IFERROR((D771-C771/100)*10000,"")</f>
        <v/>
      </c>
    </row>
    <row r="772">
      <c r="A772" s="23">
        <f>IFERROR(INDEX($R$23:$R$823,ROW()-22),"")</f>
        <v/>
      </c>
      <c r="B772">
        <f>IFERROR(INDEX($S$23:$S$823,ROW()-22),"")</f>
        <v/>
      </c>
      <c r="C772">
        <f>IFERROR(INDEX($W$23:$W$823,ROW()-22),"")</f>
        <v/>
      </c>
      <c r="D772" s="24">
        <f>IFERROR(1/B772,"")</f>
        <v/>
      </c>
      <c r="E772" s="25">
        <f>IFERROR((D772-C772/100)*10000,"")</f>
        <v/>
      </c>
    </row>
    <row r="773">
      <c r="A773" s="23">
        <f>IFERROR(INDEX($R$23:$R$823,ROW()-22),"")</f>
        <v/>
      </c>
      <c r="B773">
        <f>IFERROR(INDEX($S$23:$S$823,ROW()-22),"")</f>
        <v/>
      </c>
      <c r="C773">
        <f>IFERROR(INDEX($W$23:$W$823,ROW()-22),"")</f>
        <v/>
      </c>
      <c r="D773" s="24">
        <f>IFERROR(1/B773,"")</f>
        <v/>
      </c>
      <c r="E773" s="25">
        <f>IFERROR((D773-C773/100)*10000,"")</f>
        <v/>
      </c>
    </row>
    <row r="774">
      <c r="A774" s="23">
        <f>IFERROR(INDEX($R$23:$R$823,ROW()-22),"")</f>
        <v/>
      </c>
      <c r="B774">
        <f>IFERROR(INDEX($S$23:$S$823,ROW()-22),"")</f>
        <v/>
      </c>
      <c r="C774">
        <f>IFERROR(INDEX($W$23:$W$823,ROW()-22),"")</f>
        <v/>
      </c>
      <c r="D774" s="24">
        <f>IFERROR(1/B774,"")</f>
        <v/>
      </c>
      <c r="E774" s="25">
        <f>IFERROR((D774-C774/100)*10000,"")</f>
        <v/>
      </c>
    </row>
    <row r="775">
      <c r="A775" s="23">
        <f>IFERROR(INDEX($R$23:$R$823,ROW()-22),"")</f>
        <v/>
      </c>
      <c r="B775">
        <f>IFERROR(INDEX($S$23:$S$823,ROW()-22),"")</f>
        <v/>
      </c>
      <c r="C775">
        <f>IFERROR(INDEX($W$23:$W$823,ROW()-22),"")</f>
        <v/>
      </c>
      <c r="D775" s="24">
        <f>IFERROR(1/B775,"")</f>
        <v/>
      </c>
      <c r="E775" s="25">
        <f>IFERROR((D775-C775/100)*10000,"")</f>
        <v/>
      </c>
    </row>
    <row r="776">
      <c r="A776" s="23">
        <f>IFERROR(INDEX($R$23:$R$823,ROW()-22),"")</f>
        <v/>
      </c>
      <c r="B776">
        <f>IFERROR(INDEX($S$23:$S$823,ROW()-22),"")</f>
        <v/>
      </c>
      <c r="C776">
        <f>IFERROR(INDEX($W$23:$W$823,ROW()-22),"")</f>
        <v/>
      </c>
      <c r="D776" s="24">
        <f>IFERROR(1/B776,"")</f>
        <v/>
      </c>
      <c r="E776" s="25">
        <f>IFERROR((D776-C776/100)*10000,"")</f>
        <v/>
      </c>
    </row>
    <row r="777">
      <c r="A777" s="23">
        <f>IFERROR(INDEX($R$23:$R$823,ROW()-22),"")</f>
        <v/>
      </c>
      <c r="B777">
        <f>IFERROR(INDEX($S$23:$S$823,ROW()-22),"")</f>
        <v/>
      </c>
      <c r="C777">
        <f>IFERROR(INDEX($W$23:$W$823,ROW()-22),"")</f>
        <v/>
      </c>
      <c r="D777" s="24">
        <f>IFERROR(1/B777,"")</f>
        <v/>
      </c>
      <c r="E777" s="25">
        <f>IFERROR((D777-C777/100)*10000,"")</f>
        <v/>
      </c>
    </row>
    <row r="778">
      <c r="A778" s="23">
        <f>IFERROR(INDEX($R$23:$R$823,ROW()-22),"")</f>
        <v/>
      </c>
      <c r="B778">
        <f>IFERROR(INDEX($S$23:$S$823,ROW()-22),"")</f>
        <v/>
      </c>
      <c r="C778">
        <f>IFERROR(INDEX($W$23:$W$823,ROW()-22),"")</f>
        <v/>
      </c>
      <c r="D778" s="24">
        <f>IFERROR(1/B778,"")</f>
        <v/>
      </c>
      <c r="E778" s="25">
        <f>IFERROR((D778-C778/100)*10000,"")</f>
        <v/>
      </c>
    </row>
    <row r="779">
      <c r="A779" s="23">
        <f>IFERROR(INDEX($R$23:$R$823,ROW()-22),"")</f>
        <v/>
      </c>
      <c r="B779">
        <f>IFERROR(INDEX($S$23:$S$823,ROW()-22),"")</f>
        <v/>
      </c>
      <c r="C779">
        <f>IFERROR(INDEX($W$23:$W$823,ROW()-22),"")</f>
        <v/>
      </c>
      <c r="D779" s="24">
        <f>IFERROR(1/B779,"")</f>
        <v/>
      </c>
      <c r="E779" s="25">
        <f>IFERROR((D779-C779/100)*10000,"")</f>
        <v/>
      </c>
    </row>
    <row r="780">
      <c r="A780" s="23">
        <f>IFERROR(INDEX($R$23:$R$823,ROW()-22),"")</f>
        <v/>
      </c>
      <c r="B780">
        <f>IFERROR(INDEX($S$23:$S$823,ROW()-22),"")</f>
        <v/>
      </c>
      <c r="C780">
        <f>IFERROR(INDEX($W$23:$W$823,ROW()-22),"")</f>
        <v/>
      </c>
      <c r="D780" s="24">
        <f>IFERROR(1/B780,"")</f>
        <v/>
      </c>
      <c r="E780" s="25">
        <f>IFERROR((D780-C780/100)*10000,"")</f>
        <v/>
      </c>
    </row>
    <row r="781">
      <c r="A781" s="23">
        <f>IFERROR(INDEX($R$23:$R$823,ROW()-22),"")</f>
        <v/>
      </c>
      <c r="B781">
        <f>IFERROR(INDEX($S$23:$S$823,ROW()-22),"")</f>
        <v/>
      </c>
      <c r="C781">
        <f>IFERROR(INDEX($W$23:$W$823,ROW()-22),"")</f>
        <v/>
      </c>
      <c r="D781" s="24">
        <f>IFERROR(1/B781,"")</f>
        <v/>
      </c>
      <c r="E781" s="25">
        <f>IFERROR((D781-C781/100)*10000,"")</f>
        <v/>
      </c>
    </row>
    <row r="782">
      <c r="A782" s="23">
        <f>IFERROR(INDEX($R$23:$R$823,ROW()-22),"")</f>
        <v/>
      </c>
      <c r="B782">
        <f>IFERROR(INDEX($S$23:$S$823,ROW()-22),"")</f>
        <v/>
      </c>
      <c r="C782">
        <f>IFERROR(INDEX($W$23:$W$823,ROW()-22),"")</f>
        <v/>
      </c>
      <c r="D782" s="24">
        <f>IFERROR(1/B782,"")</f>
        <v/>
      </c>
      <c r="E782" s="25">
        <f>IFERROR((D782-C782/100)*10000,"")</f>
        <v/>
      </c>
    </row>
    <row r="783">
      <c r="A783" s="23">
        <f>IFERROR(INDEX($R$23:$R$823,ROW()-22),"")</f>
        <v/>
      </c>
      <c r="B783">
        <f>IFERROR(INDEX($S$23:$S$823,ROW()-22),"")</f>
        <v/>
      </c>
      <c r="C783">
        <f>IFERROR(INDEX($W$23:$W$823,ROW()-22),"")</f>
        <v/>
      </c>
      <c r="D783" s="24">
        <f>IFERROR(1/B783,"")</f>
        <v/>
      </c>
      <c r="E783" s="25">
        <f>IFERROR((D783-C783/100)*10000,"")</f>
        <v/>
      </c>
    </row>
    <row r="784">
      <c r="A784" s="23">
        <f>IFERROR(INDEX($R$23:$R$823,ROW()-22),"")</f>
        <v/>
      </c>
      <c r="B784">
        <f>IFERROR(INDEX($S$23:$S$823,ROW()-22),"")</f>
        <v/>
      </c>
      <c r="C784">
        <f>IFERROR(INDEX($W$23:$W$823,ROW()-22),"")</f>
        <v/>
      </c>
      <c r="D784" s="24">
        <f>IFERROR(1/B784,"")</f>
        <v/>
      </c>
      <c r="E784" s="25">
        <f>IFERROR((D784-C784/100)*10000,"")</f>
        <v/>
      </c>
    </row>
    <row r="785">
      <c r="A785" s="23">
        <f>IFERROR(INDEX($R$23:$R$823,ROW()-22),"")</f>
        <v/>
      </c>
      <c r="B785">
        <f>IFERROR(INDEX($S$23:$S$823,ROW()-22),"")</f>
        <v/>
      </c>
      <c r="C785">
        <f>IFERROR(INDEX($W$23:$W$823,ROW()-22),"")</f>
        <v/>
      </c>
      <c r="D785" s="24">
        <f>IFERROR(1/B785,"")</f>
        <v/>
      </c>
      <c r="E785" s="25">
        <f>IFERROR((D785-C785/100)*10000,"")</f>
        <v/>
      </c>
    </row>
    <row r="786">
      <c r="A786" s="23">
        <f>IFERROR(INDEX($R$23:$R$823,ROW()-22),"")</f>
        <v/>
      </c>
      <c r="B786">
        <f>IFERROR(INDEX($S$23:$S$823,ROW()-22),"")</f>
        <v/>
      </c>
      <c r="C786">
        <f>IFERROR(INDEX($W$23:$W$823,ROW()-22),"")</f>
        <v/>
      </c>
      <c r="D786" s="24">
        <f>IFERROR(1/B786,"")</f>
        <v/>
      </c>
      <c r="E786" s="25">
        <f>IFERROR((D786-C786/100)*10000,"")</f>
        <v/>
      </c>
    </row>
    <row r="787">
      <c r="A787" s="23">
        <f>IFERROR(INDEX($R$23:$R$823,ROW()-22),"")</f>
        <v/>
      </c>
      <c r="B787">
        <f>IFERROR(INDEX($S$23:$S$823,ROW()-22),"")</f>
        <v/>
      </c>
      <c r="C787">
        <f>IFERROR(INDEX($W$23:$W$823,ROW()-22),"")</f>
        <v/>
      </c>
      <c r="D787" s="24">
        <f>IFERROR(1/B787,"")</f>
        <v/>
      </c>
      <c r="E787" s="25">
        <f>IFERROR((D787-C787/100)*10000,"")</f>
        <v/>
      </c>
    </row>
    <row r="788">
      <c r="A788" s="23">
        <f>IFERROR(INDEX($R$23:$R$823,ROW()-22),"")</f>
        <v/>
      </c>
      <c r="B788">
        <f>IFERROR(INDEX($S$23:$S$823,ROW()-22),"")</f>
        <v/>
      </c>
      <c r="C788">
        <f>IFERROR(INDEX($W$23:$W$823,ROW()-22),"")</f>
        <v/>
      </c>
      <c r="D788" s="24">
        <f>IFERROR(1/B788,"")</f>
        <v/>
      </c>
      <c r="E788" s="25">
        <f>IFERROR((D788-C788/100)*10000,"")</f>
        <v/>
      </c>
    </row>
    <row r="789">
      <c r="A789" s="23">
        <f>IFERROR(INDEX($R$23:$R$823,ROW()-22),"")</f>
        <v/>
      </c>
      <c r="B789">
        <f>IFERROR(INDEX($S$23:$S$823,ROW()-22),"")</f>
        <v/>
      </c>
      <c r="C789">
        <f>IFERROR(INDEX($W$23:$W$823,ROW()-22),"")</f>
        <v/>
      </c>
      <c r="D789" s="24">
        <f>IFERROR(1/B789,"")</f>
        <v/>
      </c>
      <c r="E789" s="25">
        <f>IFERROR((D789-C789/100)*10000,"")</f>
        <v/>
      </c>
    </row>
    <row r="790">
      <c r="A790" s="23">
        <f>IFERROR(INDEX($R$23:$R$823,ROW()-22),"")</f>
        <v/>
      </c>
      <c r="B790">
        <f>IFERROR(INDEX($S$23:$S$823,ROW()-22),"")</f>
        <v/>
      </c>
      <c r="C790">
        <f>IFERROR(INDEX($W$23:$W$823,ROW()-22),"")</f>
        <v/>
      </c>
      <c r="D790" s="24">
        <f>IFERROR(1/B790,"")</f>
        <v/>
      </c>
      <c r="E790" s="25">
        <f>IFERROR((D790-C790/100)*10000,"")</f>
        <v/>
      </c>
    </row>
    <row r="791">
      <c r="A791" s="23">
        <f>IFERROR(INDEX($R$23:$R$823,ROW()-22),"")</f>
        <v/>
      </c>
      <c r="B791">
        <f>IFERROR(INDEX($S$23:$S$823,ROW()-22),"")</f>
        <v/>
      </c>
      <c r="C791">
        <f>IFERROR(INDEX($W$23:$W$823,ROW()-22),"")</f>
        <v/>
      </c>
      <c r="D791" s="24">
        <f>IFERROR(1/B791,"")</f>
        <v/>
      </c>
      <c r="E791" s="25">
        <f>IFERROR((D791-C791/100)*10000,"")</f>
        <v/>
      </c>
    </row>
    <row r="792">
      <c r="A792" s="23">
        <f>IFERROR(INDEX($R$23:$R$823,ROW()-22),"")</f>
        <v/>
      </c>
      <c r="B792">
        <f>IFERROR(INDEX($S$23:$S$823,ROW()-22),"")</f>
        <v/>
      </c>
      <c r="C792">
        <f>IFERROR(INDEX($W$23:$W$823,ROW()-22),"")</f>
        <v/>
      </c>
      <c r="D792" s="24">
        <f>IFERROR(1/B792,"")</f>
        <v/>
      </c>
      <c r="E792" s="25">
        <f>IFERROR((D792-C792/100)*10000,"")</f>
        <v/>
      </c>
    </row>
    <row r="793">
      <c r="A793" s="23">
        <f>IFERROR(INDEX($R$23:$R$823,ROW()-22),"")</f>
        <v/>
      </c>
      <c r="B793">
        <f>IFERROR(INDEX($S$23:$S$823,ROW()-22),"")</f>
        <v/>
      </c>
      <c r="C793">
        <f>IFERROR(INDEX($W$23:$W$823,ROW()-22),"")</f>
        <v/>
      </c>
      <c r="D793" s="24">
        <f>IFERROR(1/B793,"")</f>
        <v/>
      </c>
      <c r="E793" s="25">
        <f>IFERROR((D793-C793/100)*10000,"")</f>
        <v/>
      </c>
    </row>
    <row r="794">
      <c r="A794" s="23">
        <f>IFERROR(INDEX($R$23:$R$823,ROW()-22),"")</f>
        <v/>
      </c>
      <c r="B794">
        <f>IFERROR(INDEX($S$23:$S$823,ROW()-22),"")</f>
        <v/>
      </c>
      <c r="C794">
        <f>IFERROR(INDEX($W$23:$W$823,ROW()-22),"")</f>
        <v/>
      </c>
      <c r="D794" s="24">
        <f>IFERROR(1/B794,"")</f>
        <v/>
      </c>
      <c r="E794" s="25">
        <f>IFERROR((D794-C794/100)*10000,"")</f>
        <v/>
      </c>
    </row>
    <row r="795">
      <c r="A795" s="23">
        <f>IFERROR(INDEX($R$23:$R$823,ROW()-22),"")</f>
        <v/>
      </c>
      <c r="B795">
        <f>IFERROR(INDEX($S$23:$S$823,ROW()-22),"")</f>
        <v/>
      </c>
      <c r="C795">
        <f>IFERROR(INDEX($W$23:$W$823,ROW()-22),"")</f>
        <v/>
      </c>
      <c r="D795" s="24">
        <f>IFERROR(1/B795,"")</f>
        <v/>
      </c>
      <c r="E795" s="25">
        <f>IFERROR((D795-C795/100)*10000,"")</f>
        <v/>
      </c>
    </row>
    <row r="796">
      <c r="A796" s="23">
        <f>IFERROR(INDEX($R$23:$R$823,ROW()-22),"")</f>
        <v/>
      </c>
      <c r="B796">
        <f>IFERROR(INDEX($S$23:$S$823,ROW()-22),"")</f>
        <v/>
      </c>
      <c r="C796">
        <f>IFERROR(INDEX($W$23:$W$823,ROW()-22),"")</f>
        <v/>
      </c>
      <c r="D796" s="24">
        <f>IFERROR(1/B796,"")</f>
        <v/>
      </c>
      <c r="E796" s="25">
        <f>IFERROR((D796-C796/100)*10000,"")</f>
        <v/>
      </c>
    </row>
    <row r="797">
      <c r="A797" s="23">
        <f>IFERROR(INDEX($R$23:$R$823,ROW()-22),"")</f>
        <v/>
      </c>
      <c r="B797">
        <f>IFERROR(INDEX($S$23:$S$823,ROW()-22),"")</f>
        <v/>
      </c>
      <c r="C797">
        <f>IFERROR(INDEX($W$23:$W$823,ROW()-22),"")</f>
        <v/>
      </c>
      <c r="D797" s="24">
        <f>IFERROR(1/B797,"")</f>
        <v/>
      </c>
      <c r="E797" s="25">
        <f>IFERROR((D797-C797/100)*10000,"")</f>
        <v/>
      </c>
    </row>
    <row r="798">
      <c r="A798" s="23">
        <f>IFERROR(INDEX($R$23:$R$823,ROW()-22),"")</f>
        <v/>
      </c>
      <c r="B798">
        <f>IFERROR(INDEX($S$23:$S$823,ROW()-22),"")</f>
        <v/>
      </c>
      <c r="C798">
        <f>IFERROR(INDEX($W$23:$W$823,ROW()-22),"")</f>
        <v/>
      </c>
      <c r="D798" s="24">
        <f>IFERROR(1/B798,"")</f>
        <v/>
      </c>
      <c r="E798" s="25">
        <f>IFERROR((D798-C798/100)*10000,"")</f>
        <v/>
      </c>
    </row>
    <row r="799">
      <c r="A799" s="23">
        <f>IFERROR(INDEX($R$23:$R$823,ROW()-22),"")</f>
        <v/>
      </c>
      <c r="B799">
        <f>IFERROR(INDEX($S$23:$S$823,ROW()-22),"")</f>
        <v/>
      </c>
      <c r="C799">
        <f>IFERROR(INDEX($W$23:$W$823,ROW()-22),"")</f>
        <v/>
      </c>
      <c r="D799" s="24">
        <f>IFERROR(1/B799,"")</f>
        <v/>
      </c>
      <c r="E799" s="25">
        <f>IFERROR((D799-C799/100)*10000,"")</f>
        <v/>
      </c>
    </row>
    <row r="800">
      <c r="A800" s="23">
        <f>IFERROR(INDEX($R$23:$R$823,ROW()-22),"")</f>
        <v/>
      </c>
      <c r="B800">
        <f>IFERROR(INDEX($S$23:$S$823,ROW()-22),"")</f>
        <v/>
      </c>
      <c r="C800">
        <f>IFERROR(INDEX($W$23:$W$823,ROW()-22),"")</f>
        <v/>
      </c>
      <c r="D800" s="24">
        <f>IFERROR(1/B800,"")</f>
        <v/>
      </c>
      <c r="E800" s="25">
        <f>IFERROR((D800-C800/100)*10000,"")</f>
        <v/>
      </c>
    </row>
    <row r="801">
      <c r="A801" s="23">
        <f>IFERROR(INDEX($R$23:$R$823,ROW()-22),"")</f>
        <v/>
      </c>
      <c r="B801">
        <f>IFERROR(INDEX($S$23:$S$823,ROW()-22),"")</f>
        <v/>
      </c>
      <c r="C801">
        <f>IFERROR(INDEX($W$23:$W$823,ROW()-22),"")</f>
        <v/>
      </c>
      <c r="D801" s="24">
        <f>IFERROR(1/B801,"")</f>
        <v/>
      </c>
      <c r="E801" s="25">
        <f>IFERROR((D801-C801/100)*10000,"")</f>
        <v/>
      </c>
    </row>
    <row r="802">
      <c r="A802" s="23">
        <f>IFERROR(INDEX($R$23:$R$823,ROW()-22),"")</f>
        <v/>
      </c>
      <c r="B802">
        <f>IFERROR(INDEX($S$23:$S$823,ROW()-22),"")</f>
        <v/>
      </c>
      <c r="C802">
        <f>IFERROR(INDEX($W$23:$W$823,ROW()-22),"")</f>
        <v/>
      </c>
      <c r="D802" s="24">
        <f>IFERROR(1/B802,"")</f>
        <v/>
      </c>
      <c r="E802" s="25">
        <f>IFERROR((D802-C802/100)*10000,"")</f>
        <v/>
      </c>
    </row>
    <row r="803">
      <c r="A803" s="23">
        <f>IFERROR(INDEX($R$23:$R$823,ROW()-22),"")</f>
        <v/>
      </c>
      <c r="B803">
        <f>IFERROR(INDEX($S$23:$S$823,ROW()-22),"")</f>
        <v/>
      </c>
      <c r="C803">
        <f>IFERROR(INDEX($W$23:$W$823,ROW()-22),"")</f>
        <v/>
      </c>
      <c r="D803" s="24">
        <f>IFERROR(1/B803,"")</f>
        <v/>
      </c>
      <c r="E803" s="25">
        <f>IFERROR((D803-C803/100)*10000,"")</f>
        <v/>
      </c>
    </row>
    <row r="804">
      <c r="A804" s="23">
        <f>IFERROR(INDEX($R$23:$R$823,ROW()-22),"")</f>
        <v/>
      </c>
      <c r="B804">
        <f>IFERROR(INDEX($S$23:$S$823,ROW()-22),"")</f>
        <v/>
      </c>
      <c r="C804">
        <f>IFERROR(INDEX($W$23:$W$823,ROW()-22),"")</f>
        <v/>
      </c>
      <c r="D804" s="24">
        <f>IFERROR(1/B804,"")</f>
        <v/>
      </c>
      <c r="E804" s="25">
        <f>IFERROR((D804-C804/100)*10000,"")</f>
        <v/>
      </c>
    </row>
    <row r="805">
      <c r="A805" s="23">
        <f>IFERROR(INDEX($R$23:$R$823,ROW()-22),"")</f>
        <v/>
      </c>
      <c r="B805">
        <f>IFERROR(INDEX($S$23:$S$823,ROW()-22),"")</f>
        <v/>
      </c>
      <c r="C805">
        <f>IFERROR(INDEX($W$23:$W$823,ROW()-22),"")</f>
        <v/>
      </c>
      <c r="D805" s="24">
        <f>IFERROR(1/B805,"")</f>
        <v/>
      </c>
      <c r="E805" s="25">
        <f>IFERROR((D805-C805/100)*10000,"")</f>
        <v/>
      </c>
    </row>
    <row r="806">
      <c r="A806" s="23">
        <f>IFERROR(INDEX($R$23:$R$823,ROW()-22),"")</f>
        <v/>
      </c>
      <c r="B806">
        <f>IFERROR(INDEX($S$23:$S$823,ROW()-22),"")</f>
        <v/>
      </c>
      <c r="C806">
        <f>IFERROR(INDEX($W$23:$W$823,ROW()-22),"")</f>
        <v/>
      </c>
      <c r="D806" s="24">
        <f>IFERROR(1/B806,"")</f>
        <v/>
      </c>
      <c r="E806" s="25">
        <f>IFERROR((D806-C806/100)*10000,"")</f>
        <v/>
      </c>
    </row>
    <row r="807">
      <c r="A807" s="23">
        <f>IFERROR(INDEX($R$23:$R$823,ROW()-22),"")</f>
        <v/>
      </c>
      <c r="B807">
        <f>IFERROR(INDEX($S$23:$S$823,ROW()-22),"")</f>
        <v/>
      </c>
      <c r="C807">
        <f>IFERROR(INDEX($W$23:$W$823,ROW()-22),"")</f>
        <v/>
      </c>
      <c r="D807" s="24">
        <f>IFERROR(1/B807,"")</f>
        <v/>
      </c>
      <c r="E807" s="25">
        <f>IFERROR((D807-C807/100)*10000,"")</f>
        <v/>
      </c>
    </row>
    <row r="808">
      <c r="A808" s="23">
        <f>IFERROR(INDEX($R$23:$R$823,ROW()-22),"")</f>
        <v/>
      </c>
      <c r="B808">
        <f>IFERROR(INDEX($S$23:$S$823,ROW()-22),"")</f>
        <v/>
      </c>
      <c r="C808">
        <f>IFERROR(INDEX($W$23:$W$823,ROW()-22),"")</f>
        <v/>
      </c>
      <c r="D808" s="24">
        <f>IFERROR(1/B808,"")</f>
        <v/>
      </c>
      <c r="E808" s="25">
        <f>IFERROR((D808-C808/100)*10000,"")</f>
        <v/>
      </c>
    </row>
    <row r="809">
      <c r="A809" s="23">
        <f>IFERROR(INDEX($R$23:$R$823,ROW()-22),"")</f>
        <v/>
      </c>
      <c r="B809">
        <f>IFERROR(INDEX($S$23:$S$823,ROW()-22),"")</f>
        <v/>
      </c>
      <c r="C809">
        <f>IFERROR(INDEX($W$23:$W$823,ROW()-22),"")</f>
        <v/>
      </c>
      <c r="D809" s="24">
        <f>IFERROR(1/B809,"")</f>
        <v/>
      </c>
      <c r="E809" s="25">
        <f>IFERROR((D809-C809/100)*10000,"")</f>
        <v/>
      </c>
    </row>
    <row r="810">
      <c r="A810" s="23">
        <f>IFERROR(INDEX($R$23:$R$823,ROW()-22),"")</f>
        <v/>
      </c>
      <c r="B810">
        <f>IFERROR(INDEX($S$23:$S$823,ROW()-22),"")</f>
        <v/>
      </c>
      <c r="C810">
        <f>IFERROR(INDEX($W$23:$W$823,ROW()-22),"")</f>
        <v/>
      </c>
      <c r="D810" s="24">
        <f>IFERROR(1/B810,"")</f>
        <v/>
      </c>
      <c r="E810" s="25">
        <f>IFERROR((D810-C810/100)*10000,"")</f>
        <v/>
      </c>
    </row>
    <row r="811">
      <c r="A811" s="23">
        <f>IFERROR(INDEX($R$23:$R$823,ROW()-22),"")</f>
        <v/>
      </c>
      <c r="B811">
        <f>IFERROR(INDEX($S$23:$S$823,ROW()-22),"")</f>
        <v/>
      </c>
      <c r="C811">
        <f>IFERROR(INDEX($W$23:$W$823,ROW()-22),"")</f>
        <v/>
      </c>
      <c r="D811" s="24">
        <f>IFERROR(1/B811,"")</f>
        <v/>
      </c>
      <c r="E811" s="25">
        <f>IFERROR((D811-C811/100)*10000,"")</f>
        <v/>
      </c>
    </row>
    <row r="812">
      <c r="A812" s="23">
        <f>IFERROR(INDEX($R$23:$R$823,ROW()-22),"")</f>
        <v/>
      </c>
      <c r="B812">
        <f>IFERROR(INDEX($S$23:$S$823,ROW()-22),"")</f>
        <v/>
      </c>
      <c r="C812">
        <f>IFERROR(INDEX($W$23:$W$823,ROW()-22),"")</f>
        <v/>
      </c>
      <c r="D812" s="24">
        <f>IFERROR(1/B812,"")</f>
        <v/>
      </c>
      <c r="E812" s="25">
        <f>IFERROR((D812-C812/100)*10000,"")</f>
        <v/>
      </c>
    </row>
    <row r="813">
      <c r="A813" s="23">
        <f>IFERROR(INDEX($R$23:$R$823,ROW()-22),"")</f>
        <v/>
      </c>
      <c r="B813">
        <f>IFERROR(INDEX($S$23:$S$823,ROW()-22),"")</f>
        <v/>
      </c>
      <c r="C813">
        <f>IFERROR(INDEX($W$23:$W$823,ROW()-22),"")</f>
        <v/>
      </c>
      <c r="D813" s="24">
        <f>IFERROR(1/B813,"")</f>
        <v/>
      </c>
      <c r="E813" s="25">
        <f>IFERROR((D813-C813/100)*10000,"")</f>
        <v/>
      </c>
    </row>
    <row r="814">
      <c r="A814" s="23">
        <f>IFERROR(INDEX($R$23:$R$823,ROW()-22),"")</f>
        <v/>
      </c>
      <c r="B814">
        <f>IFERROR(INDEX($S$23:$S$823,ROW()-22),"")</f>
        <v/>
      </c>
      <c r="C814">
        <f>IFERROR(INDEX($W$23:$W$823,ROW()-22),"")</f>
        <v/>
      </c>
      <c r="D814" s="24">
        <f>IFERROR(1/B814,"")</f>
        <v/>
      </c>
      <c r="E814" s="25">
        <f>IFERROR((D814-C814/100)*10000,"")</f>
        <v/>
      </c>
    </row>
    <row r="815">
      <c r="A815" s="23">
        <f>IFERROR(INDEX($R$23:$R$823,ROW()-22),"")</f>
        <v/>
      </c>
      <c r="B815">
        <f>IFERROR(INDEX($S$23:$S$823,ROW()-22),"")</f>
        <v/>
      </c>
      <c r="C815">
        <f>IFERROR(INDEX($W$23:$W$823,ROW()-22),"")</f>
        <v/>
      </c>
      <c r="D815" s="24">
        <f>IFERROR(1/B815,"")</f>
        <v/>
      </c>
      <c r="E815" s="25">
        <f>IFERROR((D815-C815/100)*10000,"")</f>
        <v/>
      </c>
    </row>
    <row r="816">
      <c r="A816" s="23">
        <f>IFERROR(INDEX($R$23:$R$823,ROW()-22),"")</f>
        <v/>
      </c>
      <c r="B816">
        <f>IFERROR(INDEX($S$23:$S$823,ROW()-22),"")</f>
        <v/>
      </c>
      <c r="C816">
        <f>IFERROR(INDEX($W$23:$W$823,ROW()-22),"")</f>
        <v/>
      </c>
      <c r="D816" s="24">
        <f>IFERROR(1/B816,"")</f>
        <v/>
      </c>
      <c r="E816" s="25">
        <f>IFERROR((D816-C816/100)*10000,"")</f>
        <v/>
      </c>
    </row>
    <row r="817">
      <c r="A817" s="23">
        <f>IFERROR(INDEX($R$23:$R$823,ROW()-22),"")</f>
        <v/>
      </c>
      <c r="B817">
        <f>IFERROR(INDEX($S$23:$S$823,ROW()-22),"")</f>
        <v/>
      </c>
      <c r="C817">
        <f>IFERROR(INDEX($W$23:$W$823,ROW()-22),"")</f>
        <v/>
      </c>
      <c r="D817" s="24">
        <f>IFERROR(1/B817,"")</f>
        <v/>
      </c>
      <c r="E817" s="25">
        <f>IFERROR((D817-C817/100)*10000,"")</f>
        <v/>
      </c>
    </row>
    <row r="818">
      <c r="A818" s="23">
        <f>IFERROR(INDEX($R$23:$R$823,ROW()-22),"")</f>
        <v/>
      </c>
      <c r="B818">
        <f>IFERROR(INDEX($S$23:$S$823,ROW()-22),"")</f>
        <v/>
      </c>
      <c r="C818">
        <f>IFERROR(INDEX($W$23:$W$823,ROW()-22),"")</f>
        <v/>
      </c>
      <c r="D818" s="24">
        <f>IFERROR(1/B818,"")</f>
        <v/>
      </c>
      <c r="E818" s="25">
        <f>IFERROR((D818-C818/100)*10000,"")</f>
        <v/>
      </c>
    </row>
    <row r="819">
      <c r="A819" s="23">
        <f>IFERROR(INDEX($R$23:$R$823,ROW()-22),"")</f>
        <v/>
      </c>
      <c r="B819">
        <f>IFERROR(INDEX($S$23:$S$823,ROW()-22),"")</f>
        <v/>
      </c>
      <c r="C819">
        <f>IFERROR(INDEX($W$23:$W$823,ROW()-22),"")</f>
        <v/>
      </c>
      <c r="D819" s="24">
        <f>IFERROR(1/B819,"")</f>
        <v/>
      </c>
      <c r="E819" s="25">
        <f>IFERROR((D819-C819/100)*10000,"")</f>
        <v/>
      </c>
    </row>
    <row r="820">
      <c r="A820" s="23">
        <f>IFERROR(INDEX($R$23:$R$823,ROW()-22),"")</f>
        <v/>
      </c>
      <c r="B820">
        <f>IFERROR(INDEX($S$23:$S$823,ROW()-22),"")</f>
        <v/>
      </c>
      <c r="C820">
        <f>IFERROR(INDEX($W$23:$W$823,ROW()-22),"")</f>
        <v/>
      </c>
      <c r="D820" s="24">
        <f>IFERROR(1/B820,"")</f>
        <v/>
      </c>
      <c r="E820" s="25">
        <f>IFERROR((D820-C820/100)*10000,"")</f>
        <v/>
      </c>
    </row>
    <row r="821">
      <c r="A821" s="23">
        <f>IFERROR(INDEX($R$23:$R$823,ROW()-22),"")</f>
        <v/>
      </c>
      <c r="B821">
        <f>IFERROR(INDEX($S$23:$S$823,ROW()-22),"")</f>
        <v/>
      </c>
      <c r="C821">
        <f>IFERROR(INDEX($W$23:$W$823,ROW()-22),"")</f>
        <v/>
      </c>
      <c r="D821" s="24">
        <f>IFERROR(1/B821,"")</f>
        <v/>
      </c>
      <c r="E821" s="25">
        <f>IFERROR((D821-C821/100)*10000,"")</f>
        <v/>
      </c>
    </row>
    <row r="822">
      <c r="A822" s="23">
        <f>IFERROR(INDEX($R$23:$R$823,ROW()-22),"")</f>
        <v/>
      </c>
      <c r="B822">
        <f>IFERROR(INDEX($S$23:$S$823,ROW()-22),"")</f>
        <v/>
      </c>
      <c r="C822">
        <f>IFERROR(INDEX($W$23:$W$823,ROW()-22),"")</f>
        <v/>
      </c>
      <c r="D822" s="24">
        <f>IFERROR(1/B822,"")</f>
        <v/>
      </c>
      <c r="E822" s="25">
        <f>IFERROR((D822-C822/100)*10000,"")</f>
        <v/>
      </c>
    </row>
  </sheetData>
  <pageMargins left="0.75" right="0.75" top="1" bottom="1" header="0.5" footer="0.5"/>
  <drawing xmlns:r="http://schemas.openxmlformats.org/officeDocument/2006/relationships" r:id="rId1"/>
</worksheet>
</file>

<file path=xl/worksheets/sheet4.xml><?xml version="1.0" encoding="utf-8"?>
<worksheet xmlns="http://schemas.openxmlformats.org/spreadsheetml/2006/main">
  <sheetPr>
    <outlinePr summaryBelow="1" summaryRight="1"/>
    <pageSetUpPr/>
  </sheetPr>
  <dimension ref="A1:V808"/>
  <sheetViews>
    <sheetView showGridLines="0" workbookViewId="0">
      <pane ySplit="4" topLeftCell="A5" activePane="bottomLeft" state="frozen"/>
      <selection pane="bottomLeft" activeCell="A1" sqref="A1"/>
    </sheetView>
  </sheetViews>
  <sheetFormatPr baseColWidth="8" defaultRowHeight="15"/>
  <cols>
    <col width="12" customWidth="1" min="1" max="1"/>
    <col width="13" customWidth="1" min="2" max="2"/>
    <col width="13" customWidth="1" min="3" max="3"/>
    <col width="13" customWidth="1" min="4" max="4"/>
    <col width="13" customWidth="1" min="5" max="5"/>
    <col width="14" customWidth="1" min="6" max="6"/>
    <col width="8" customWidth="1" min="7" max="7"/>
  </cols>
  <sheetData>
    <row r="1">
      <c r="A1" s="1" t="inlineStr">
        <is>
          <t>Rolling stock–bond correlation — §5.4</t>
        </is>
      </c>
    </row>
    <row r="2">
      <c r="A2" s="2" t="inlineStr">
        <is>
          <t>The highest-value pull in the deck. If this has turned positive in 2026, the claim that fixed income is not a hedge stops being an assertion and becomes a chart.</t>
        </is>
      </c>
    </row>
    <row r="3" ht="4" customHeight="1">
      <c r="A3" s="3" t="n"/>
      <c r="B3" s="3" t="n"/>
      <c r="C3" s="3" t="n"/>
      <c r="D3" s="3" t="n"/>
      <c r="E3" s="3" t="n"/>
      <c r="F3" s="3" t="n"/>
      <c r="G3" s="3" t="n"/>
      <c r="H3" s="3" t="n"/>
    </row>
    <row r="5">
      <c r="A5" s="12" t="inlineStr">
        <is>
          <t>Two BQL calls, one per security, staged out to the right. A is the date spine; B and C are looked up onto it by date, so the two series stay aligned even though they trade different calendars. D and E are daily changes; F is the rolling correlation over CorrWindow trading days. Nothing below is typed.</t>
        </is>
      </c>
      <c r="R5" s="12" t="inlineStr">
        <is>
          <t>Staging — one BQL call per security. Each spills DATE and value; the working columns on the left look them up by date. Blocks: R = S&amp;P 500 · V = UST 10y.  If a block comes back with an extra ID column, shift that block's value column by one — nothing else needs to change.</t>
        </is>
      </c>
    </row>
    <row r="6">
      <c r="A6" s="9" t="inlineStr">
        <is>
          <t>Date alignment check</t>
        </is>
      </c>
      <c r="C6" s="9">
        <f>IFERROR(SUMPRODUCT(--($R$9:$R$809&lt;&gt;"")*($V$9:$V$809&lt;&gt;"")*($R$9:$R$809&lt;&gt;$V$9:$V$809)),"")</f>
        <v/>
      </c>
      <c r="D6" s="2">
        <f>IF(C6="","",IF(C6=0,"OK — blocks are row-aligned","MISALIGNED: "&amp;C6&amp;" rows differ. Do not use these numbers; switch the value columns to INDEX/MATCH on the date."))</f>
        <v/>
      </c>
    </row>
    <row r="8" ht="18" customHeight="1">
      <c r="A8" s="4" t="inlineStr">
        <is>
          <t>Date</t>
        </is>
      </c>
      <c r="B8" s="4" t="inlineStr">
        <is>
          <t>S&amp;P 500</t>
        </is>
      </c>
      <c r="C8" s="4" t="inlineStr">
        <is>
          <t>UST 10y, %</t>
        </is>
      </c>
      <c r="D8" s="4" t="inlineStr">
        <is>
          <t>SPX log ret</t>
        </is>
      </c>
      <c r="E8" s="4" t="inlineStr">
        <is>
          <t>10y chg, bp</t>
        </is>
      </c>
      <c r="F8" s="4" t="inlineStr">
        <is>
          <t>Rolling corr</t>
        </is>
      </c>
      <c r="G8" s="4" t="inlineStr">
        <is>
          <t>Zero</t>
        </is>
      </c>
      <c r="R8" s="10">
        <f>BQL("SPX Index","px_last(dates=range("&amp;TEXT(StartLong,"yyyy-mm-dd")&amp;","&amp;TEXT(AsOf,"yyyy-mm-dd")&amp;"), fill=prev)")</f>
        <v/>
      </c>
      <c r="V8" s="10">
        <f>BQL("USGG10YR Index","px_last(dates=range("&amp;TEXT(StartLong,"yyyy-mm-dd")&amp;","&amp;TEXT(AsOf,"yyyy-mm-dd")&amp;"), fill=prev)")</f>
        <v/>
      </c>
    </row>
    <row r="9">
      <c r="A9" s="23">
        <f>IFERROR(INDEX($R$9:$R$809,ROW()-8),"")</f>
        <v/>
      </c>
      <c r="B9">
        <f>IFERROR(INDEX($S$9:$S$809,ROW()-8),"")</f>
        <v/>
      </c>
      <c r="C9">
        <f>IFERROR(INDEX($W$9:$W$809,ROW()-8),"")</f>
        <v/>
      </c>
      <c r="D9" s="26">
        <f>""</f>
        <v/>
      </c>
      <c r="E9" s="27">
        <f>""</f>
        <v/>
      </c>
      <c r="F9" s="28">
        <f>IF(ROW()-8&lt;CorrWindow,"",IFERROR(CORREL(INDEX($D$9:$D$809,ROW()-8-CorrWindow+1):D9,INDEX($E$9:$E$809,ROW()-8-CorrWindow+1):E9),""))</f>
        <v/>
      </c>
      <c r="G9">
        <f>IF(A9="","",0)</f>
        <v/>
      </c>
    </row>
    <row r="10">
      <c r="A10" s="23">
        <f>IFERROR(INDEX($R$9:$R$809,ROW()-8),"")</f>
        <v/>
      </c>
      <c r="B10">
        <f>IFERROR(INDEX($S$9:$S$809,ROW()-8),"")</f>
        <v/>
      </c>
      <c r="C10">
        <f>IFERROR(INDEX($W$9:$W$809,ROW()-8),"")</f>
        <v/>
      </c>
      <c r="D10" s="26">
        <f>IF(COUNT(B9:B10)=2,LN(B10/B9),"")</f>
        <v/>
      </c>
      <c r="E10" s="27">
        <f>IF(COUNT(C9:C10)=2,(C10-C9)*100,"")</f>
        <v/>
      </c>
      <c r="F10" s="28">
        <f>IF(ROW()-8&lt;CorrWindow,"",IFERROR(CORREL(INDEX($D$9:$D$809,ROW()-8-CorrWindow+1):D10,INDEX($E$9:$E$809,ROW()-8-CorrWindow+1):E10),""))</f>
        <v/>
      </c>
      <c r="G10">
        <f>IF(A10="","",0)</f>
        <v/>
      </c>
    </row>
    <row r="11">
      <c r="A11" s="23">
        <f>IFERROR(INDEX($R$9:$R$809,ROW()-8),"")</f>
        <v/>
      </c>
      <c r="B11">
        <f>IFERROR(INDEX($S$9:$S$809,ROW()-8),"")</f>
        <v/>
      </c>
      <c r="C11">
        <f>IFERROR(INDEX($W$9:$W$809,ROW()-8),"")</f>
        <v/>
      </c>
      <c r="D11" s="26">
        <f>IF(COUNT(B10:B11)=2,LN(B11/B10),"")</f>
        <v/>
      </c>
      <c r="E11" s="27">
        <f>IF(COUNT(C10:C11)=2,(C11-C10)*100,"")</f>
        <v/>
      </c>
      <c r="F11" s="28">
        <f>IF(ROW()-8&lt;CorrWindow,"",IFERROR(CORREL(INDEX($D$9:$D$809,ROW()-8-CorrWindow+1):D11,INDEX($E$9:$E$809,ROW()-8-CorrWindow+1):E11),""))</f>
        <v/>
      </c>
      <c r="G11">
        <f>IF(A11="","",0)</f>
        <v/>
      </c>
    </row>
    <row r="12">
      <c r="A12" s="23">
        <f>IFERROR(INDEX($R$9:$R$809,ROW()-8),"")</f>
        <v/>
      </c>
      <c r="B12">
        <f>IFERROR(INDEX($S$9:$S$809,ROW()-8),"")</f>
        <v/>
      </c>
      <c r="C12">
        <f>IFERROR(INDEX($W$9:$W$809,ROW()-8),"")</f>
        <v/>
      </c>
      <c r="D12" s="26">
        <f>IF(COUNT(B11:B12)=2,LN(B12/B11),"")</f>
        <v/>
      </c>
      <c r="E12" s="27">
        <f>IF(COUNT(C11:C12)=2,(C12-C11)*100,"")</f>
        <v/>
      </c>
      <c r="F12" s="28">
        <f>IF(ROW()-8&lt;CorrWindow,"",IFERROR(CORREL(INDEX($D$9:$D$809,ROW()-8-CorrWindow+1):D12,INDEX($E$9:$E$809,ROW()-8-CorrWindow+1):E12),""))</f>
        <v/>
      </c>
      <c r="G12">
        <f>IF(A12="","",0)</f>
        <v/>
      </c>
    </row>
    <row r="13">
      <c r="A13" s="23">
        <f>IFERROR(INDEX($R$9:$R$809,ROW()-8),"")</f>
        <v/>
      </c>
      <c r="B13">
        <f>IFERROR(INDEX($S$9:$S$809,ROW()-8),"")</f>
        <v/>
      </c>
      <c r="C13">
        <f>IFERROR(INDEX($W$9:$W$809,ROW()-8),"")</f>
        <v/>
      </c>
      <c r="D13" s="26">
        <f>IF(COUNT(B12:B13)=2,LN(B13/B12),"")</f>
        <v/>
      </c>
      <c r="E13" s="27">
        <f>IF(COUNT(C12:C13)=2,(C13-C12)*100,"")</f>
        <v/>
      </c>
      <c r="F13" s="28">
        <f>IF(ROW()-8&lt;CorrWindow,"",IFERROR(CORREL(INDEX($D$9:$D$809,ROW()-8-CorrWindow+1):D13,INDEX($E$9:$E$809,ROW()-8-CorrWindow+1):E13),""))</f>
        <v/>
      </c>
      <c r="G13">
        <f>IF(A13="","",0)</f>
        <v/>
      </c>
    </row>
    <row r="14">
      <c r="A14" s="23">
        <f>IFERROR(INDEX($R$9:$R$809,ROW()-8),"")</f>
        <v/>
      </c>
      <c r="B14">
        <f>IFERROR(INDEX($S$9:$S$809,ROW()-8),"")</f>
        <v/>
      </c>
      <c r="C14">
        <f>IFERROR(INDEX($W$9:$W$809,ROW()-8),"")</f>
        <v/>
      </c>
      <c r="D14" s="26">
        <f>IF(COUNT(B13:B14)=2,LN(B14/B13),"")</f>
        <v/>
      </c>
      <c r="E14" s="27">
        <f>IF(COUNT(C13:C14)=2,(C14-C13)*100,"")</f>
        <v/>
      </c>
      <c r="F14" s="28">
        <f>IF(ROW()-8&lt;CorrWindow,"",IFERROR(CORREL(INDEX($D$9:$D$809,ROW()-8-CorrWindow+1):D14,INDEX($E$9:$E$809,ROW()-8-CorrWindow+1):E14),""))</f>
        <v/>
      </c>
      <c r="G14">
        <f>IF(A14="","",0)</f>
        <v/>
      </c>
    </row>
    <row r="15">
      <c r="A15" s="23">
        <f>IFERROR(INDEX($R$9:$R$809,ROW()-8),"")</f>
        <v/>
      </c>
      <c r="B15">
        <f>IFERROR(INDEX($S$9:$S$809,ROW()-8),"")</f>
        <v/>
      </c>
      <c r="C15">
        <f>IFERROR(INDEX($W$9:$W$809,ROW()-8),"")</f>
        <v/>
      </c>
      <c r="D15" s="26">
        <f>IF(COUNT(B14:B15)=2,LN(B15/B14),"")</f>
        <v/>
      </c>
      <c r="E15" s="27">
        <f>IF(COUNT(C14:C15)=2,(C15-C14)*100,"")</f>
        <v/>
      </c>
      <c r="F15" s="28">
        <f>IF(ROW()-8&lt;CorrWindow,"",IFERROR(CORREL(INDEX($D$9:$D$809,ROW()-8-CorrWindow+1):D15,INDEX($E$9:$E$809,ROW()-8-CorrWindow+1):E15),""))</f>
        <v/>
      </c>
      <c r="G15">
        <f>IF(A15="","",0)</f>
        <v/>
      </c>
    </row>
    <row r="16">
      <c r="A16" s="23">
        <f>IFERROR(INDEX($R$9:$R$809,ROW()-8),"")</f>
        <v/>
      </c>
      <c r="B16">
        <f>IFERROR(INDEX($S$9:$S$809,ROW()-8),"")</f>
        <v/>
      </c>
      <c r="C16">
        <f>IFERROR(INDEX($W$9:$W$809,ROW()-8),"")</f>
        <v/>
      </c>
      <c r="D16" s="26">
        <f>IF(COUNT(B15:B16)=2,LN(B16/B15),"")</f>
        <v/>
      </c>
      <c r="E16" s="27">
        <f>IF(COUNT(C15:C16)=2,(C16-C15)*100,"")</f>
        <v/>
      </c>
      <c r="F16" s="28">
        <f>IF(ROW()-8&lt;CorrWindow,"",IFERROR(CORREL(INDEX($D$9:$D$809,ROW()-8-CorrWindow+1):D16,INDEX($E$9:$E$809,ROW()-8-CorrWindow+1):E16),""))</f>
        <v/>
      </c>
      <c r="G16">
        <f>IF(A16="","",0)</f>
        <v/>
      </c>
    </row>
    <row r="17">
      <c r="A17" s="23">
        <f>IFERROR(INDEX($R$9:$R$809,ROW()-8),"")</f>
        <v/>
      </c>
      <c r="B17">
        <f>IFERROR(INDEX($S$9:$S$809,ROW()-8),"")</f>
        <v/>
      </c>
      <c r="C17">
        <f>IFERROR(INDEX($W$9:$W$809,ROW()-8),"")</f>
        <v/>
      </c>
      <c r="D17" s="26">
        <f>IF(COUNT(B16:B17)=2,LN(B17/B16),"")</f>
        <v/>
      </c>
      <c r="E17" s="27">
        <f>IF(COUNT(C16:C17)=2,(C17-C16)*100,"")</f>
        <v/>
      </c>
      <c r="F17" s="28">
        <f>IF(ROW()-8&lt;CorrWindow,"",IFERROR(CORREL(INDEX($D$9:$D$809,ROW()-8-CorrWindow+1):D17,INDEX($E$9:$E$809,ROW()-8-CorrWindow+1):E17),""))</f>
        <v/>
      </c>
      <c r="G17">
        <f>IF(A17="","",0)</f>
        <v/>
      </c>
    </row>
    <row r="18">
      <c r="A18" s="23">
        <f>IFERROR(INDEX($R$9:$R$809,ROW()-8),"")</f>
        <v/>
      </c>
      <c r="B18">
        <f>IFERROR(INDEX($S$9:$S$809,ROW()-8),"")</f>
        <v/>
      </c>
      <c r="C18">
        <f>IFERROR(INDEX($W$9:$W$809,ROW()-8),"")</f>
        <v/>
      </c>
      <c r="D18" s="26">
        <f>IF(COUNT(B17:B18)=2,LN(B18/B17),"")</f>
        <v/>
      </c>
      <c r="E18" s="27">
        <f>IF(COUNT(C17:C18)=2,(C18-C17)*100,"")</f>
        <v/>
      </c>
      <c r="F18" s="28">
        <f>IF(ROW()-8&lt;CorrWindow,"",IFERROR(CORREL(INDEX($D$9:$D$809,ROW()-8-CorrWindow+1):D18,INDEX($E$9:$E$809,ROW()-8-CorrWindow+1):E18),""))</f>
        <v/>
      </c>
      <c r="G18">
        <f>IF(A18="","",0)</f>
        <v/>
      </c>
    </row>
    <row r="19">
      <c r="A19" s="23">
        <f>IFERROR(INDEX($R$9:$R$809,ROW()-8),"")</f>
        <v/>
      </c>
      <c r="B19">
        <f>IFERROR(INDEX($S$9:$S$809,ROW()-8),"")</f>
        <v/>
      </c>
      <c r="C19">
        <f>IFERROR(INDEX($W$9:$W$809,ROW()-8),"")</f>
        <v/>
      </c>
      <c r="D19" s="26">
        <f>IF(COUNT(B18:B19)=2,LN(B19/B18),"")</f>
        <v/>
      </c>
      <c r="E19" s="27">
        <f>IF(COUNT(C18:C19)=2,(C19-C18)*100,"")</f>
        <v/>
      </c>
      <c r="F19" s="28">
        <f>IF(ROW()-8&lt;CorrWindow,"",IFERROR(CORREL(INDEX($D$9:$D$809,ROW()-8-CorrWindow+1):D19,INDEX($E$9:$E$809,ROW()-8-CorrWindow+1):E19),""))</f>
        <v/>
      </c>
      <c r="G19">
        <f>IF(A19="","",0)</f>
        <v/>
      </c>
    </row>
    <row r="20">
      <c r="A20" s="23">
        <f>IFERROR(INDEX($R$9:$R$809,ROW()-8),"")</f>
        <v/>
      </c>
      <c r="B20">
        <f>IFERROR(INDEX($S$9:$S$809,ROW()-8),"")</f>
        <v/>
      </c>
      <c r="C20">
        <f>IFERROR(INDEX($W$9:$W$809,ROW()-8),"")</f>
        <v/>
      </c>
      <c r="D20" s="26">
        <f>IF(COUNT(B19:B20)=2,LN(B20/B19),"")</f>
        <v/>
      </c>
      <c r="E20" s="27">
        <f>IF(COUNT(C19:C20)=2,(C20-C19)*100,"")</f>
        <v/>
      </c>
      <c r="F20" s="28">
        <f>IF(ROW()-8&lt;CorrWindow,"",IFERROR(CORREL(INDEX($D$9:$D$809,ROW()-8-CorrWindow+1):D20,INDEX($E$9:$E$809,ROW()-8-CorrWindow+1):E20),""))</f>
        <v/>
      </c>
      <c r="G20">
        <f>IF(A20="","",0)</f>
        <v/>
      </c>
    </row>
    <row r="21">
      <c r="A21" s="23">
        <f>IFERROR(INDEX($R$9:$R$809,ROW()-8),"")</f>
        <v/>
      </c>
      <c r="B21">
        <f>IFERROR(INDEX($S$9:$S$809,ROW()-8),"")</f>
        <v/>
      </c>
      <c r="C21">
        <f>IFERROR(INDEX($W$9:$W$809,ROW()-8),"")</f>
        <v/>
      </c>
      <c r="D21" s="26">
        <f>IF(COUNT(B20:B21)=2,LN(B21/B20),"")</f>
        <v/>
      </c>
      <c r="E21" s="27">
        <f>IF(COUNT(C20:C21)=2,(C21-C20)*100,"")</f>
        <v/>
      </c>
      <c r="F21" s="28">
        <f>IF(ROW()-8&lt;CorrWindow,"",IFERROR(CORREL(INDEX($D$9:$D$809,ROW()-8-CorrWindow+1):D21,INDEX($E$9:$E$809,ROW()-8-CorrWindow+1):E21),""))</f>
        <v/>
      </c>
      <c r="G21">
        <f>IF(A21="","",0)</f>
        <v/>
      </c>
    </row>
    <row r="22">
      <c r="A22" s="23">
        <f>IFERROR(INDEX($R$9:$R$809,ROW()-8),"")</f>
        <v/>
      </c>
      <c r="B22">
        <f>IFERROR(INDEX($S$9:$S$809,ROW()-8),"")</f>
        <v/>
      </c>
      <c r="C22">
        <f>IFERROR(INDEX($W$9:$W$809,ROW()-8),"")</f>
        <v/>
      </c>
      <c r="D22" s="26">
        <f>IF(COUNT(B21:B22)=2,LN(B22/B21),"")</f>
        <v/>
      </c>
      <c r="E22" s="27">
        <f>IF(COUNT(C21:C22)=2,(C22-C21)*100,"")</f>
        <v/>
      </c>
      <c r="F22" s="28">
        <f>IF(ROW()-8&lt;CorrWindow,"",IFERROR(CORREL(INDEX($D$9:$D$809,ROW()-8-CorrWindow+1):D22,INDEX($E$9:$E$809,ROW()-8-CorrWindow+1):E22),""))</f>
        <v/>
      </c>
      <c r="G22">
        <f>IF(A22="","",0)</f>
        <v/>
      </c>
    </row>
    <row r="23">
      <c r="A23" s="23">
        <f>IFERROR(INDEX($R$9:$R$809,ROW()-8),"")</f>
        <v/>
      </c>
      <c r="B23">
        <f>IFERROR(INDEX($S$9:$S$809,ROW()-8),"")</f>
        <v/>
      </c>
      <c r="C23">
        <f>IFERROR(INDEX($W$9:$W$809,ROW()-8),"")</f>
        <v/>
      </c>
      <c r="D23" s="26">
        <f>IF(COUNT(B22:B23)=2,LN(B23/B22),"")</f>
        <v/>
      </c>
      <c r="E23" s="27">
        <f>IF(COUNT(C22:C23)=2,(C23-C22)*100,"")</f>
        <v/>
      </c>
      <c r="F23" s="28">
        <f>IF(ROW()-8&lt;CorrWindow,"",IFERROR(CORREL(INDEX($D$9:$D$809,ROW()-8-CorrWindow+1):D23,INDEX($E$9:$E$809,ROW()-8-CorrWindow+1):E23),""))</f>
        <v/>
      </c>
      <c r="G23">
        <f>IF(A23="","",0)</f>
        <v/>
      </c>
    </row>
    <row r="24">
      <c r="A24" s="23">
        <f>IFERROR(INDEX($R$9:$R$809,ROW()-8),"")</f>
        <v/>
      </c>
      <c r="B24">
        <f>IFERROR(INDEX($S$9:$S$809,ROW()-8),"")</f>
        <v/>
      </c>
      <c r="C24">
        <f>IFERROR(INDEX($W$9:$W$809,ROW()-8),"")</f>
        <v/>
      </c>
      <c r="D24" s="26">
        <f>IF(COUNT(B23:B24)=2,LN(B24/B23),"")</f>
        <v/>
      </c>
      <c r="E24" s="27">
        <f>IF(COUNT(C23:C24)=2,(C24-C23)*100,"")</f>
        <v/>
      </c>
      <c r="F24" s="28">
        <f>IF(ROW()-8&lt;CorrWindow,"",IFERROR(CORREL(INDEX($D$9:$D$809,ROW()-8-CorrWindow+1):D24,INDEX($E$9:$E$809,ROW()-8-CorrWindow+1):E24),""))</f>
        <v/>
      </c>
      <c r="G24">
        <f>IF(A24="","",0)</f>
        <v/>
      </c>
    </row>
    <row r="25">
      <c r="A25" s="23">
        <f>IFERROR(INDEX($R$9:$R$809,ROW()-8),"")</f>
        <v/>
      </c>
      <c r="B25">
        <f>IFERROR(INDEX($S$9:$S$809,ROW()-8),"")</f>
        <v/>
      </c>
      <c r="C25">
        <f>IFERROR(INDEX($W$9:$W$809,ROW()-8),"")</f>
        <v/>
      </c>
      <c r="D25" s="26">
        <f>IF(COUNT(B24:B25)=2,LN(B25/B24),"")</f>
        <v/>
      </c>
      <c r="E25" s="27">
        <f>IF(COUNT(C24:C25)=2,(C25-C24)*100,"")</f>
        <v/>
      </c>
      <c r="F25" s="28">
        <f>IF(ROW()-8&lt;CorrWindow,"",IFERROR(CORREL(INDEX($D$9:$D$809,ROW()-8-CorrWindow+1):D25,INDEX($E$9:$E$809,ROW()-8-CorrWindow+1):E25),""))</f>
        <v/>
      </c>
      <c r="G25">
        <f>IF(A25="","",0)</f>
        <v/>
      </c>
    </row>
    <row r="26">
      <c r="A26" s="23">
        <f>IFERROR(INDEX($R$9:$R$809,ROW()-8),"")</f>
        <v/>
      </c>
      <c r="B26">
        <f>IFERROR(INDEX($S$9:$S$809,ROW()-8),"")</f>
        <v/>
      </c>
      <c r="C26">
        <f>IFERROR(INDEX($W$9:$W$809,ROW()-8),"")</f>
        <v/>
      </c>
      <c r="D26" s="26">
        <f>IF(COUNT(B25:B26)=2,LN(B26/B25),"")</f>
        <v/>
      </c>
      <c r="E26" s="27">
        <f>IF(COUNT(C25:C26)=2,(C26-C25)*100,"")</f>
        <v/>
      </c>
      <c r="F26" s="28">
        <f>IF(ROW()-8&lt;CorrWindow,"",IFERROR(CORREL(INDEX($D$9:$D$809,ROW()-8-CorrWindow+1):D26,INDEX($E$9:$E$809,ROW()-8-CorrWindow+1):E26),""))</f>
        <v/>
      </c>
      <c r="G26">
        <f>IF(A26="","",0)</f>
        <v/>
      </c>
    </row>
    <row r="27">
      <c r="A27" s="23">
        <f>IFERROR(INDEX($R$9:$R$809,ROW()-8),"")</f>
        <v/>
      </c>
      <c r="B27">
        <f>IFERROR(INDEX($S$9:$S$809,ROW()-8),"")</f>
        <v/>
      </c>
      <c r="C27">
        <f>IFERROR(INDEX($W$9:$W$809,ROW()-8),"")</f>
        <v/>
      </c>
      <c r="D27" s="26">
        <f>IF(COUNT(B26:B27)=2,LN(B27/B26),"")</f>
        <v/>
      </c>
      <c r="E27" s="27">
        <f>IF(COUNT(C26:C27)=2,(C27-C26)*100,"")</f>
        <v/>
      </c>
      <c r="F27" s="28">
        <f>IF(ROW()-8&lt;CorrWindow,"",IFERROR(CORREL(INDEX($D$9:$D$809,ROW()-8-CorrWindow+1):D27,INDEX($E$9:$E$809,ROW()-8-CorrWindow+1):E27),""))</f>
        <v/>
      </c>
      <c r="G27">
        <f>IF(A27="","",0)</f>
        <v/>
      </c>
    </row>
    <row r="28">
      <c r="A28" s="23">
        <f>IFERROR(INDEX($R$9:$R$809,ROW()-8),"")</f>
        <v/>
      </c>
      <c r="B28">
        <f>IFERROR(INDEX($S$9:$S$809,ROW()-8),"")</f>
        <v/>
      </c>
      <c r="C28">
        <f>IFERROR(INDEX($W$9:$W$809,ROW()-8),"")</f>
        <v/>
      </c>
      <c r="D28" s="26">
        <f>IF(COUNT(B27:B28)=2,LN(B28/B27),"")</f>
        <v/>
      </c>
      <c r="E28" s="27">
        <f>IF(COUNT(C27:C28)=2,(C28-C27)*100,"")</f>
        <v/>
      </c>
      <c r="F28" s="28">
        <f>IF(ROW()-8&lt;CorrWindow,"",IFERROR(CORREL(INDEX($D$9:$D$809,ROW()-8-CorrWindow+1):D28,INDEX($E$9:$E$809,ROW()-8-CorrWindow+1):E28),""))</f>
        <v/>
      </c>
      <c r="G28">
        <f>IF(A28="","",0)</f>
        <v/>
      </c>
    </row>
    <row r="29">
      <c r="A29" s="23">
        <f>IFERROR(INDEX($R$9:$R$809,ROW()-8),"")</f>
        <v/>
      </c>
      <c r="B29">
        <f>IFERROR(INDEX($S$9:$S$809,ROW()-8),"")</f>
        <v/>
      </c>
      <c r="C29">
        <f>IFERROR(INDEX($W$9:$W$809,ROW()-8),"")</f>
        <v/>
      </c>
      <c r="D29" s="26">
        <f>IF(COUNT(B28:B29)=2,LN(B29/B28),"")</f>
        <v/>
      </c>
      <c r="E29" s="27">
        <f>IF(COUNT(C28:C29)=2,(C29-C28)*100,"")</f>
        <v/>
      </c>
      <c r="F29" s="28">
        <f>IF(ROW()-8&lt;CorrWindow,"",IFERROR(CORREL(INDEX($D$9:$D$809,ROW()-8-CorrWindow+1):D29,INDEX($E$9:$E$809,ROW()-8-CorrWindow+1):E29),""))</f>
        <v/>
      </c>
      <c r="G29">
        <f>IF(A29="","",0)</f>
        <v/>
      </c>
    </row>
    <row r="30">
      <c r="A30" s="23">
        <f>IFERROR(INDEX($R$9:$R$809,ROW()-8),"")</f>
        <v/>
      </c>
      <c r="B30">
        <f>IFERROR(INDEX($S$9:$S$809,ROW()-8),"")</f>
        <v/>
      </c>
      <c r="C30">
        <f>IFERROR(INDEX($W$9:$W$809,ROW()-8),"")</f>
        <v/>
      </c>
      <c r="D30" s="26">
        <f>IF(COUNT(B29:B30)=2,LN(B30/B29),"")</f>
        <v/>
      </c>
      <c r="E30" s="27">
        <f>IF(COUNT(C29:C30)=2,(C30-C29)*100,"")</f>
        <v/>
      </c>
      <c r="F30" s="28">
        <f>IF(ROW()-8&lt;CorrWindow,"",IFERROR(CORREL(INDEX($D$9:$D$809,ROW()-8-CorrWindow+1):D30,INDEX($E$9:$E$809,ROW()-8-CorrWindow+1):E30),""))</f>
        <v/>
      </c>
      <c r="G30">
        <f>IF(A30="","",0)</f>
        <v/>
      </c>
      <c r="I30" s="12" t="inlineStr">
        <is>
          <t>Read: a positive correlation means equities and bond prices fall together — the 60/40 hedge inverts. Screenshot this for the deck rather than re-drawing it.</t>
        </is>
      </c>
    </row>
    <row r="31">
      <c r="A31" s="23">
        <f>IFERROR(INDEX($R$9:$R$809,ROW()-8),"")</f>
        <v/>
      </c>
      <c r="B31">
        <f>IFERROR(INDEX($S$9:$S$809,ROW()-8),"")</f>
        <v/>
      </c>
      <c r="C31">
        <f>IFERROR(INDEX($W$9:$W$809,ROW()-8),"")</f>
        <v/>
      </c>
      <c r="D31" s="26">
        <f>IF(COUNT(B30:B31)=2,LN(B31/B30),"")</f>
        <v/>
      </c>
      <c r="E31" s="27">
        <f>IF(COUNT(C30:C31)=2,(C31-C30)*100,"")</f>
        <v/>
      </c>
      <c r="F31" s="28">
        <f>IF(ROW()-8&lt;CorrWindow,"",IFERROR(CORREL(INDEX($D$9:$D$809,ROW()-8-CorrWindow+1):D31,INDEX($E$9:$E$809,ROW()-8-CorrWindow+1):E31),""))</f>
        <v/>
      </c>
      <c r="G31">
        <f>IF(A31="","",0)</f>
        <v/>
      </c>
    </row>
    <row r="32">
      <c r="A32" s="23">
        <f>IFERROR(INDEX($R$9:$R$809,ROW()-8),"")</f>
        <v/>
      </c>
      <c r="B32">
        <f>IFERROR(INDEX($S$9:$S$809,ROW()-8),"")</f>
        <v/>
      </c>
      <c r="C32">
        <f>IFERROR(INDEX($W$9:$W$809,ROW()-8),"")</f>
        <v/>
      </c>
      <c r="D32" s="26">
        <f>IF(COUNT(B31:B32)=2,LN(B32/B31),"")</f>
        <v/>
      </c>
      <c r="E32" s="27">
        <f>IF(COUNT(C31:C32)=2,(C32-C31)*100,"")</f>
        <v/>
      </c>
      <c r="F32" s="28">
        <f>IF(ROW()-8&lt;CorrWindow,"",IFERROR(CORREL(INDEX($D$9:$D$809,ROW()-8-CorrWindow+1):D32,INDEX($E$9:$E$809,ROW()-8-CorrWindow+1):E32),""))</f>
        <v/>
      </c>
      <c r="G32">
        <f>IF(A32="","",0)</f>
        <v/>
      </c>
    </row>
    <row r="33">
      <c r="A33" s="23">
        <f>IFERROR(INDEX($R$9:$R$809,ROW()-8),"")</f>
        <v/>
      </c>
      <c r="B33">
        <f>IFERROR(INDEX($S$9:$S$809,ROW()-8),"")</f>
        <v/>
      </c>
      <c r="C33">
        <f>IFERROR(INDEX($W$9:$W$809,ROW()-8),"")</f>
        <v/>
      </c>
      <c r="D33" s="26">
        <f>IF(COUNT(B32:B33)=2,LN(B33/B32),"")</f>
        <v/>
      </c>
      <c r="E33" s="27">
        <f>IF(COUNT(C32:C33)=2,(C33-C32)*100,"")</f>
        <v/>
      </c>
      <c r="F33" s="28">
        <f>IF(ROW()-8&lt;CorrWindow,"",IFERROR(CORREL(INDEX($D$9:$D$809,ROW()-8-CorrWindow+1):D33,INDEX($E$9:$E$809,ROW()-8-CorrWindow+1):E33),""))</f>
        <v/>
      </c>
      <c r="G33">
        <f>IF(A33="","",0)</f>
        <v/>
      </c>
    </row>
    <row r="34">
      <c r="A34" s="23">
        <f>IFERROR(INDEX($R$9:$R$809,ROW()-8),"")</f>
        <v/>
      </c>
      <c r="B34">
        <f>IFERROR(INDEX($S$9:$S$809,ROW()-8),"")</f>
        <v/>
      </c>
      <c r="C34">
        <f>IFERROR(INDEX($W$9:$W$809,ROW()-8),"")</f>
        <v/>
      </c>
      <c r="D34" s="26">
        <f>IF(COUNT(B33:B34)=2,LN(B34/B33),"")</f>
        <v/>
      </c>
      <c r="E34" s="27">
        <f>IF(COUNT(C33:C34)=2,(C34-C33)*100,"")</f>
        <v/>
      </c>
      <c r="F34" s="28">
        <f>IF(ROW()-8&lt;CorrWindow,"",IFERROR(CORREL(INDEX($D$9:$D$809,ROW()-8-CorrWindow+1):D34,INDEX($E$9:$E$809,ROW()-8-CorrWindow+1):E34),""))</f>
        <v/>
      </c>
      <c r="G34">
        <f>IF(A34="","",0)</f>
        <v/>
      </c>
    </row>
    <row r="35">
      <c r="A35" s="23">
        <f>IFERROR(INDEX($R$9:$R$809,ROW()-8),"")</f>
        <v/>
      </c>
      <c r="B35">
        <f>IFERROR(INDEX($S$9:$S$809,ROW()-8),"")</f>
        <v/>
      </c>
      <c r="C35">
        <f>IFERROR(INDEX($W$9:$W$809,ROW()-8),"")</f>
        <v/>
      </c>
      <c r="D35" s="26">
        <f>IF(COUNT(B34:B35)=2,LN(B35/B34),"")</f>
        <v/>
      </c>
      <c r="E35" s="27">
        <f>IF(COUNT(C34:C35)=2,(C35-C34)*100,"")</f>
        <v/>
      </c>
      <c r="F35" s="28">
        <f>IF(ROW()-8&lt;CorrWindow,"",IFERROR(CORREL(INDEX($D$9:$D$809,ROW()-8-CorrWindow+1):D35,INDEX($E$9:$E$809,ROW()-8-CorrWindow+1):E35),""))</f>
        <v/>
      </c>
      <c r="G35">
        <f>IF(A35="","",0)</f>
        <v/>
      </c>
    </row>
    <row r="36">
      <c r="A36" s="23">
        <f>IFERROR(INDEX($R$9:$R$809,ROW()-8),"")</f>
        <v/>
      </c>
      <c r="B36">
        <f>IFERROR(INDEX($S$9:$S$809,ROW()-8),"")</f>
        <v/>
      </c>
      <c r="C36">
        <f>IFERROR(INDEX($W$9:$W$809,ROW()-8),"")</f>
        <v/>
      </c>
      <c r="D36" s="26">
        <f>IF(COUNT(B35:B36)=2,LN(B36/B35),"")</f>
        <v/>
      </c>
      <c r="E36" s="27">
        <f>IF(COUNT(C35:C36)=2,(C36-C35)*100,"")</f>
        <v/>
      </c>
      <c r="F36" s="28">
        <f>IF(ROW()-8&lt;CorrWindow,"",IFERROR(CORREL(INDEX($D$9:$D$809,ROW()-8-CorrWindow+1):D36,INDEX($E$9:$E$809,ROW()-8-CorrWindow+1):E36),""))</f>
        <v/>
      </c>
      <c r="G36">
        <f>IF(A36="","",0)</f>
        <v/>
      </c>
    </row>
    <row r="37">
      <c r="A37" s="23">
        <f>IFERROR(INDEX($R$9:$R$809,ROW()-8),"")</f>
        <v/>
      </c>
      <c r="B37">
        <f>IFERROR(INDEX($S$9:$S$809,ROW()-8),"")</f>
        <v/>
      </c>
      <c r="C37">
        <f>IFERROR(INDEX($W$9:$W$809,ROW()-8),"")</f>
        <v/>
      </c>
      <c r="D37" s="26">
        <f>IF(COUNT(B36:B37)=2,LN(B37/B36),"")</f>
        <v/>
      </c>
      <c r="E37" s="27">
        <f>IF(COUNT(C36:C37)=2,(C37-C36)*100,"")</f>
        <v/>
      </c>
      <c r="F37" s="28">
        <f>IF(ROW()-8&lt;CorrWindow,"",IFERROR(CORREL(INDEX($D$9:$D$809,ROW()-8-CorrWindow+1):D37,INDEX($E$9:$E$809,ROW()-8-CorrWindow+1):E37),""))</f>
        <v/>
      </c>
      <c r="G37">
        <f>IF(A37="","",0)</f>
        <v/>
      </c>
    </row>
    <row r="38">
      <c r="A38" s="23">
        <f>IFERROR(INDEX($R$9:$R$809,ROW()-8),"")</f>
        <v/>
      </c>
      <c r="B38">
        <f>IFERROR(INDEX($S$9:$S$809,ROW()-8),"")</f>
        <v/>
      </c>
      <c r="C38">
        <f>IFERROR(INDEX($W$9:$W$809,ROW()-8),"")</f>
        <v/>
      </c>
      <c r="D38" s="26">
        <f>IF(COUNT(B37:B38)=2,LN(B38/B37),"")</f>
        <v/>
      </c>
      <c r="E38" s="27">
        <f>IF(COUNT(C37:C38)=2,(C38-C37)*100,"")</f>
        <v/>
      </c>
      <c r="F38" s="28">
        <f>IF(ROW()-8&lt;CorrWindow,"",IFERROR(CORREL(INDEX($D$9:$D$809,ROW()-8-CorrWindow+1):D38,INDEX($E$9:$E$809,ROW()-8-CorrWindow+1):E38),""))</f>
        <v/>
      </c>
      <c r="G38">
        <f>IF(A38="","",0)</f>
        <v/>
      </c>
    </row>
    <row r="39">
      <c r="A39" s="23">
        <f>IFERROR(INDEX($R$9:$R$809,ROW()-8),"")</f>
        <v/>
      </c>
      <c r="B39">
        <f>IFERROR(INDEX($S$9:$S$809,ROW()-8),"")</f>
        <v/>
      </c>
      <c r="C39">
        <f>IFERROR(INDEX($W$9:$W$809,ROW()-8),"")</f>
        <v/>
      </c>
      <c r="D39" s="26">
        <f>IF(COUNT(B38:B39)=2,LN(B39/B38),"")</f>
        <v/>
      </c>
      <c r="E39" s="27">
        <f>IF(COUNT(C38:C39)=2,(C39-C38)*100,"")</f>
        <v/>
      </c>
      <c r="F39" s="28">
        <f>IF(ROW()-8&lt;CorrWindow,"",IFERROR(CORREL(INDEX($D$9:$D$809,ROW()-8-CorrWindow+1):D39,INDEX($E$9:$E$809,ROW()-8-CorrWindow+1):E39),""))</f>
        <v/>
      </c>
      <c r="G39">
        <f>IF(A39="","",0)</f>
        <v/>
      </c>
    </row>
    <row r="40">
      <c r="A40" s="23">
        <f>IFERROR(INDEX($R$9:$R$809,ROW()-8),"")</f>
        <v/>
      </c>
      <c r="B40">
        <f>IFERROR(INDEX($S$9:$S$809,ROW()-8),"")</f>
        <v/>
      </c>
      <c r="C40">
        <f>IFERROR(INDEX($W$9:$W$809,ROW()-8),"")</f>
        <v/>
      </c>
      <c r="D40" s="26">
        <f>IF(COUNT(B39:B40)=2,LN(B40/B39),"")</f>
        <v/>
      </c>
      <c r="E40" s="27">
        <f>IF(COUNT(C39:C40)=2,(C40-C39)*100,"")</f>
        <v/>
      </c>
      <c r="F40" s="28">
        <f>IF(ROW()-8&lt;CorrWindow,"",IFERROR(CORREL(INDEX($D$9:$D$809,ROW()-8-CorrWindow+1):D40,INDEX($E$9:$E$809,ROW()-8-CorrWindow+1):E40),""))</f>
        <v/>
      </c>
      <c r="G40">
        <f>IF(A40="","",0)</f>
        <v/>
      </c>
    </row>
    <row r="41">
      <c r="A41" s="23">
        <f>IFERROR(INDEX($R$9:$R$809,ROW()-8),"")</f>
        <v/>
      </c>
      <c r="B41">
        <f>IFERROR(INDEX($S$9:$S$809,ROW()-8),"")</f>
        <v/>
      </c>
      <c r="C41">
        <f>IFERROR(INDEX($W$9:$W$809,ROW()-8),"")</f>
        <v/>
      </c>
      <c r="D41" s="26">
        <f>IF(COUNT(B40:B41)=2,LN(B41/B40),"")</f>
        <v/>
      </c>
      <c r="E41" s="27">
        <f>IF(COUNT(C40:C41)=2,(C41-C40)*100,"")</f>
        <v/>
      </c>
      <c r="F41" s="28">
        <f>IF(ROW()-8&lt;CorrWindow,"",IFERROR(CORREL(INDEX($D$9:$D$809,ROW()-8-CorrWindow+1):D41,INDEX($E$9:$E$809,ROW()-8-CorrWindow+1):E41),""))</f>
        <v/>
      </c>
      <c r="G41">
        <f>IF(A41="","",0)</f>
        <v/>
      </c>
    </row>
    <row r="42">
      <c r="A42" s="23">
        <f>IFERROR(INDEX($R$9:$R$809,ROW()-8),"")</f>
        <v/>
      </c>
      <c r="B42">
        <f>IFERROR(INDEX($S$9:$S$809,ROW()-8),"")</f>
        <v/>
      </c>
      <c r="C42">
        <f>IFERROR(INDEX($W$9:$W$809,ROW()-8),"")</f>
        <v/>
      </c>
      <c r="D42" s="26">
        <f>IF(COUNT(B41:B42)=2,LN(B42/B41),"")</f>
        <v/>
      </c>
      <c r="E42" s="27">
        <f>IF(COUNT(C41:C42)=2,(C42-C41)*100,"")</f>
        <v/>
      </c>
      <c r="F42" s="28">
        <f>IF(ROW()-8&lt;CorrWindow,"",IFERROR(CORREL(INDEX($D$9:$D$809,ROW()-8-CorrWindow+1):D42,INDEX($E$9:$E$809,ROW()-8-CorrWindow+1):E42),""))</f>
        <v/>
      </c>
      <c r="G42">
        <f>IF(A42="","",0)</f>
        <v/>
      </c>
    </row>
    <row r="43">
      <c r="A43" s="23">
        <f>IFERROR(INDEX($R$9:$R$809,ROW()-8),"")</f>
        <v/>
      </c>
      <c r="B43">
        <f>IFERROR(INDEX($S$9:$S$809,ROW()-8),"")</f>
        <v/>
      </c>
      <c r="C43">
        <f>IFERROR(INDEX($W$9:$W$809,ROW()-8),"")</f>
        <v/>
      </c>
      <c r="D43" s="26">
        <f>IF(COUNT(B42:B43)=2,LN(B43/B42),"")</f>
        <v/>
      </c>
      <c r="E43" s="27">
        <f>IF(COUNT(C42:C43)=2,(C43-C42)*100,"")</f>
        <v/>
      </c>
      <c r="F43" s="28">
        <f>IF(ROW()-8&lt;CorrWindow,"",IFERROR(CORREL(INDEX($D$9:$D$809,ROW()-8-CorrWindow+1):D43,INDEX($E$9:$E$809,ROW()-8-CorrWindow+1):E43),""))</f>
        <v/>
      </c>
      <c r="G43">
        <f>IF(A43="","",0)</f>
        <v/>
      </c>
    </row>
    <row r="44">
      <c r="A44" s="23">
        <f>IFERROR(INDEX($R$9:$R$809,ROW()-8),"")</f>
        <v/>
      </c>
      <c r="B44">
        <f>IFERROR(INDEX($S$9:$S$809,ROW()-8),"")</f>
        <v/>
      </c>
      <c r="C44">
        <f>IFERROR(INDEX($W$9:$W$809,ROW()-8),"")</f>
        <v/>
      </c>
      <c r="D44" s="26">
        <f>IF(COUNT(B43:B44)=2,LN(B44/B43),"")</f>
        <v/>
      </c>
      <c r="E44" s="27">
        <f>IF(COUNT(C43:C44)=2,(C44-C43)*100,"")</f>
        <v/>
      </c>
      <c r="F44" s="28">
        <f>IF(ROW()-8&lt;CorrWindow,"",IFERROR(CORREL(INDEX($D$9:$D$809,ROW()-8-CorrWindow+1):D44,INDEX($E$9:$E$809,ROW()-8-CorrWindow+1):E44),""))</f>
        <v/>
      </c>
      <c r="G44">
        <f>IF(A44="","",0)</f>
        <v/>
      </c>
    </row>
    <row r="45">
      <c r="A45" s="23">
        <f>IFERROR(INDEX($R$9:$R$809,ROW()-8),"")</f>
        <v/>
      </c>
      <c r="B45">
        <f>IFERROR(INDEX($S$9:$S$809,ROW()-8),"")</f>
        <v/>
      </c>
      <c r="C45">
        <f>IFERROR(INDEX($W$9:$W$809,ROW()-8),"")</f>
        <v/>
      </c>
      <c r="D45" s="26">
        <f>IF(COUNT(B44:B45)=2,LN(B45/B44),"")</f>
        <v/>
      </c>
      <c r="E45" s="27">
        <f>IF(COUNT(C44:C45)=2,(C45-C44)*100,"")</f>
        <v/>
      </c>
      <c r="F45" s="28">
        <f>IF(ROW()-8&lt;CorrWindow,"",IFERROR(CORREL(INDEX($D$9:$D$809,ROW()-8-CorrWindow+1):D45,INDEX($E$9:$E$809,ROW()-8-CorrWindow+1):E45),""))</f>
        <v/>
      </c>
      <c r="G45">
        <f>IF(A45="","",0)</f>
        <v/>
      </c>
    </row>
    <row r="46">
      <c r="A46" s="23">
        <f>IFERROR(INDEX($R$9:$R$809,ROW()-8),"")</f>
        <v/>
      </c>
      <c r="B46">
        <f>IFERROR(INDEX($S$9:$S$809,ROW()-8),"")</f>
        <v/>
      </c>
      <c r="C46">
        <f>IFERROR(INDEX($W$9:$W$809,ROW()-8),"")</f>
        <v/>
      </c>
      <c r="D46" s="26">
        <f>IF(COUNT(B45:B46)=2,LN(B46/B45),"")</f>
        <v/>
      </c>
      <c r="E46" s="27">
        <f>IF(COUNT(C45:C46)=2,(C46-C45)*100,"")</f>
        <v/>
      </c>
      <c r="F46" s="28">
        <f>IF(ROW()-8&lt;CorrWindow,"",IFERROR(CORREL(INDEX($D$9:$D$809,ROW()-8-CorrWindow+1):D46,INDEX($E$9:$E$809,ROW()-8-CorrWindow+1):E46),""))</f>
        <v/>
      </c>
      <c r="G46">
        <f>IF(A46="","",0)</f>
        <v/>
      </c>
    </row>
    <row r="47">
      <c r="A47" s="23">
        <f>IFERROR(INDEX($R$9:$R$809,ROW()-8),"")</f>
        <v/>
      </c>
      <c r="B47">
        <f>IFERROR(INDEX($S$9:$S$809,ROW()-8),"")</f>
        <v/>
      </c>
      <c r="C47">
        <f>IFERROR(INDEX($W$9:$W$809,ROW()-8),"")</f>
        <v/>
      </c>
      <c r="D47" s="26">
        <f>IF(COUNT(B46:B47)=2,LN(B47/B46),"")</f>
        <v/>
      </c>
      <c r="E47" s="27">
        <f>IF(COUNT(C46:C47)=2,(C47-C46)*100,"")</f>
        <v/>
      </c>
      <c r="F47" s="28">
        <f>IF(ROW()-8&lt;CorrWindow,"",IFERROR(CORREL(INDEX($D$9:$D$809,ROW()-8-CorrWindow+1):D47,INDEX($E$9:$E$809,ROW()-8-CorrWindow+1):E47),""))</f>
        <v/>
      </c>
      <c r="G47">
        <f>IF(A47="","",0)</f>
        <v/>
      </c>
    </row>
    <row r="48">
      <c r="A48" s="23">
        <f>IFERROR(INDEX($R$9:$R$809,ROW()-8),"")</f>
        <v/>
      </c>
      <c r="B48">
        <f>IFERROR(INDEX($S$9:$S$809,ROW()-8),"")</f>
        <v/>
      </c>
      <c r="C48">
        <f>IFERROR(INDEX($W$9:$W$809,ROW()-8),"")</f>
        <v/>
      </c>
      <c r="D48" s="26">
        <f>IF(COUNT(B47:B48)=2,LN(B48/B47),"")</f>
        <v/>
      </c>
      <c r="E48" s="27">
        <f>IF(COUNT(C47:C48)=2,(C48-C47)*100,"")</f>
        <v/>
      </c>
      <c r="F48" s="28">
        <f>IF(ROW()-8&lt;CorrWindow,"",IFERROR(CORREL(INDEX($D$9:$D$809,ROW()-8-CorrWindow+1):D48,INDEX($E$9:$E$809,ROW()-8-CorrWindow+1):E48),""))</f>
        <v/>
      </c>
      <c r="G48">
        <f>IF(A48="","",0)</f>
        <v/>
      </c>
    </row>
    <row r="49">
      <c r="A49" s="23">
        <f>IFERROR(INDEX($R$9:$R$809,ROW()-8),"")</f>
        <v/>
      </c>
      <c r="B49">
        <f>IFERROR(INDEX($S$9:$S$809,ROW()-8),"")</f>
        <v/>
      </c>
      <c r="C49">
        <f>IFERROR(INDEX($W$9:$W$809,ROW()-8),"")</f>
        <v/>
      </c>
      <c r="D49" s="26">
        <f>IF(COUNT(B48:B49)=2,LN(B49/B48),"")</f>
        <v/>
      </c>
      <c r="E49" s="27">
        <f>IF(COUNT(C48:C49)=2,(C49-C48)*100,"")</f>
        <v/>
      </c>
      <c r="F49" s="28">
        <f>IF(ROW()-8&lt;CorrWindow,"",IFERROR(CORREL(INDEX($D$9:$D$809,ROW()-8-CorrWindow+1):D49,INDEX($E$9:$E$809,ROW()-8-CorrWindow+1):E49),""))</f>
        <v/>
      </c>
      <c r="G49">
        <f>IF(A49="","",0)</f>
        <v/>
      </c>
    </row>
    <row r="50">
      <c r="A50" s="23">
        <f>IFERROR(INDEX($R$9:$R$809,ROW()-8),"")</f>
        <v/>
      </c>
      <c r="B50">
        <f>IFERROR(INDEX($S$9:$S$809,ROW()-8),"")</f>
        <v/>
      </c>
      <c r="C50">
        <f>IFERROR(INDEX($W$9:$W$809,ROW()-8),"")</f>
        <v/>
      </c>
      <c r="D50" s="26">
        <f>IF(COUNT(B49:B50)=2,LN(B50/B49),"")</f>
        <v/>
      </c>
      <c r="E50" s="27">
        <f>IF(COUNT(C49:C50)=2,(C50-C49)*100,"")</f>
        <v/>
      </c>
      <c r="F50" s="28">
        <f>IF(ROW()-8&lt;CorrWindow,"",IFERROR(CORREL(INDEX($D$9:$D$809,ROW()-8-CorrWindow+1):D50,INDEX($E$9:$E$809,ROW()-8-CorrWindow+1):E50),""))</f>
        <v/>
      </c>
      <c r="G50">
        <f>IF(A50="","",0)</f>
        <v/>
      </c>
    </row>
    <row r="51">
      <c r="A51" s="23">
        <f>IFERROR(INDEX($R$9:$R$809,ROW()-8),"")</f>
        <v/>
      </c>
      <c r="B51">
        <f>IFERROR(INDEX($S$9:$S$809,ROW()-8),"")</f>
        <v/>
      </c>
      <c r="C51">
        <f>IFERROR(INDEX($W$9:$W$809,ROW()-8),"")</f>
        <v/>
      </c>
      <c r="D51" s="26">
        <f>IF(COUNT(B50:B51)=2,LN(B51/B50),"")</f>
        <v/>
      </c>
      <c r="E51" s="27">
        <f>IF(COUNT(C50:C51)=2,(C51-C50)*100,"")</f>
        <v/>
      </c>
      <c r="F51" s="28">
        <f>IF(ROW()-8&lt;CorrWindow,"",IFERROR(CORREL(INDEX($D$9:$D$809,ROW()-8-CorrWindow+1):D51,INDEX($E$9:$E$809,ROW()-8-CorrWindow+1):E51),""))</f>
        <v/>
      </c>
      <c r="G51">
        <f>IF(A51="","",0)</f>
        <v/>
      </c>
    </row>
    <row r="52">
      <c r="A52" s="23">
        <f>IFERROR(INDEX($R$9:$R$809,ROW()-8),"")</f>
        <v/>
      </c>
      <c r="B52">
        <f>IFERROR(INDEX($S$9:$S$809,ROW()-8),"")</f>
        <v/>
      </c>
      <c r="C52">
        <f>IFERROR(INDEX($W$9:$W$809,ROW()-8),"")</f>
        <v/>
      </c>
      <c r="D52" s="26">
        <f>IF(COUNT(B51:B52)=2,LN(B52/B51),"")</f>
        <v/>
      </c>
      <c r="E52" s="27">
        <f>IF(COUNT(C51:C52)=2,(C52-C51)*100,"")</f>
        <v/>
      </c>
      <c r="F52" s="28">
        <f>IF(ROW()-8&lt;CorrWindow,"",IFERROR(CORREL(INDEX($D$9:$D$809,ROW()-8-CorrWindow+1):D52,INDEX($E$9:$E$809,ROW()-8-CorrWindow+1):E52),""))</f>
        <v/>
      </c>
      <c r="G52">
        <f>IF(A52="","",0)</f>
        <v/>
      </c>
    </row>
    <row r="53">
      <c r="A53" s="23">
        <f>IFERROR(INDEX($R$9:$R$809,ROW()-8),"")</f>
        <v/>
      </c>
      <c r="B53">
        <f>IFERROR(INDEX($S$9:$S$809,ROW()-8),"")</f>
        <v/>
      </c>
      <c r="C53">
        <f>IFERROR(INDEX($W$9:$W$809,ROW()-8),"")</f>
        <v/>
      </c>
      <c r="D53" s="26">
        <f>IF(COUNT(B52:B53)=2,LN(B53/B52),"")</f>
        <v/>
      </c>
      <c r="E53" s="27">
        <f>IF(COUNT(C52:C53)=2,(C53-C52)*100,"")</f>
        <v/>
      </c>
      <c r="F53" s="28">
        <f>IF(ROW()-8&lt;CorrWindow,"",IFERROR(CORREL(INDEX($D$9:$D$809,ROW()-8-CorrWindow+1):D53,INDEX($E$9:$E$809,ROW()-8-CorrWindow+1):E53),""))</f>
        <v/>
      </c>
      <c r="G53">
        <f>IF(A53="","",0)</f>
        <v/>
      </c>
    </row>
    <row r="54">
      <c r="A54" s="23">
        <f>IFERROR(INDEX($R$9:$R$809,ROW()-8),"")</f>
        <v/>
      </c>
      <c r="B54">
        <f>IFERROR(INDEX($S$9:$S$809,ROW()-8),"")</f>
        <v/>
      </c>
      <c r="C54">
        <f>IFERROR(INDEX($W$9:$W$809,ROW()-8),"")</f>
        <v/>
      </c>
      <c r="D54" s="26">
        <f>IF(COUNT(B53:B54)=2,LN(B54/B53),"")</f>
        <v/>
      </c>
      <c r="E54" s="27">
        <f>IF(COUNT(C53:C54)=2,(C54-C53)*100,"")</f>
        <v/>
      </c>
      <c r="F54" s="28">
        <f>IF(ROW()-8&lt;CorrWindow,"",IFERROR(CORREL(INDEX($D$9:$D$809,ROW()-8-CorrWindow+1):D54,INDEX($E$9:$E$809,ROW()-8-CorrWindow+1):E54),""))</f>
        <v/>
      </c>
      <c r="G54">
        <f>IF(A54="","",0)</f>
        <v/>
      </c>
    </row>
    <row r="55">
      <c r="A55" s="23">
        <f>IFERROR(INDEX($R$9:$R$809,ROW()-8),"")</f>
        <v/>
      </c>
      <c r="B55">
        <f>IFERROR(INDEX($S$9:$S$809,ROW()-8),"")</f>
        <v/>
      </c>
      <c r="C55">
        <f>IFERROR(INDEX($W$9:$W$809,ROW()-8),"")</f>
        <v/>
      </c>
      <c r="D55" s="26">
        <f>IF(COUNT(B54:B55)=2,LN(B55/B54),"")</f>
        <v/>
      </c>
      <c r="E55" s="27">
        <f>IF(COUNT(C54:C55)=2,(C55-C54)*100,"")</f>
        <v/>
      </c>
      <c r="F55" s="28">
        <f>IF(ROW()-8&lt;CorrWindow,"",IFERROR(CORREL(INDEX($D$9:$D$809,ROW()-8-CorrWindow+1):D55,INDEX($E$9:$E$809,ROW()-8-CorrWindow+1):E55),""))</f>
        <v/>
      </c>
      <c r="G55">
        <f>IF(A55="","",0)</f>
        <v/>
      </c>
    </row>
    <row r="56">
      <c r="A56" s="23">
        <f>IFERROR(INDEX($R$9:$R$809,ROW()-8),"")</f>
        <v/>
      </c>
      <c r="B56">
        <f>IFERROR(INDEX($S$9:$S$809,ROW()-8),"")</f>
        <v/>
      </c>
      <c r="C56">
        <f>IFERROR(INDEX($W$9:$W$809,ROW()-8),"")</f>
        <v/>
      </c>
      <c r="D56" s="26">
        <f>IF(COUNT(B55:B56)=2,LN(B56/B55),"")</f>
        <v/>
      </c>
      <c r="E56" s="27">
        <f>IF(COUNT(C55:C56)=2,(C56-C55)*100,"")</f>
        <v/>
      </c>
      <c r="F56" s="28">
        <f>IF(ROW()-8&lt;CorrWindow,"",IFERROR(CORREL(INDEX($D$9:$D$809,ROW()-8-CorrWindow+1):D56,INDEX($E$9:$E$809,ROW()-8-CorrWindow+1):E56),""))</f>
        <v/>
      </c>
      <c r="G56">
        <f>IF(A56="","",0)</f>
        <v/>
      </c>
    </row>
    <row r="57">
      <c r="A57" s="23">
        <f>IFERROR(INDEX($R$9:$R$809,ROW()-8),"")</f>
        <v/>
      </c>
      <c r="B57">
        <f>IFERROR(INDEX($S$9:$S$809,ROW()-8),"")</f>
        <v/>
      </c>
      <c r="C57">
        <f>IFERROR(INDEX($W$9:$W$809,ROW()-8),"")</f>
        <v/>
      </c>
      <c r="D57" s="26">
        <f>IF(COUNT(B56:B57)=2,LN(B57/B56),"")</f>
        <v/>
      </c>
      <c r="E57" s="27">
        <f>IF(COUNT(C56:C57)=2,(C57-C56)*100,"")</f>
        <v/>
      </c>
      <c r="F57" s="28">
        <f>IF(ROW()-8&lt;CorrWindow,"",IFERROR(CORREL(INDEX($D$9:$D$809,ROW()-8-CorrWindow+1):D57,INDEX($E$9:$E$809,ROW()-8-CorrWindow+1):E57),""))</f>
        <v/>
      </c>
      <c r="G57">
        <f>IF(A57="","",0)</f>
        <v/>
      </c>
    </row>
    <row r="58">
      <c r="A58" s="23">
        <f>IFERROR(INDEX($R$9:$R$809,ROW()-8),"")</f>
        <v/>
      </c>
      <c r="B58">
        <f>IFERROR(INDEX($S$9:$S$809,ROW()-8),"")</f>
        <v/>
      </c>
      <c r="C58">
        <f>IFERROR(INDEX($W$9:$W$809,ROW()-8),"")</f>
        <v/>
      </c>
      <c r="D58" s="26">
        <f>IF(COUNT(B57:B58)=2,LN(B58/B57),"")</f>
        <v/>
      </c>
      <c r="E58" s="27">
        <f>IF(COUNT(C57:C58)=2,(C58-C57)*100,"")</f>
        <v/>
      </c>
      <c r="F58" s="28">
        <f>IF(ROW()-8&lt;CorrWindow,"",IFERROR(CORREL(INDEX($D$9:$D$809,ROW()-8-CorrWindow+1):D58,INDEX($E$9:$E$809,ROW()-8-CorrWindow+1):E58),""))</f>
        <v/>
      </c>
      <c r="G58">
        <f>IF(A58="","",0)</f>
        <v/>
      </c>
    </row>
    <row r="59">
      <c r="A59" s="23">
        <f>IFERROR(INDEX($R$9:$R$809,ROW()-8),"")</f>
        <v/>
      </c>
      <c r="B59">
        <f>IFERROR(INDEX($S$9:$S$809,ROW()-8),"")</f>
        <v/>
      </c>
      <c r="C59">
        <f>IFERROR(INDEX($W$9:$W$809,ROW()-8),"")</f>
        <v/>
      </c>
      <c r="D59" s="26">
        <f>IF(COUNT(B58:B59)=2,LN(B59/B58),"")</f>
        <v/>
      </c>
      <c r="E59" s="27">
        <f>IF(COUNT(C58:C59)=2,(C59-C58)*100,"")</f>
        <v/>
      </c>
      <c r="F59" s="28">
        <f>IF(ROW()-8&lt;CorrWindow,"",IFERROR(CORREL(INDEX($D$9:$D$809,ROW()-8-CorrWindow+1):D59,INDEX($E$9:$E$809,ROW()-8-CorrWindow+1):E59),""))</f>
        <v/>
      </c>
      <c r="G59">
        <f>IF(A59="","",0)</f>
        <v/>
      </c>
    </row>
    <row r="60">
      <c r="A60" s="23">
        <f>IFERROR(INDEX($R$9:$R$809,ROW()-8),"")</f>
        <v/>
      </c>
      <c r="B60">
        <f>IFERROR(INDEX($S$9:$S$809,ROW()-8),"")</f>
        <v/>
      </c>
      <c r="C60">
        <f>IFERROR(INDEX($W$9:$W$809,ROW()-8),"")</f>
        <v/>
      </c>
      <c r="D60" s="26">
        <f>IF(COUNT(B59:B60)=2,LN(B60/B59),"")</f>
        <v/>
      </c>
      <c r="E60" s="27">
        <f>IF(COUNT(C59:C60)=2,(C60-C59)*100,"")</f>
        <v/>
      </c>
      <c r="F60" s="28">
        <f>IF(ROW()-8&lt;CorrWindow,"",IFERROR(CORREL(INDEX($D$9:$D$809,ROW()-8-CorrWindow+1):D60,INDEX($E$9:$E$809,ROW()-8-CorrWindow+1):E60),""))</f>
        <v/>
      </c>
      <c r="G60">
        <f>IF(A60="","",0)</f>
        <v/>
      </c>
    </row>
    <row r="61">
      <c r="A61" s="23">
        <f>IFERROR(INDEX($R$9:$R$809,ROW()-8),"")</f>
        <v/>
      </c>
      <c r="B61">
        <f>IFERROR(INDEX($S$9:$S$809,ROW()-8),"")</f>
        <v/>
      </c>
      <c r="C61">
        <f>IFERROR(INDEX($W$9:$W$809,ROW()-8),"")</f>
        <v/>
      </c>
      <c r="D61" s="26">
        <f>IF(COUNT(B60:B61)=2,LN(B61/B60),"")</f>
        <v/>
      </c>
      <c r="E61" s="27">
        <f>IF(COUNT(C60:C61)=2,(C61-C60)*100,"")</f>
        <v/>
      </c>
      <c r="F61" s="28">
        <f>IF(ROW()-8&lt;CorrWindow,"",IFERROR(CORREL(INDEX($D$9:$D$809,ROW()-8-CorrWindow+1):D61,INDEX($E$9:$E$809,ROW()-8-CorrWindow+1):E61),""))</f>
        <v/>
      </c>
      <c r="G61">
        <f>IF(A61="","",0)</f>
        <v/>
      </c>
    </row>
    <row r="62">
      <c r="A62" s="23">
        <f>IFERROR(INDEX($R$9:$R$809,ROW()-8),"")</f>
        <v/>
      </c>
      <c r="B62">
        <f>IFERROR(INDEX($S$9:$S$809,ROW()-8),"")</f>
        <v/>
      </c>
      <c r="C62">
        <f>IFERROR(INDEX($W$9:$W$809,ROW()-8),"")</f>
        <v/>
      </c>
      <c r="D62" s="26">
        <f>IF(COUNT(B61:B62)=2,LN(B62/B61),"")</f>
        <v/>
      </c>
      <c r="E62" s="27">
        <f>IF(COUNT(C61:C62)=2,(C62-C61)*100,"")</f>
        <v/>
      </c>
      <c r="F62" s="28">
        <f>IF(ROW()-8&lt;CorrWindow,"",IFERROR(CORREL(INDEX($D$9:$D$809,ROW()-8-CorrWindow+1):D62,INDEX($E$9:$E$809,ROW()-8-CorrWindow+1):E62),""))</f>
        <v/>
      </c>
      <c r="G62">
        <f>IF(A62="","",0)</f>
        <v/>
      </c>
    </row>
    <row r="63">
      <c r="A63" s="23">
        <f>IFERROR(INDEX($R$9:$R$809,ROW()-8),"")</f>
        <v/>
      </c>
      <c r="B63">
        <f>IFERROR(INDEX($S$9:$S$809,ROW()-8),"")</f>
        <v/>
      </c>
      <c r="C63">
        <f>IFERROR(INDEX($W$9:$W$809,ROW()-8),"")</f>
        <v/>
      </c>
      <c r="D63" s="26">
        <f>IF(COUNT(B62:B63)=2,LN(B63/B62),"")</f>
        <v/>
      </c>
      <c r="E63" s="27">
        <f>IF(COUNT(C62:C63)=2,(C63-C62)*100,"")</f>
        <v/>
      </c>
      <c r="F63" s="28">
        <f>IF(ROW()-8&lt;CorrWindow,"",IFERROR(CORREL(INDEX($D$9:$D$809,ROW()-8-CorrWindow+1):D63,INDEX($E$9:$E$809,ROW()-8-CorrWindow+1):E63),""))</f>
        <v/>
      </c>
      <c r="G63">
        <f>IF(A63="","",0)</f>
        <v/>
      </c>
    </row>
    <row r="64">
      <c r="A64" s="23">
        <f>IFERROR(INDEX($R$9:$R$809,ROW()-8),"")</f>
        <v/>
      </c>
      <c r="B64">
        <f>IFERROR(INDEX($S$9:$S$809,ROW()-8),"")</f>
        <v/>
      </c>
      <c r="C64">
        <f>IFERROR(INDEX($W$9:$W$809,ROW()-8),"")</f>
        <v/>
      </c>
      <c r="D64" s="26">
        <f>IF(COUNT(B63:B64)=2,LN(B64/B63),"")</f>
        <v/>
      </c>
      <c r="E64" s="27">
        <f>IF(COUNT(C63:C64)=2,(C64-C63)*100,"")</f>
        <v/>
      </c>
      <c r="F64" s="28">
        <f>IF(ROW()-8&lt;CorrWindow,"",IFERROR(CORREL(INDEX($D$9:$D$809,ROW()-8-CorrWindow+1):D64,INDEX($E$9:$E$809,ROW()-8-CorrWindow+1):E64),""))</f>
        <v/>
      </c>
      <c r="G64">
        <f>IF(A64="","",0)</f>
        <v/>
      </c>
    </row>
    <row r="65">
      <c r="A65" s="23">
        <f>IFERROR(INDEX($R$9:$R$809,ROW()-8),"")</f>
        <v/>
      </c>
      <c r="B65">
        <f>IFERROR(INDEX($S$9:$S$809,ROW()-8),"")</f>
        <v/>
      </c>
      <c r="C65">
        <f>IFERROR(INDEX($W$9:$W$809,ROW()-8),"")</f>
        <v/>
      </c>
      <c r="D65" s="26">
        <f>IF(COUNT(B64:B65)=2,LN(B65/B64),"")</f>
        <v/>
      </c>
      <c r="E65" s="27">
        <f>IF(COUNT(C64:C65)=2,(C65-C64)*100,"")</f>
        <v/>
      </c>
      <c r="F65" s="28">
        <f>IF(ROW()-8&lt;CorrWindow,"",IFERROR(CORREL(INDEX($D$9:$D$809,ROW()-8-CorrWindow+1):D65,INDEX($E$9:$E$809,ROW()-8-CorrWindow+1):E65),""))</f>
        <v/>
      </c>
      <c r="G65">
        <f>IF(A65="","",0)</f>
        <v/>
      </c>
    </row>
    <row r="66">
      <c r="A66" s="23">
        <f>IFERROR(INDEX($R$9:$R$809,ROW()-8),"")</f>
        <v/>
      </c>
      <c r="B66">
        <f>IFERROR(INDEX($S$9:$S$809,ROW()-8),"")</f>
        <v/>
      </c>
      <c r="C66">
        <f>IFERROR(INDEX($W$9:$W$809,ROW()-8),"")</f>
        <v/>
      </c>
      <c r="D66" s="26">
        <f>IF(COUNT(B65:B66)=2,LN(B66/B65),"")</f>
        <v/>
      </c>
      <c r="E66" s="27">
        <f>IF(COUNT(C65:C66)=2,(C66-C65)*100,"")</f>
        <v/>
      </c>
      <c r="F66" s="28">
        <f>IF(ROW()-8&lt;CorrWindow,"",IFERROR(CORREL(INDEX($D$9:$D$809,ROW()-8-CorrWindow+1):D66,INDEX($E$9:$E$809,ROW()-8-CorrWindow+1):E66),""))</f>
        <v/>
      </c>
      <c r="G66">
        <f>IF(A66="","",0)</f>
        <v/>
      </c>
    </row>
    <row r="67">
      <c r="A67" s="23">
        <f>IFERROR(INDEX($R$9:$R$809,ROW()-8),"")</f>
        <v/>
      </c>
      <c r="B67">
        <f>IFERROR(INDEX($S$9:$S$809,ROW()-8),"")</f>
        <v/>
      </c>
      <c r="C67">
        <f>IFERROR(INDEX($W$9:$W$809,ROW()-8),"")</f>
        <v/>
      </c>
      <c r="D67" s="26">
        <f>IF(COUNT(B66:B67)=2,LN(B67/B66),"")</f>
        <v/>
      </c>
      <c r="E67" s="27">
        <f>IF(COUNT(C66:C67)=2,(C67-C66)*100,"")</f>
        <v/>
      </c>
      <c r="F67" s="28">
        <f>IF(ROW()-8&lt;CorrWindow,"",IFERROR(CORREL(INDEX($D$9:$D$809,ROW()-8-CorrWindow+1):D67,INDEX($E$9:$E$809,ROW()-8-CorrWindow+1):E67),""))</f>
        <v/>
      </c>
      <c r="G67">
        <f>IF(A67="","",0)</f>
        <v/>
      </c>
    </row>
    <row r="68">
      <c r="A68" s="23">
        <f>IFERROR(INDEX($R$9:$R$809,ROW()-8),"")</f>
        <v/>
      </c>
      <c r="B68">
        <f>IFERROR(INDEX($S$9:$S$809,ROW()-8),"")</f>
        <v/>
      </c>
      <c r="C68">
        <f>IFERROR(INDEX($W$9:$W$809,ROW()-8),"")</f>
        <v/>
      </c>
      <c r="D68" s="26">
        <f>IF(COUNT(B67:B68)=2,LN(B68/B67),"")</f>
        <v/>
      </c>
      <c r="E68" s="27">
        <f>IF(COUNT(C67:C68)=2,(C68-C67)*100,"")</f>
        <v/>
      </c>
      <c r="F68" s="28">
        <f>IF(ROW()-8&lt;CorrWindow,"",IFERROR(CORREL(INDEX($D$9:$D$809,ROW()-8-CorrWindow+1):D68,INDEX($E$9:$E$809,ROW()-8-CorrWindow+1):E68),""))</f>
        <v/>
      </c>
      <c r="G68">
        <f>IF(A68="","",0)</f>
        <v/>
      </c>
    </row>
    <row r="69">
      <c r="A69" s="23">
        <f>IFERROR(INDEX($R$9:$R$809,ROW()-8),"")</f>
        <v/>
      </c>
      <c r="B69">
        <f>IFERROR(INDEX($S$9:$S$809,ROW()-8),"")</f>
        <v/>
      </c>
      <c r="C69">
        <f>IFERROR(INDEX($W$9:$W$809,ROW()-8),"")</f>
        <v/>
      </c>
      <c r="D69" s="26">
        <f>IF(COUNT(B68:B69)=2,LN(B69/B68),"")</f>
        <v/>
      </c>
      <c r="E69" s="27">
        <f>IF(COUNT(C68:C69)=2,(C69-C68)*100,"")</f>
        <v/>
      </c>
      <c r="F69" s="28">
        <f>IF(ROW()-8&lt;CorrWindow,"",IFERROR(CORREL(INDEX($D$9:$D$809,ROW()-8-CorrWindow+1):D69,INDEX($E$9:$E$809,ROW()-8-CorrWindow+1):E69),""))</f>
        <v/>
      </c>
      <c r="G69">
        <f>IF(A69="","",0)</f>
        <v/>
      </c>
    </row>
    <row r="70">
      <c r="A70" s="23">
        <f>IFERROR(INDEX($R$9:$R$809,ROW()-8),"")</f>
        <v/>
      </c>
      <c r="B70">
        <f>IFERROR(INDEX($S$9:$S$809,ROW()-8),"")</f>
        <v/>
      </c>
      <c r="C70">
        <f>IFERROR(INDEX($W$9:$W$809,ROW()-8),"")</f>
        <v/>
      </c>
      <c r="D70" s="26">
        <f>IF(COUNT(B69:B70)=2,LN(B70/B69),"")</f>
        <v/>
      </c>
      <c r="E70" s="27">
        <f>IF(COUNT(C69:C70)=2,(C70-C69)*100,"")</f>
        <v/>
      </c>
      <c r="F70" s="28">
        <f>IF(ROW()-8&lt;CorrWindow,"",IFERROR(CORREL(INDEX($D$9:$D$809,ROW()-8-CorrWindow+1):D70,INDEX($E$9:$E$809,ROW()-8-CorrWindow+1):E70),""))</f>
        <v/>
      </c>
      <c r="G70">
        <f>IF(A70="","",0)</f>
        <v/>
      </c>
    </row>
    <row r="71">
      <c r="A71" s="23">
        <f>IFERROR(INDEX($R$9:$R$809,ROW()-8),"")</f>
        <v/>
      </c>
      <c r="B71">
        <f>IFERROR(INDEX($S$9:$S$809,ROW()-8),"")</f>
        <v/>
      </c>
      <c r="C71">
        <f>IFERROR(INDEX($W$9:$W$809,ROW()-8),"")</f>
        <v/>
      </c>
      <c r="D71" s="26">
        <f>IF(COUNT(B70:B71)=2,LN(B71/B70),"")</f>
        <v/>
      </c>
      <c r="E71" s="27">
        <f>IF(COUNT(C70:C71)=2,(C71-C70)*100,"")</f>
        <v/>
      </c>
      <c r="F71" s="28">
        <f>IF(ROW()-8&lt;CorrWindow,"",IFERROR(CORREL(INDEX($D$9:$D$809,ROW()-8-CorrWindow+1):D71,INDEX($E$9:$E$809,ROW()-8-CorrWindow+1):E71),""))</f>
        <v/>
      </c>
      <c r="G71">
        <f>IF(A71="","",0)</f>
        <v/>
      </c>
    </row>
    <row r="72">
      <c r="A72" s="23">
        <f>IFERROR(INDEX($R$9:$R$809,ROW()-8),"")</f>
        <v/>
      </c>
      <c r="B72">
        <f>IFERROR(INDEX($S$9:$S$809,ROW()-8),"")</f>
        <v/>
      </c>
      <c r="C72">
        <f>IFERROR(INDEX($W$9:$W$809,ROW()-8),"")</f>
        <v/>
      </c>
      <c r="D72" s="26">
        <f>IF(COUNT(B71:B72)=2,LN(B72/B71),"")</f>
        <v/>
      </c>
      <c r="E72" s="27">
        <f>IF(COUNT(C71:C72)=2,(C72-C71)*100,"")</f>
        <v/>
      </c>
      <c r="F72" s="28">
        <f>IF(ROW()-8&lt;CorrWindow,"",IFERROR(CORREL(INDEX($D$9:$D$809,ROW()-8-CorrWindow+1):D72,INDEX($E$9:$E$809,ROW()-8-CorrWindow+1):E72),""))</f>
        <v/>
      </c>
      <c r="G72">
        <f>IF(A72="","",0)</f>
        <v/>
      </c>
    </row>
    <row r="73">
      <c r="A73" s="23">
        <f>IFERROR(INDEX($R$9:$R$809,ROW()-8),"")</f>
        <v/>
      </c>
      <c r="B73">
        <f>IFERROR(INDEX($S$9:$S$809,ROW()-8),"")</f>
        <v/>
      </c>
      <c r="C73">
        <f>IFERROR(INDEX($W$9:$W$809,ROW()-8),"")</f>
        <v/>
      </c>
      <c r="D73" s="26">
        <f>IF(COUNT(B72:B73)=2,LN(B73/B72),"")</f>
        <v/>
      </c>
      <c r="E73" s="27">
        <f>IF(COUNT(C72:C73)=2,(C73-C72)*100,"")</f>
        <v/>
      </c>
      <c r="F73" s="28">
        <f>IF(ROW()-8&lt;CorrWindow,"",IFERROR(CORREL(INDEX($D$9:$D$809,ROW()-8-CorrWindow+1):D73,INDEX($E$9:$E$809,ROW()-8-CorrWindow+1):E73),""))</f>
        <v/>
      </c>
      <c r="G73">
        <f>IF(A73="","",0)</f>
        <v/>
      </c>
    </row>
    <row r="74">
      <c r="A74" s="23">
        <f>IFERROR(INDEX($R$9:$R$809,ROW()-8),"")</f>
        <v/>
      </c>
      <c r="B74">
        <f>IFERROR(INDEX($S$9:$S$809,ROW()-8),"")</f>
        <v/>
      </c>
      <c r="C74">
        <f>IFERROR(INDEX($W$9:$W$809,ROW()-8),"")</f>
        <v/>
      </c>
      <c r="D74" s="26">
        <f>IF(COUNT(B73:B74)=2,LN(B74/B73),"")</f>
        <v/>
      </c>
      <c r="E74" s="27">
        <f>IF(COUNT(C73:C74)=2,(C74-C73)*100,"")</f>
        <v/>
      </c>
      <c r="F74" s="28">
        <f>IF(ROW()-8&lt;CorrWindow,"",IFERROR(CORREL(INDEX($D$9:$D$809,ROW()-8-CorrWindow+1):D74,INDEX($E$9:$E$809,ROW()-8-CorrWindow+1):E74),""))</f>
        <v/>
      </c>
      <c r="G74">
        <f>IF(A74="","",0)</f>
        <v/>
      </c>
    </row>
    <row r="75">
      <c r="A75" s="23">
        <f>IFERROR(INDEX($R$9:$R$809,ROW()-8),"")</f>
        <v/>
      </c>
      <c r="B75">
        <f>IFERROR(INDEX($S$9:$S$809,ROW()-8),"")</f>
        <v/>
      </c>
      <c r="C75">
        <f>IFERROR(INDEX($W$9:$W$809,ROW()-8),"")</f>
        <v/>
      </c>
      <c r="D75" s="26">
        <f>IF(COUNT(B74:B75)=2,LN(B75/B74),"")</f>
        <v/>
      </c>
      <c r="E75" s="27">
        <f>IF(COUNT(C74:C75)=2,(C75-C74)*100,"")</f>
        <v/>
      </c>
      <c r="F75" s="28">
        <f>IF(ROW()-8&lt;CorrWindow,"",IFERROR(CORREL(INDEX($D$9:$D$809,ROW()-8-CorrWindow+1):D75,INDEX($E$9:$E$809,ROW()-8-CorrWindow+1):E75),""))</f>
        <v/>
      </c>
      <c r="G75">
        <f>IF(A75="","",0)</f>
        <v/>
      </c>
    </row>
    <row r="76">
      <c r="A76" s="23">
        <f>IFERROR(INDEX($R$9:$R$809,ROW()-8),"")</f>
        <v/>
      </c>
      <c r="B76">
        <f>IFERROR(INDEX($S$9:$S$809,ROW()-8),"")</f>
        <v/>
      </c>
      <c r="C76">
        <f>IFERROR(INDEX($W$9:$W$809,ROW()-8),"")</f>
        <v/>
      </c>
      <c r="D76" s="26">
        <f>IF(COUNT(B75:B76)=2,LN(B76/B75),"")</f>
        <v/>
      </c>
      <c r="E76" s="27">
        <f>IF(COUNT(C75:C76)=2,(C76-C75)*100,"")</f>
        <v/>
      </c>
      <c r="F76" s="28">
        <f>IF(ROW()-8&lt;CorrWindow,"",IFERROR(CORREL(INDEX($D$9:$D$809,ROW()-8-CorrWindow+1):D76,INDEX($E$9:$E$809,ROW()-8-CorrWindow+1):E76),""))</f>
        <v/>
      </c>
      <c r="G76">
        <f>IF(A76="","",0)</f>
        <v/>
      </c>
    </row>
    <row r="77">
      <c r="A77" s="23">
        <f>IFERROR(INDEX($R$9:$R$809,ROW()-8),"")</f>
        <v/>
      </c>
      <c r="B77">
        <f>IFERROR(INDEX($S$9:$S$809,ROW()-8),"")</f>
        <v/>
      </c>
      <c r="C77">
        <f>IFERROR(INDEX($W$9:$W$809,ROW()-8),"")</f>
        <v/>
      </c>
      <c r="D77" s="26">
        <f>IF(COUNT(B76:B77)=2,LN(B77/B76),"")</f>
        <v/>
      </c>
      <c r="E77" s="27">
        <f>IF(COUNT(C76:C77)=2,(C77-C76)*100,"")</f>
        <v/>
      </c>
      <c r="F77" s="28">
        <f>IF(ROW()-8&lt;CorrWindow,"",IFERROR(CORREL(INDEX($D$9:$D$809,ROW()-8-CorrWindow+1):D77,INDEX($E$9:$E$809,ROW()-8-CorrWindow+1):E77),""))</f>
        <v/>
      </c>
      <c r="G77">
        <f>IF(A77="","",0)</f>
        <v/>
      </c>
    </row>
    <row r="78">
      <c r="A78" s="23">
        <f>IFERROR(INDEX($R$9:$R$809,ROW()-8),"")</f>
        <v/>
      </c>
      <c r="B78">
        <f>IFERROR(INDEX($S$9:$S$809,ROW()-8),"")</f>
        <v/>
      </c>
      <c r="C78">
        <f>IFERROR(INDEX($W$9:$W$809,ROW()-8),"")</f>
        <v/>
      </c>
      <c r="D78" s="26">
        <f>IF(COUNT(B77:B78)=2,LN(B78/B77),"")</f>
        <v/>
      </c>
      <c r="E78" s="27">
        <f>IF(COUNT(C77:C78)=2,(C78-C77)*100,"")</f>
        <v/>
      </c>
      <c r="F78" s="28">
        <f>IF(ROW()-8&lt;CorrWindow,"",IFERROR(CORREL(INDEX($D$9:$D$809,ROW()-8-CorrWindow+1):D78,INDEX($E$9:$E$809,ROW()-8-CorrWindow+1):E78),""))</f>
        <v/>
      </c>
      <c r="G78">
        <f>IF(A78="","",0)</f>
        <v/>
      </c>
    </row>
    <row r="79">
      <c r="A79" s="23">
        <f>IFERROR(INDEX($R$9:$R$809,ROW()-8),"")</f>
        <v/>
      </c>
      <c r="B79">
        <f>IFERROR(INDEX($S$9:$S$809,ROW()-8),"")</f>
        <v/>
      </c>
      <c r="C79">
        <f>IFERROR(INDEX($W$9:$W$809,ROW()-8),"")</f>
        <v/>
      </c>
      <c r="D79" s="26">
        <f>IF(COUNT(B78:B79)=2,LN(B79/B78),"")</f>
        <v/>
      </c>
      <c r="E79" s="27">
        <f>IF(COUNT(C78:C79)=2,(C79-C78)*100,"")</f>
        <v/>
      </c>
      <c r="F79" s="28">
        <f>IF(ROW()-8&lt;CorrWindow,"",IFERROR(CORREL(INDEX($D$9:$D$809,ROW()-8-CorrWindow+1):D79,INDEX($E$9:$E$809,ROW()-8-CorrWindow+1):E79),""))</f>
        <v/>
      </c>
      <c r="G79">
        <f>IF(A79="","",0)</f>
        <v/>
      </c>
    </row>
    <row r="80">
      <c r="A80" s="23">
        <f>IFERROR(INDEX($R$9:$R$809,ROW()-8),"")</f>
        <v/>
      </c>
      <c r="B80">
        <f>IFERROR(INDEX($S$9:$S$809,ROW()-8),"")</f>
        <v/>
      </c>
      <c r="C80">
        <f>IFERROR(INDEX($W$9:$W$809,ROW()-8),"")</f>
        <v/>
      </c>
      <c r="D80" s="26">
        <f>IF(COUNT(B79:B80)=2,LN(B80/B79),"")</f>
        <v/>
      </c>
      <c r="E80" s="27">
        <f>IF(COUNT(C79:C80)=2,(C80-C79)*100,"")</f>
        <v/>
      </c>
      <c r="F80" s="28">
        <f>IF(ROW()-8&lt;CorrWindow,"",IFERROR(CORREL(INDEX($D$9:$D$809,ROW()-8-CorrWindow+1):D80,INDEX($E$9:$E$809,ROW()-8-CorrWindow+1):E80),""))</f>
        <v/>
      </c>
      <c r="G80">
        <f>IF(A80="","",0)</f>
        <v/>
      </c>
    </row>
    <row r="81">
      <c r="A81" s="23">
        <f>IFERROR(INDEX($R$9:$R$809,ROW()-8),"")</f>
        <v/>
      </c>
      <c r="B81">
        <f>IFERROR(INDEX($S$9:$S$809,ROW()-8),"")</f>
        <v/>
      </c>
      <c r="C81">
        <f>IFERROR(INDEX($W$9:$W$809,ROW()-8),"")</f>
        <v/>
      </c>
      <c r="D81" s="26">
        <f>IF(COUNT(B80:B81)=2,LN(B81/B80),"")</f>
        <v/>
      </c>
      <c r="E81" s="27">
        <f>IF(COUNT(C80:C81)=2,(C81-C80)*100,"")</f>
        <v/>
      </c>
      <c r="F81" s="28">
        <f>IF(ROW()-8&lt;CorrWindow,"",IFERROR(CORREL(INDEX($D$9:$D$809,ROW()-8-CorrWindow+1):D81,INDEX($E$9:$E$809,ROW()-8-CorrWindow+1):E81),""))</f>
        <v/>
      </c>
      <c r="G81">
        <f>IF(A81="","",0)</f>
        <v/>
      </c>
    </row>
    <row r="82">
      <c r="A82" s="23">
        <f>IFERROR(INDEX($R$9:$R$809,ROW()-8),"")</f>
        <v/>
      </c>
      <c r="B82">
        <f>IFERROR(INDEX($S$9:$S$809,ROW()-8),"")</f>
        <v/>
      </c>
      <c r="C82">
        <f>IFERROR(INDEX($W$9:$W$809,ROW()-8),"")</f>
        <v/>
      </c>
      <c r="D82" s="26">
        <f>IF(COUNT(B81:B82)=2,LN(B82/B81),"")</f>
        <v/>
      </c>
      <c r="E82" s="27">
        <f>IF(COUNT(C81:C82)=2,(C82-C81)*100,"")</f>
        <v/>
      </c>
      <c r="F82" s="28">
        <f>IF(ROW()-8&lt;CorrWindow,"",IFERROR(CORREL(INDEX($D$9:$D$809,ROW()-8-CorrWindow+1):D82,INDEX($E$9:$E$809,ROW()-8-CorrWindow+1):E82),""))</f>
        <v/>
      </c>
      <c r="G82">
        <f>IF(A82="","",0)</f>
        <v/>
      </c>
    </row>
    <row r="83">
      <c r="A83" s="23">
        <f>IFERROR(INDEX($R$9:$R$809,ROW()-8),"")</f>
        <v/>
      </c>
      <c r="B83">
        <f>IFERROR(INDEX($S$9:$S$809,ROW()-8),"")</f>
        <v/>
      </c>
      <c r="C83">
        <f>IFERROR(INDEX($W$9:$W$809,ROW()-8),"")</f>
        <v/>
      </c>
      <c r="D83" s="26">
        <f>IF(COUNT(B82:B83)=2,LN(B83/B82),"")</f>
        <v/>
      </c>
      <c r="E83" s="27">
        <f>IF(COUNT(C82:C83)=2,(C83-C82)*100,"")</f>
        <v/>
      </c>
      <c r="F83" s="28">
        <f>IF(ROW()-8&lt;CorrWindow,"",IFERROR(CORREL(INDEX($D$9:$D$809,ROW()-8-CorrWindow+1):D83,INDEX($E$9:$E$809,ROW()-8-CorrWindow+1):E83),""))</f>
        <v/>
      </c>
      <c r="G83">
        <f>IF(A83="","",0)</f>
        <v/>
      </c>
    </row>
    <row r="84">
      <c r="A84" s="23">
        <f>IFERROR(INDEX($R$9:$R$809,ROW()-8),"")</f>
        <v/>
      </c>
      <c r="B84">
        <f>IFERROR(INDEX($S$9:$S$809,ROW()-8),"")</f>
        <v/>
      </c>
      <c r="C84">
        <f>IFERROR(INDEX($W$9:$W$809,ROW()-8),"")</f>
        <v/>
      </c>
      <c r="D84" s="26">
        <f>IF(COUNT(B83:B84)=2,LN(B84/B83),"")</f>
        <v/>
      </c>
      <c r="E84" s="27">
        <f>IF(COUNT(C83:C84)=2,(C84-C83)*100,"")</f>
        <v/>
      </c>
      <c r="F84" s="28">
        <f>IF(ROW()-8&lt;CorrWindow,"",IFERROR(CORREL(INDEX($D$9:$D$809,ROW()-8-CorrWindow+1):D84,INDEX($E$9:$E$809,ROW()-8-CorrWindow+1):E84),""))</f>
        <v/>
      </c>
      <c r="G84">
        <f>IF(A84="","",0)</f>
        <v/>
      </c>
    </row>
    <row r="85">
      <c r="A85" s="23">
        <f>IFERROR(INDEX($R$9:$R$809,ROW()-8),"")</f>
        <v/>
      </c>
      <c r="B85">
        <f>IFERROR(INDEX($S$9:$S$809,ROW()-8),"")</f>
        <v/>
      </c>
      <c r="C85">
        <f>IFERROR(INDEX($W$9:$W$809,ROW()-8),"")</f>
        <v/>
      </c>
      <c r="D85" s="26">
        <f>IF(COUNT(B84:B85)=2,LN(B85/B84),"")</f>
        <v/>
      </c>
      <c r="E85" s="27">
        <f>IF(COUNT(C84:C85)=2,(C85-C84)*100,"")</f>
        <v/>
      </c>
      <c r="F85" s="28">
        <f>IF(ROW()-8&lt;CorrWindow,"",IFERROR(CORREL(INDEX($D$9:$D$809,ROW()-8-CorrWindow+1):D85,INDEX($E$9:$E$809,ROW()-8-CorrWindow+1):E85),""))</f>
        <v/>
      </c>
      <c r="G85">
        <f>IF(A85="","",0)</f>
        <v/>
      </c>
    </row>
    <row r="86">
      <c r="A86" s="23">
        <f>IFERROR(INDEX($R$9:$R$809,ROW()-8),"")</f>
        <v/>
      </c>
      <c r="B86">
        <f>IFERROR(INDEX($S$9:$S$809,ROW()-8),"")</f>
        <v/>
      </c>
      <c r="C86">
        <f>IFERROR(INDEX($W$9:$W$809,ROW()-8),"")</f>
        <v/>
      </c>
      <c r="D86" s="26">
        <f>IF(COUNT(B85:B86)=2,LN(B86/B85),"")</f>
        <v/>
      </c>
      <c r="E86" s="27">
        <f>IF(COUNT(C85:C86)=2,(C86-C85)*100,"")</f>
        <v/>
      </c>
      <c r="F86" s="28">
        <f>IF(ROW()-8&lt;CorrWindow,"",IFERROR(CORREL(INDEX($D$9:$D$809,ROW()-8-CorrWindow+1):D86,INDEX($E$9:$E$809,ROW()-8-CorrWindow+1):E86),""))</f>
        <v/>
      </c>
      <c r="G86">
        <f>IF(A86="","",0)</f>
        <v/>
      </c>
    </row>
    <row r="87">
      <c r="A87" s="23">
        <f>IFERROR(INDEX($R$9:$R$809,ROW()-8),"")</f>
        <v/>
      </c>
      <c r="B87">
        <f>IFERROR(INDEX($S$9:$S$809,ROW()-8),"")</f>
        <v/>
      </c>
      <c r="C87">
        <f>IFERROR(INDEX($W$9:$W$809,ROW()-8),"")</f>
        <v/>
      </c>
      <c r="D87" s="26">
        <f>IF(COUNT(B86:B87)=2,LN(B87/B86),"")</f>
        <v/>
      </c>
      <c r="E87" s="27">
        <f>IF(COUNT(C86:C87)=2,(C87-C86)*100,"")</f>
        <v/>
      </c>
      <c r="F87" s="28">
        <f>IF(ROW()-8&lt;CorrWindow,"",IFERROR(CORREL(INDEX($D$9:$D$809,ROW()-8-CorrWindow+1):D87,INDEX($E$9:$E$809,ROW()-8-CorrWindow+1):E87),""))</f>
        <v/>
      </c>
      <c r="G87">
        <f>IF(A87="","",0)</f>
        <v/>
      </c>
    </row>
    <row r="88">
      <c r="A88" s="23">
        <f>IFERROR(INDEX($R$9:$R$809,ROW()-8),"")</f>
        <v/>
      </c>
      <c r="B88">
        <f>IFERROR(INDEX($S$9:$S$809,ROW()-8),"")</f>
        <v/>
      </c>
      <c r="C88">
        <f>IFERROR(INDEX($W$9:$W$809,ROW()-8),"")</f>
        <v/>
      </c>
      <c r="D88" s="26">
        <f>IF(COUNT(B87:B88)=2,LN(B88/B87),"")</f>
        <v/>
      </c>
      <c r="E88" s="27">
        <f>IF(COUNT(C87:C88)=2,(C88-C87)*100,"")</f>
        <v/>
      </c>
      <c r="F88" s="28">
        <f>IF(ROW()-8&lt;CorrWindow,"",IFERROR(CORREL(INDEX($D$9:$D$809,ROW()-8-CorrWindow+1):D88,INDEX($E$9:$E$809,ROW()-8-CorrWindow+1):E88),""))</f>
        <v/>
      </c>
      <c r="G88">
        <f>IF(A88="","",0)</f>
        <v/>
      </c>
    </row>
    <row r="89">
      <c r="A89" s="23">
        <f>IFERROR(INDEX($R$9:$R$809,ROW()-8),"")</f>
        <v/>
      </c>
      <c r="B89">
        <f>IFERROR(INDEX($S$9:$S$809,ROW()-8),"")</f>
        <v/>
      </c>
      <c r="C89">
        <f>IFERROR(INDEX($W$9:$W$809,ROW()-8),"")</f>
        <v/>
      </c>
      <c r="D89" s="26">
        <f>IF(COUNT(B88:B89)=2,LN(B89/B88),"")</f>
        <v/>
      </c>
      <c r="E89" s="27">
        <f>IF(COUNT(C88:C89)=2,(C89-C88)*100,"")</f>
        <v/>
      </c>
      <c r="F89" s="28">
        <f>IF(ROW()-8&lt;CorrWindow,"",IFERROR(CORREL(INDEX($D$9:$D$809,ROW()-8-CorrWindow+1):D89,INDEX($E$9:$E$809,ROW()-8-CorrWindow+1):E89),""))</f>
        <v/>
      </c>
      <c r="G89">
        <f>IF(A89="","",0)</f>
        <v/>
      </c>
    </row>
    <row r="90">
      <c r="A90" s="23">
        <f>IFERROR(INDEX($R$9:$R$809,ROW()-8),"")</f>
        <v/>
      </c>
      <c r="B90">
        <f>IFERROR(INDEX($S$9:$S$809,ROW()-8),"")</f>
        <v/>
      </c>
      <c r="C90">
        <f>IFERROR(INDEX($W$9:$W$809,ROW()-8),"")</f>
        <v/>
      </c>
      <c r="D90" s="26">
        <f>IF(COUNT(B89:B90)=2,LN(B90/B89),"")</f>
        <v/>
      </c>
      <c r="E90" s="27">
        <f>IF(COUNT(C89:C90)=2,(C90-C89)*100,"")</f>
        <v/>
      </c>
      <c r="F90" s="28">
        <f>IF(ROW()-8&lt;CorrWindow,"",IFERROR(CORREL(INDEX($D$9:$D$809,ROW()-8-CorrWindow+1):D90,INDEX($E$9:$E$809,ROW()-8-CorrWindow+1):E90),""))</f>
        <v/>
      </c>
      <c r="G90">
        <f>IF(A90="","",0)</f>
        <v/>
      </c>
    </row>
    <row r="91">
      <c r="A91" s="23">
        <f>IFERROR(INDEX($R$9:$R$809,ROW()-8),"")</f>
        <v/>
      </c>
      <c r="B91">
        <f>IFERROR(INDEX($S$9:$S$809,ROW()-8),"")</f>
        <v/>
      </c>
      <c r="C91">
        <f>IFERROR(INDEX($W$9:$W$809,ROW()-8),"")</f>
        <v/>
      </c>
      <c r="D91" s="26">
        <f>IF(COUNT(B90:B91)=2,LN(B91/B90),"")</f>
        <v/>
      </c>
      <c r="E91" s="27">
        <f>IF(COUNT(C90:C91)=2,(C91-C90)*100,"")</f>
        <v/>
      </c>
      <c r="F91" s="28">
        <f>IF(ROW()-8&lt;CorrWindow,"",IFERROR(CORREL(INDEX($D$9:$D$809,ROW()-8-CorrWindow+1):D91,INDEX($E$9:$E$809,ROW()-8-CorrWindow+1):E91),""))</f>
        <v/>
      </c>
      <c r="G91">
        <f>IF(A91="","",0)</f>
        <v/>
      </c>
    </row>
    <row r="92">
      <c r="A92" s="23">
        <f>IFERROR(INDEX($R$9:$R$809,ROW()-8),"")</f>
        <v/>
      </c>
      <c r="B92">
        <f>IFERROR(INDEX($S$9:$S$809,ROW()-8),"")</f>
        <v/>
      </c>
      <c r="C92">
        <f>IFERROR(INDEX($W$9:$W$809,ROW()-8),"")</f>
        <v/>
      </c>
      <c r="D92" s="26">
        <f>IF(COUNT(B91:B92)=2,LN(B92/B91),"")</f>
        <v/>
      </c>
      <c r="E92" s="27">
        <f>IF(COUNT(C91:C92)=2,(C92-C91)*100,"")</f>
        <v/>
      </c>
      <c r="F92" s="28">
        <f>IF(ROW()-8&lt;CorrWindow,"",IFERROR(CORREL(INDEX($D$9:$D$809,ROW()-8-CorrWindow+1):D92,INDEX($E$9:$E$809,ROW()-8-CorrWindow+1):E92),""))</f>
        <v/>
      </c>
      <c r="G92">
        <f>IF(A92="","",0)</f>
        <v/>
      </c>
    </row>
    <row r="93">
      <c r="A93" s="23">
        <f>IFERROR(INDEX($R$9:$R$809,ROW()-8),"")</f>
        <v/>
      </c>
      <c r="B93">
        <f>IFERROR(INDEX($S$9:$S$809,ROW()-8),"")</f>
        <v/>
      </c>
      <c r="C93">
        <f>IFERROR(INDEX($W$9:$W$809,ROW()-8),"")</f>
        <v/>
      </c>
      <c r="D93" s="26">
        <f>IF(COUNT(B92:B93)=2,LN(B93/B92),"")</f>
        <v/>
      </c>
      <c r="E93" s="27">
        <f>IF(COUNT(C92:C93)=2,(C93-C92)*100,"")</f>
        <v/>
      </c>
      <c r="F93" s="28">
        <f>IF(ROW()-8&lt;CorrWindow,"",IFERROR(CORREL(INDEX($D$9:$D$809,ROW()-8-CorrWindow+1):D93,INDEX($E$9:$E$809,ROW()-8-CorrWindow+1):E93),""))</f>
        <v/>
      </c>
      <c r="G93">
        <f>IF(A93="","",0)</f>
        <v/>
      </c>
    </row>
    <row r="94">
      <c r="A94" s="23">
        <f>IFERROR(INDEX($R$9:$R$809,ROW()-8),"")</f>
        <v/>
      </c>
      <c r="B94">
        <f>IFERROR(INDEX($S$9:$S$809,ROW()-8),"")</f>
        <v/>
      </c>
      <c r="C94">
        <f>IFERROR(INDEX($W$9:$W$809,ROW()-8),"")</f>
        <v/>
      </c>
      <c r="D94" s="26">
        <f>IF(COUNT(B93:B94)=2,LN(B94/B93),"")</f>
        <v/>
      </c>
      <c r="E94" s="27">
        <f>IF(COUNT(C93:C94)=2,(C94-C93)*100,"")</f>
        <v/>
      </c>
      <c r="F94" s="28">
        <f>IF(ROW()-8&lt;CorrWindow,"",IFERROR(CORREL(INDEX($D$9:$D$809,ROW()-8-CorrWindow+1):D94,INDEX($E$9:$E$809,ROW()-8-CorrWindow+1):E94),""))</f>
        <v/>
      </c>
      <c r="G94">
        <f>IF(A94="","",0)</f>
        <v/>
      </c>
    </row>
    <row r="95">
      <c r="A95" s="23">
        <f>IFERROR(INDEX($R$9:$R$809,ROW()-8),"")</f>
        <v/>
      </c>
      <c r="B95">
        <f>IFERROR(INDEX($S$9:$S$809,ROW()-8),"")</f>
        <v/>
      </c>
      <c r="C95">
        <f>IFERROR(INDEX($W$9:$W$809,ROW()-8),"")</f>
        <v/>
      </c>
      <c r="D95" s="26">
        <f>IF(COUNT(B94:B95)=2,LN(B95/B94),"")</f>
        <v/>
      </c>
      <c r="E95" s="27">
        <f>IF(COUNT(C94:C95)=2,(C95-C94)*100,"")</f>
        <v/>
      </c>
      <c r="F95" s="28">
        <f>IF(ROW()-8&lt;CorrWindow,"",IFERROR(CORREL(INDEX($D$9:$D$809,ROW()-8-CorrWindow+1):D95,INDEX($E$9:$E$809,ROW()-8-CorrWindow+1):E95),""))</f>
        <v/>
      </c>
      <c r="G95">
        <f>IF(A95="","",0)</f>
        <v/>
      </c>
    </row>
    <row r="96">
      <c r="A96" s="23">
        <f>IFERROR(INDEX($R$9:$R$809,ROW()-8),"")</f>
        <v/>
      </c>
      <c r="B96">
        <f>IFERROR(INDEX($S$9:$S$809,ROW()-8),"")</f>
        <v/>
      </c>
      <c r="C96">
        <f>IFERROR(INDEX($W$9:$W$809,ROW()-8),"")</f>
        <v/>
      </c>
      <c r="D96" s="26">
        <f>IF(COUNT(B95:B96)=2,LN(B96/B95),"")</f>
        <v/>
      </c>
      <c r="E96" s="27">
        <f>IF(COUNT(C95:C96)=2,(C96-C95)*100,"")</f>
        <v/>
      </c>
      <c r="F96" s="28">
        <f>IF(ROW()-8&lt;CorrWindow,"",IFERROR(CORREL(INDEX($D$9:$D$809,ROW()-8-CorrWindow+1):D96,INDEX($E$9:$E$809,ROW()-8-CorrWindow+1):E96),""))</f>
        <v/>
      </c>
      <c r="G96">
        <f>IF(A96="","",0)</f>
        <v/>
      </c>
    </row>
    <row r="97">
      <c r="A97" s="23">
        <f>IFERROR(INDEX($R$9:$R$809,ROW()-8),"")</f>
        <v/>
      </c>
      <c r="B97">
        <f>IFERROR(INDEX($S$9:$S$809,ROW()-8),"")</f>
        <v/>
      </c>
      <c r="C97">
        <f>IFERROR(INDEX($W$9:$W$809,ROW()-8),"")</f>
        <v/>
      </c>
      <c r="D97" s="26">
        <f>IF(COUNT(B96:B97)=2,LN(B97/B96),"")</f>
        <v/>
      </c>
      <c r="E97" s="27">
        <f>IF(COUNT(C96:C97)=2,(C97-C96)*100,"")</f>
        <v/>
      </c>
      <c r="F97" s="28">
        <f>IF(ROW()-8&lt;CorrWindow,"",IFERROR(CORREL(INDEX($D$9:$D$809,ROW()-8-CorrWindow+1):D97,INDEX($E$9:$E$809,ROW()-8-CorrWindow+1):E97),""))</f>
        <v/>
      </c>
      <c r="G97">
        <f>IF(A97="","",0)</f>
        <v/>
      </c>
    </row>
    <row r="98">
      <c r="A98" s="23">
        <f>IFERROR(INDEX($R$9:$R$809,ROW()-8),"")</f>
        <v/>
      </c>
      <c r="B98">
        <f>IFERROR(INDEX($S$9:$S$809,ROW()-8),"")</f>
        <v/>
      </c>
      <c r="C98">
        <f>IFERROR(INDEX($W$9:$W$809,ROW()-8),"")</f>
        <v/>
      </c>
      <c r="D98" s="26">
        <f>IF(COUNT(B97:B98)=2,LN(B98/B97),"")</f>
        <v/>
      </c>
      <c r="E98" s="27">
        <f>IF(COUNT(C97:C98)=2,(C98-C97)*100,"")</f>
        <v/>
      </c>
      <c r="F98" s="28">
        <f>IF(ROW()-8&lt;CorrWindow,"",IFERROR(CORREL(INDEX($D$9:$D$809,ROW()-8-CorrWindow+1):D98,INDEX($E$9:$E$809,ROW()-8-CorrWindow+1):E98),""))</f>
        <v/>
      </c>
      <c r="G98">
        <f>IF(A98="","",0)</f>
        <v/>
      </c>
    </row>
    <row r="99">
      <c r="A99" s="23">
        <f>IFERROR(INDEX($R$9:$R$809,ROW()-8),"")</f>
        <v/>
      </c>
      <c r="B99">
        <f>IFERROR(INDEX($S$9:$S$809,ROW()-8),"")</f>
        <v/>
      </c>
      <c r="C99">
        <f>IFERROR(INDEX($W$9:$W$809,ROW()-8),"")</f>
        <v/>
      </c>
      <c r="D99" s="26">
        <f>IF(COUNT(B98:B99)=2,LN(B99/B98),"")</f>
        <v/>
      </c>
      <c r="E99" s="27">
        <f>IF(COUNT(C98:C99)=2,(C99-C98)*100,"")</f>
        <v/>
      </c>
      <c r="F99" s="28">
        <f>IF(ROW()-8&lt;CorrWindow,"",IFERROR(CORREL(INDEX($D$9:$D$809,ROW()-8-CorrWindow+1):D99,INDEX($E$9:$E$809,ROW()-8-CorrWindow+1):E99),""))</f>
        <v/>
      </c>
      <c r="G99">
        <f>IF(A99="","",0)</f>
        <v/>
      </c>
    </row>
    <row r="100">
      <c r="A100" s="23">
        <f>IFERROR(INDEX($R$9:$R$809,ROW()-8),"")</f>
        <v/>
      </c>
      <c r="B100">
        <f>IFERROR(INDEX($S$9:$S$809,ROW()-8),"")</f>
        <v/>
      </c>
      <c r="C100">
        <f>IFERROR(INDEX($W$9:$W$809,ROW()-8),"")</f>
        <v/>
      </c>
      <c r="D100" s="26">
        <f>IF(COUNT(B99:B100)=2,LN(B100/B99),"")</f>
        <v/>
      </c>
      <c r="E100" s="27">
        <f>IF(COUNT(C99:C100)=2,(C100-C99)*100,"")</f>
        <v/>
      </c>
      <c r="F100" s="28">
        <f>IF(ROW()-8&lt;CorrWindow,"",IFERROR(CORREL(INDEX($D$9:$D$809,ROW()-8-CorrWindow+1):D100,INDEX($E$9:$E$809,ROW()-8-CorrWindow+1):E100),""))</f>
        <v/>
      </c>
      <c r="G100">
        <f>IF(A100="","",0)</f>
        <v/>
      </c>
    </row>
    <row r="101">
      <c r="A101" s="23">
        <f>IFERROR(INDEX($R$9:$R$809,ROW()-8),"")</f>
        <v/>
      </c>
      <c r="B101">
        <f>IFERROR(INDEX($S$9:$S$809,ROW()-8),"")</f>
        <v/>
      </c>
      <c r="C101">
        <f>IFERROR(INDEX($W$9:$W$809,ROW()-8),"")</f>
        <v/>
      </c>
      <c r="D101" s="26">
        <f>IF(COUNT(B100:B101)=2,LN(B101/B100),"")</f>
        <v/>
      </c>
      <c r="E101" s="27">
        <f>IF(COUNT(C100:C101)=2,(C101-C100)*100,"")</f>
        <v/>
      </c>
      <c r="F101" s="28">
        <f>IF(ROW()-8&lt;CorrWindow,"",IFERROR(CORREL(INDEX($D$9:$D$809,ROW()-8-CorrWindow+1):D101,INDEX($E$9:$E$809,ROW()-8-CorrWindow+1):E101),""))</f>
        <v/>
      </c>
      <c r="G101">
        <f>IF(A101="","",0)</f>
        <v/>
      </c>
    </row>
    <row r="102">
      <c r="A102" s="23">
        <f>IFERROR(INDEX($R$9:$R$809,ROW()-8),"")</f>
        <v/>
      </c>
      <c r="B102">
        <f>IFERROR(INDEX($S$9:$S$809,ROW()-8),"")</f>
        <v/>
      </c>
      <c r="C102">
        <f>IFERROR(INDEX($W$9:$W$809,ROW()-8),"")</f>
        <v/>
      </c>
      <c r="D102" s="26">
        <f>IF(COUNT(B101:B102)=2,LN(B102/B101),"")</f>
        <v/>
      </c>
      <c r="E102" s="27">
        <f>IF(COUNT(C101:C102)=2,(C102-C101)*100,"")</f>
        <v/>
      </c>
      <c r="F102" s="28">
        <f>IF(ROW()-8&lt;CorrWindow,"",IFERROR(CORREL(INDEX($D$9:$D$809,ROW()-8-CorrWindow+1):D102,INDEX($E$9:$E$809,ROW()-8-CorrWindow+1):E102),""))</f>
        <v/>
      </c>
      <c r="G102">
        <f>IF(A102="","",0)</f>
        <v/>
      </c>
    </row>
    <row r="103">
      <c r="A103" s="23">
        <f>IFERROR(INDEX($R$9:$R$809,ROW()-8),"")</f>
        <v/>
      </c>
      <c r="B103">
        <f>IFERROR(INDEX($S$9:$S$809,ROW()-8),"")</f>
        <v/>
      </c>
      <c r="C103">
        <f>IFERROR(INDEX($W$9:$W$809,ROW()-8),"")</f>
        <v/>
      </c>
      <c r="D103" s="26">
        <f>IF(COUNT(B102:B103)=2,LN(B103/B102),"")</f>
        <v/>
      </c>
      <c r="E103" s="27">
        <f>IF(COUNT(C102:C103)=2,(C103-C102)*100,"")</f>
        <v/>
      </c>
      <c r="F103" s="28">
        <f>IF(ROW()-8&lt;CorrWindow,"",IFERROR(CORREL(INDEX($D$9:$D$809,ROW()-8-CorrWindow+1):D103,INDEX($E$9:$E$809,ROW()-8-CorrWindow+1):E103),""))</f>
        <v/>
      </c>
      <c r="G103">
        <f>IF(A103="","",0)</f>
        <v/>
      </c>
    </row>
    <row r="104">
      <c r="A104" s="23">
        <f>IFERROR(INDEX($R$9:$R$809,ROW()-8),"")</f>
        <v/>
      </c>
      <c r="B104">
        <f>IFERROR(INDEX($S$9:$S$809,ROW()-8),"")</f>
        <v/>
      </c>
      <c r="C104">
        <f>IFERROR(INDEX($W$9:$W$809,ROW()-8),"")</f>
        <v/>
      </c>
      <c r="D104" s="26">
        <f>IF(COUNT(B103:B104)=2,LN(B104/B103),"")</f>
        <v/>
      </c>
      <c r="E104" s="27">
        <f>IF(COUNT(C103:C104)=2,(C104-C103)*100,"")</f>
        <v/>
      </c>
      <c r="F104" s="28">
        <f>IF(ROW()-8&lt;CorrWindow,"",IFERROR(CORREL(INDEX($D$9:$D$809,ROW()-8-CorrWindow+1):D104,INDEX($E$9:$E$809,ROW()-8-CorrWindow+1):E104),""))</f>
        <v/>
      </c>
      <c r="G104">
        <f>IF(A104="","",0)</f>
        <v/>
      </c>
    </row>
    <row r="105">
      <c r="A105" s="23">
        <f>IFERROR(INDEX($R$9:$R$809,ROW()-8),"")</f>
        <v/>
      </c>
      <c r="B105">
        <f>IFERROR(INDEX($S$9:$S$809,ROW()-8),"")</f>
        <v/>
      </c>
      <c r="C105">
        <f>IFERROR(INDEX($W$9:$W$809,ROW()-8),"")</f>
        <v/>
      </c>
      <c r="D105" s="26">
        <f>IF(COUNT(B104:B105)=2,LN(B105/B104),"")</f>
        <v/>
      </c>
      <c r="E105" s="27">
        <f>IF(COUNT(C104:C105)=2,(C105-C104)*100,"")</f>
        <v/>
      </c>
      <c r="F105" s="28">
        <f>IF(ROW()-8&lt;CorrWindow,"",IFERROR(CORREL(INDEX($D$9:$D$809,ROW()-8-CorrWindow+1):D105,INDEX($E$9:$E$809,ROW()-8-CorrWindow+1):E105),""))</f>
        <v/>
      </c>
      <c r="G105">
        <f>IF(A105="","",0)</f>
        <v/>
      </c>
    </row>
    <row r="106">
      <c r="A106" s="23">
        <f>IFERROR(INDEX($R$9:$R$809,ROW()-8),"")</f>
        <v/>
      </c>
      <c r="B106">
        <f>IFERROR(INDEX($S$9:$S$809,ROW()-8),"")</f>
        <v/>
      </c>
      <c r="C106">
        <f>IFERROR(INDEX($W$9:$W$809,ROW()-8),"")</f>
        <v/>
      </c>
      <c r="D106" s="26">
        <f>IF(COUNT(B105:B106)=2,LN(B106/B105),"")</f>
        <v/>
      </c>
      <c r="E106" s="27">
        <f>IF(COUNT(C105:C106)=2,(C106-C105)*100,"")</f>
        <v/>
      </c>
      <c r="F106" s="28">
        <f>IF(ROW()-8&lt;CorrWindow,"",IFERROR(CORREL(INDEX($D$9:$D$809,ROW()-8-CorrWindow+1):D106,INDEX($E$9:$E$809,ROW()-8-CorrWindow+1):E106),""))</f>
        <v/>
      </c>
      <c r="G106">
        <f>IF(A106="","",0)</f>
        <v/>
      </c>
    </row>
    <row r="107">
      <c r="A107" s="23">
        <f>IFERROR(INDEX($R$9:$R$809,ROW()-8),"")</f>
        <v/>
      </c>
      <c r="B107">
        <f>IFERROR(INDEX($S$9:$S$809,ROW()-8),"")</f>
        <v/>
      </c>
      <c r="C107">
        <f>IFERROR(INDEX($W$9:$W$809,ROW()-8),"")</f>
        <v/>
      </c>
      <c r="D107" s="26">
        <f>IF(COUNT(B106:B107)=2,LN(B107/B106),"")</f>
        <v/>
      </c>
      <c r="E107" s="27">
        <f>IF(COUNT(C106:C107)=2,(C107-C106)*100,"")</f>
        <v/>
      </c>
      <c r="F107" s="28">
        <f>IF(ROW()-8&lt;CorrWindow,"",IFERROR(CORREL(INDEX($D$9:$D$809,ROW()-8-CorrWindow+1):D107,INDEX($E$9:$E$809,ROW()-8-CorrWindow+1):E107),""))</f>
        <v/>
      </c>
      <c r="G107">
        <f>IF(A107="","",0)</f>
        <v/>
      </c>
    </row>
    <row r="108">
      <c r="A108" s="23">
        <f>IFERROR(INDEX($R$9:$R$809,ROW()-8),"")</f>
        <v/>
      </c>
      <c r="B108">
        <f>IFERROR(INDEX($S$9:$S$809,ROW()-8),"")</f>
        <v/>
      </c>
      <c r="C108">
        <f>IFERROR(INDEX($W$9:$W$809,ROW()-8),"")</f>
        <v/>
      </c>
      <c r="D108" s="26">
        <f>IF(COUNT(B107:B108)=2,LN(B108/B107),"")</f>
        <v/>
      </c>
      <c r="E108" s="27">
        <f>IF(COUNT(C107:C108)=2,(C108-C107)*100,"")</f>
        <v/>
      </c>
      <c r="F108" s="28">
        <f>IF(ROW()-8&lt;CorrWindow,"",IFERROR(CORREL(INDEX($D$9:$D$809,ROW()-8-CorrWindow+1):D108,INDEX($E$9:$E$809,ROW()-8-CorrWindow+1):E108),""))</f>
        <v/>
      </c>
      <c r="G108">
        <f>IF(A108="","",0)</f>
        <v/>
      </c>
    </row>
    <row r="109">
      <c r="A109" s="23">
        <f>IFERROR(INDEX($R$9:$R$809,ROW()-8),"")</f>
        <v/>
      </c>
      <c r="B109">
        <f>IFERROR(INDEX($S$9:$S$809,ROW()-8),"")</f>
        <v/>
      </c>
      <c r="C109">
        <f>IFERROR(INDEX($W$9:$W$809,ROW()-8),"")</f>
        <v/>
      </c>
      <c r="D109" s="26">
        <f>IF(COUNT(B108:B109)=2,LN(B109/B108),"")</f>
        <v/>
      </c>
      <c r="E109" s="27">
        <f>IF(COUNT(C108:C109)=2,(C109-C108)*100,"")</f>
        <v/>
      </c>
      <c r="F109" s="28">
        <f>IF(ROW()-8&lt;CorrWindow,"",IFERROR(CORREL(INDEX($D$9:$D$809,ROW()-8-CorrWindow+1):D109,INDEX($E$9:$E$809,ROW()-8-CorrWindow+1):E109),""))</f>
        <v/>
      </c>
      <c r="G109">
        <f>IF(A109="","",0)</f>
        <v/>
      </c>
    </row>
    <row r="110">
      <c r="A110" s="23">
        <f>IFERROR(INDEX($R$9:$R$809,ROW()-8),"")</f>
        <v/>
      </c>
      <c r="B110">
        <f>IFERROR(INDEX($S$9:$S$809,ROW()-8),"")</f>
        <v/>
      </c>
      <c r="C110">
        <f>IFERROR(INDEX($W$9:$W$809,ROW()-8),"")</f>
        <v/>
      </c>
      <c r="D110" s="26">
        <f>IF(COUNT(B109:B110)=2,LN(B110/B109),"")</f>
        <v/>
      </c>
      <c r="E110" s="27">
        <f>IF(COUNT(C109:C110)=2,(C110-C109)*100,"")</f>
        <v/>
      </c>
      <c r="F110" s="28">
        <f>IF(ROW()-8&lt;CorrWindow,"",IFERROR(CORREL(INDEX($D$9:$D$809,ROW()-8-CorrWindow+1):D110,INDEX($E$9:$E$809,ROW()-8-CorrWindow+1):E110),""))</f>
        <v/>
      </c>
      <c r="G110">
        <f>IF(A110="","",0)</f>
        <v/>
      </c>
    </row>
    <row r="111">
      <c r="A111" s="23">
        <f>IFERROR(INDEX($R$9:$R$809,ROW()-8),"")</f>
        <v/>
      </c>
      <c r="B111">
        <f>IFERROR(INDEX($S$9:$S$809,ROW()-8),"")</f>
        <v/>
      </c>
      <c r="C111">
        <f>IFERROR(INDEX($W$9:$W$809,ROW()-8),"")</f>
        <v/>
      </c>
      <c r="D111" s="26">
        <f>IF(COUNT(B110:B111)=2,LN(B111/B110),"")</f>
        <v/>
      </c>
      <c r="E111" s="27">
        <f>IF(COUNT(C110:C111)=2,(C111-C110)*100,"")</f>
        <v/>
      </c>
      <c r="F111" s="28">
        <f>IF(ROW()-8&lt;CorrWindow,"",IFERROR(CORREL(INDEX($D$9:$D$809,ROW()-8-CorrWindow+1):D111,INDEX($E$9:$E$809,ROW()-8-CorrWindow+1):E111),""))</f>
        <v/>
      </c>
      <c r="G111">
        <f>IF(A111="","",0)</f>
        <v/>
      </c>
    </row>
    <row r="112">
      <c r="A112" s="23">
        <f>IFERROR(INDEX($R$9:$R$809,ROW()-8),"")</f>
        <v/>
      </c>
      <c r="B112">
        <f>IFERROR(INDEX($S$9:$S$809,ROW()-8),"")</f>
        <v/>
      </c>
      <c r="C112">
        <f>IFERROR(INDEX($W$9:$W$809,ROW()-8),"")</f>
        <v/>
      </c>
      <c r="D112" s="26">
        <f>IF(COUNT(B111:B112)=2,LN(B112/B111),"")</f>
        <v/>
      </c>
      <c r="E112" s="27">
        <f>IF(COUNT(C111:C112)=2,(C112-C111)*100,"")</f>
        <v/>
      </c>
      <c r="F112" s="28">
        <f>IF(ROW()-8&lt;CorrWindow,"",IFERROR(CORREL(INDEX($D$9:$D$809,ROW()-8-CorrWindow+1):D112,INDEX($E$9:$E$809,ROW()-8-CorrWindow+1):E112),""))</f>
        <v/>
      </c>
      <c r="G112">
        <f>IF(A112="","",0)</f>
        <v/>
      </c>
    </row>
    <row r="113">
      <c r="A113" s="23">
        <f>IFERROR(INDEX($R$9:$R$809,ROW()-8),"")</f>
        <v/>
      </c>
      <c r="B113">
        <f>IFERROR(INDEX($S$9:$S$809,ROW()-8),"")</f>
        <v/>
      </c>
      <c r="C113">
        <f>IFERROR(INDEX($W$9:$W$809,ROW()-8),"")</f>
        <v/>
      </c>
      <c r="D113" s="26">
        <f>IF(COUNT(B112:B113)=2,LN(B113/B112),"")</f>
        <v/>
      </c>
      <c r="E113" s="27">
        <f>IF(COUNT(C112:C113)=2,(C113-C112)*100,"")</f>
        <v/>
      </c>
      <c r="F113" s="28">
        <f>IF(ROW()-8&lt;CorrWindow,"",IFERROR(CORREL(INDEX($D$9:$D$809,ROW()-8-CorrWindow+1):D113,INDEX($E$9:$E$809,ROW()-8-CorrWindow+1):E113),""))</f>
        <v/>
      </c>
      <c r="G113">
        <f>IF(A113="","",0)</f>
        <v/>
      </c>
    </row>
    <row r="114">
      <c r="A114" s="23">
        <f>IFERROR(INDEX($R$9:$R$809,ROW()-8),"")</f>
        <v/>
      </c>
      <c r="B114">
        <f>IFERROR(INDEX($S$9:$S$809,ROW()-8),"")</f>
        <v/>
      </c>
      <c r="C114">
        <f>IFERROR(INDEX($W$9:$W$809,ROW()-8),"")</f>
        <v/>
      </c>
      <c r="D114" s="26">
        <f>IF(COUNT(B113:B114)=2,LN(B114/B113),"")</f>
        <v/>
      </c>
      <c r="E114" s="27">
        <f>IF(COUNT(C113:C114)=2,(C114-C113)*100,"")</f>
        <v/>
      </c>
      <c r="F114" s="28">
        <f>IF(ROW()-8&lt;CorrWindow,"",IFERROR(CORREL(INDEX($D$9:$D$809,ROW()-8-CorrWindow+1):D114,INDEX($E$9:$E$809,ROW()-8-CorrWindow+1):E114),""))</f>
        <v/>
      </c>
      <c r="G114">
        <f>IF(A114="","",0)</f>
        <v/>
      </c>
    </row>
    <row r="115">
      <c r="A115" s="23">
        <f>IFERROR(INDEX($R$9:$R$809,ROW()-8),"")</f>
        <v/>
      </c>
      <c r="B115">
        <f>IFERROR(INDEX($S$9:$S$809,ROW()-8),"")</f>
        <v/>
      </c>
      <c r="C115">
        <f>IFERROR(INDEX($W$9:$W$809,ROW()-8),"")</f>
        <v/>
      </c>
      <c r="D115" s="26">
        <f>IF(COUNT(B114:B115)=2,LN(B115/B114),"")</f>
        <v/>
      </c>
      <c r="E115" s="27">
        <f>IF(COUNT(C114:C115)=2,(C115-C114)*100,"")</f>
        <v/>
      </c>
      <c r="F115" s="28">
        <f>IF(ROW()-8&lt;CorrWindow,"",IFERROR(CORREL(INDEX($D$9:$D$809,ROW()-8-CorrWindow+1):D115,INDEX($E$9:$E$809,ROW()-8-CorrWindow+1):E115),""))</f>
        <v/>
      </c>
      <c r="G115">
        <f>IF(A115="","",0)</f>
        <v/>
      </c>
    </row>
    <row r="116">
      <c r="A116" s="23">
        <f>IFERROR(INDEX($R$9:$R$809,ROW()-8),"")</f>
        <v/>
      </c>
      <c r="B116">
        <f>IFERROR(INDEX($S$9:$S$809,ROW()-8),"")</f>
        <v/>
      </c>
      <c r="C116">
        <f>IFERROR(INDEX($W$9:$W$809,ROW()-8),"")</f>
        <v/>
      </c>
      <c r="D116" s="26">
        <f>IF(COUNT(B115:B116)=2,LN(B116/B115),"")</f>
        <v/>
      </c>
      <c r="E116" s="27">
        <f>IF(COUNT(C115:C116)=2,(C116-C115)*100,"")</f>
        <v/>
      </c>
      <c r="F116" s="28">
        <f>IF(ROW()-8&lt;CorrWindow,"",IFERROR(CORREL(INDEX($D$9:$D$809,ROW()-8-CorrWindow+1):D116,INDEX($E$9:$E$809,ROW()-8-CorrWindow+1):E116),""))</f>
        <v/>
      </c>
      <c r="G116">
        <f>IF(A116="","",0)</f>
        <v/>
      </c>
    </row>
    <row r="117">
      <c r="A117" s="23">
        <f>IFERROR(INDEX($R$9:$R$809,ROW()-8),"")</f>
        <v/>
      </c>
      <c r="B117">
        <f>IFERROR(INDEX($S$9:$S$809,ROW()-8),"")</f>
        <v/>
      </c>
      <c r="C117">
        <f>IFERROR(INDEX($W$9:$W$809,ROW()-8),"")</f>
        <v/>
      </c>
      <c r="D117" s="26">
        <f>IF(COUNT(B116:B117)=2,LN(B117/B116),"")</f>
        <v/>
      </c>
      <c r="E117" s="27">
        <f>IF(COUNT(C116:C117)=2,(C117-C116)*100,"")</f>
        <v/>
      </c>
      <c r="F117" s="28">
        <f>IF(ROW()-8&lt;CorrWindow,"",IFERROR(CORREL(INDEX($D$9:$D$809,ROW()-8-CorrWindow+1):D117,INDEX($E$9:$E$809,ROW()-8-CorrWindow+1):E117),""))</f>
        <v/>
      </c>
      <c r="G117">
        <f>IF(A117="","",0)</f>
        <v/>
      </c>
    </row>
    <row r="118">
      <c r="A118" s="23">
        <f>IFERROR(INDEX($R$9:$R$809,ROW()-8),"")</f>
        <v/>
      </c>
      <c r="B118">
        <f>IFERROR(INDEX($S$9:$S$809,ROW()-8),"")</f>
        <v/>
      </c>
      <c r="C118">
        <f>IFERROR(INDEX($W$9:$W$809,ROW()-8),"")</f>
        <v/>
      </c>
      <c r="D118" s="26">
        <f>IF(COUNT(B117:B118)=2,LN(B118/B117),"")</f>
        <v/>
      </c>
      <c r="E118" s="27">
        <f>IF(COUNT(C117:C118)=2,(C118-C117)*100,"")</f>
        <v/>
      </c>
      <c r="F118" s="28">
        <f>IF(ROW()-8&lt;CorrWindow,"",IFERROR(CORREL(INDEX($D$9:$D$809,ROW()-8-CorrWindow+1):D118,INDEX($E$9:$E$809,ROW()-8-CorrWindow+1):E118),""))</f>
        <v/>
      </c>
      <c r="G118">
        <f>IF(A118="","",0)</f>
        <v/>
      </c>
    </row>
    <row r="119">
      <c r="A119" s="23">
        <f>IFERROR(INDEX($R$9:$R$809,ROW()-8),"")</f>
        <v/>
      </c>
      <c r="B119">
        <f>IFERROR(INDEX($S$9:$S$809,ROW()-8),"")</f>
        <v/>
      </c>
      <c r="C119">
        <f>IFERROR(INDEX($W$9:$W$809,ROW()-8),"")</f>
        <v/>
      </c>
      <c r="D119" s="26">
        <f>IF(COUNT(B118:B119)=2,LN(B119/B118),"")</f>
        <v/>
      </c>
      <c r="E119" s="27">
        <f>IF(COUNT(C118:C119)=2,(C119-C118)*100,"")</f>
        <v/>
      </c>
      <c r="F119" s="28">
        <f>IF(ROW()-8&lt;CorrWindow,"",IFERROR(CORREL(INDEX($D$9:$D$809,ROW()-8-CorrWindow+1):D119,INDEX($E$9:$E$809,ROW()-8-CorrWindow+1):E119),""))</f>
        <v/>
      </c>
      <c r="G119">
        <f>IF(A119="","",0)</f>
        <v/>
      </c>
    </row>
    <row r="120">
      <c r="A120" s="23">
        <f>IFERROR(INDEX($R$9:$R$809,ROW()-8),"")</f>
        <v/>
      </c>
      <c r="B120">
        <f>IFERROR(INDEX($S$9:$S$809,ROW()-8),"")</f>
        <v/>
      </c>
      <c r="C120">
        <f>IFERROR(INDEX($W$9:$W$809,ROW()-8),"")</f>
        <v/>
      </c>
      <c r="D120" s="26">
        <f>IF(COUNT(B119:B120)=2,LN(B120/B119),"")</f>
        <v/>
      </c>
      <c r="E120" s="27">
        <f>IF(COUNT(C119:C120)=2,(C120-C119)*100,"")</f>
        <v/>
      </c>
      <c r="F120" s="28">
        <f>IF(ROW()-8&lt;CorrWindow,"",IFERROR(CORREL(INDEX($D$9:$D$809,ROW()-8-CorrWindow+1):D120,INDEX($E$9:$E$809,ROW()-8-CorrWindow+1):E120),""))</f>
        <v/>
      </c>
      <c r="G120">
        <f>IF(A120="","",0)</f>
        <v/>
      </c>
    </row>
    <row r="121">
      <c r="A121" s="23">
        <f>IFERROR(INDEX($R$9:$R$809,ROW()-8),"")</f>
        <v/>
      </c>
      <c r="B121">
        <f>IFERROR(INDEX($S$9:$S$809,ROW()-8),"")</f>
        <v/>
      </c>
      <c r="C121">
        <f>IFERROR(INDEX($W$9:$W$809,ROW()-8),"")</f>
        <v/>
      </c>
      <c r="D121" s="26">
        <f>IF(COUNT(B120:B121)=2,LN(B121/B120),"")</f>
        <v/>
      </c>
      <c r="E121" s="27">
        <f>IF(COUNT(C120:C121)=2,(C121-C120)*100,"")</f>
        <v/>
      </c>
      <c r="F121" s="28">
        <f>IF(ROW()-8&lt;CorrWindow,"",IFERROR(CORREL(INDEX($D$9:$D$809,ROW()-8-CorrWindow+1):D121,INDEX($E$9:$E$809,ROW()-8-CorrWindow+1):E121),""))</f>
        <v/>
      </c>
      <c r="G121">
        <f>IF(A121="","",0)</f>
        <v/>
      </c>
    </row>
    <row r="122">
      <c r="A122" s="23">
        <f>IFERROR(INDEX($R$9:$R$809,ROW()-8),"")</f>
        <v/>
      </c>
      <c r="B122">
        <f>IFERROR(INDEX($S$9:$S$809,ROW()-8),"")</f>
        <v/>
      </c>
      <c r="C122">
        <f>IFERROR(INDEX($W$9:$W$809,ROW()-8),"")</f>
        <v/>
      </c>
      <c r="D122" s="26">
        <f>IF(COUNT(B121:B122)=2,LN(B122/B121),"")</f>
        <v/>
      </c>
      <c r="E122" s="27">
        <f>IF(COUNT(C121:C122)=2,(C122-C121)*100,"")</f>
        <v/>
      </c>
      <c r="F122" s="28">
        <f>IF(ROW()-8&lt;CorrWindow,"",IFERROR(CORREL(INDEX($D$9:$D$809,ROW()-8-CorrWindow+1):D122,INDEX($E$9:$E$809,ROW()-8-CorrWindow+1):E122),""))</f>
        <v/>
      </c>
      <c r="G122">
        <f>IF(A122="","",0)</f>
        <v/>
      </c>
    </row>
    <row r="123">
      <c r="A123" s="23">
        <f>IFERROR(INDEX($R$9:$R$809,ROW()-8),"")</f>
        <v/>
      </c>
      <c r="B123">
        <f>IFERROR(INDEX($S$9:$S$809,ROW()-8),"")</f>
        <v/>
      </c>
      <c r="C123">
        <f>IFERROR(INDEX($W$9:$W$809,ROW()-8),"")</f>
        <v/>
      </c>
      <c r="D123" s="26">
        <f>IF(COUNT(B122:B123)=2,LN(B123/B122),"")</f>
        <v/>
      </c>
      <c r="E123" s="27">
        <f>IF(COUNT(C122:C123)=2,(C123-C122)*100,"")</f>
        <v/>
      </c>
      <c r="F123" s="28">
        <f>IF(ROW()-8&lt;CorrWindow,"",IFERROR(CORREL(INDEX($D$9:$D$809,ROW()-8-CorrWindow+1):D123,INDEX($E$9:$E$809,ROW()-8-CorrWindow+1):E123),""))</f>
        <v/>
      </c>
      <c r="G123">
        <f>IF(A123="","",0)</f>
        <v/>
      </c>
    </row>
    <row r="124">
      <c r="A124" s="23">
        <f>IFERROR(INDEX($R$9:$R$809,ROW()-8),"")</f>
        <v/>
      </c>
      <c r="B124">
        <f>IFERROR(INDEX($S$9:$S$809,ROW()-8),"")</f>
        <v/>
      </c>
      <c r="C124">
        <f>IFERROR(INDEX($W$9:$W$809,ROW()-8),"")</f>
        <v/>
      </c>
      <c r="D124" s="26">
        <f>IF(COUNT(B123:B124)=2,LN(B124/B123),"")</f>
        <v/>
      </c>
      <c r="E124" s="27">
        <f>IF(COUNT(C123:C124)=2,(C124-C123)*100,"")</f>
        <v/>
      </c>
      <c r="F124" s="28">
        <f>IF(ROW()-8&lt;CorrWindow,"",IFERROR(CORREL(INDEX($D$9:$D$809,ROW()-8-CorrWindow+1):D124,INDEX($E$9:$E$809,ROW()-8-CorrWindow+1):E124),""))</f>
        <v/>
      </c>
      <c r="G124">
        <f>IF(A124="","",0)</f>
        <v/>
      </c>
    </row>
    <row r="125">
      <c r="A125" s="23">
        <f>IFERROR(INDEX($R$9:$R$809,ROW()-8),"")</f>
        <v/>
      </c>
      <c r="B125">
        <f>IFERROR(INDEX($S$9:$S$809,ROW()-8),"")</f>
        <v/>
      </c>
      <c r="C125">
        <f>IFERROR(INDEX($W$9:$W$809,ROW()-8),"")</f>
        <v/>
      </c>
      <c r="D125" s="26">
        <f>IF(COUNT(B124:B125)=2,LN(B125/B124),"")</f>
        <v/>
      </c>
      <c r="E125" s="27">
        <f>IF(COUNT(C124:C125)=2,(C125-C124)*100,"")</f>
        <v/>
      </c>
      <c r="F125" s="28">
        <f>IF(ROW()-8&lt;CorrWindow,"",IFERROR(CORREL(INDEX($D$9:$D$809,ROW()-8-CorrWindow+1):D125,INDEX($E$9:$E$809,ROW()-8-CorrWindow+1):E125),""))</f>
        <v/>
      </c>
      <c r="G125">
        <f>IF(A125="","",0)</f>
        <v/>
      </c>
    </row>
    <row r="126">
      <c r="A126" s="23">
        <f>IFERROR(INDEX($R$9:$R$809,ROW()-8),"")</f>
        <v/>
      </c>
      <c r="B126">
        <f>IFERROR(INDEX($S$9:$S$809,ROW()-8),"")</f>
        <v/>
      </c>
      <c r="C126">
        <f>IFERROR(INDEX($W$9:$W$809,ROW()-8),"")</f>
        <v/>
      </c>
      <c r="D126" s="26">
        <f>IF(COUNT(B125:B126)=2,LN(B126/B125),"")</f>
        <v/>
      </c>
      <c r="E126" s="27">
        <f>IF(COUNT(C125:C126)=2,(C126-C125)*100,"")</f>
        <v/>
      </c>
      <c r="F126" s="28">
        <f>IF(ROW()-8&lt;CorrWindow,"",IFERROR(CORREL(INDEX($D$9:$D$809,ROW()-8-CorrWindow+1):D126,INDEX($E$9:$E$809,ROW()-8-CorrWindow+1):E126),""))</f>
        <v/>
      </c>
      <c r="G126">
        <f>IF(A126="","",0)</f>
        <v/>
      </c>
    </row>
    <row r="127">
      <c r="A127" s="23">
        <f>IFERROR(INDEX($R$9:$R$809,ROW()-8),"")</f>
        <v/>
      </c>
      <c r="B127">
        <f>IFERROR(INDEX($S$9:$S$809,ROW()-8),"")</f>
        <v/>
      </c>
      <c r="C127">
        <f>IFERROR(INDEX($W$9:$W$809,ROW()-8),"")</f>
        <v/>
      </c>
      <c r="D127" s="26">
        <f>IF(COUNT(B126:B127)=2,LN(B127/B126),"")</f>
        <v/>
      </c>
      <c r="E127" s="27">
        <f>IF(COUNT(C126:C127)=2,(C127-C126)*100,"")</f>
        <v/>
      </c>
      <c r="F127" s="28">
        <f>IF(ROW()-8&lt;CorrWindow,"",IFERROR(CORREL(INDEX($D$9:$D$809,ROW()-8-CorrWindow+1):D127,INDEX($E$9:$E$809,ROW()-8-CorrWindow+1):E127),""))</f>
        <v/>
      </c>
      <c r="G127">
        <f>IF(A127="","",0)</f>
        <v/>
      </c>
    </row>
    <row r="128">
      <c r="A128" s="23">
        <f>IFERROR(INDEX($R$9:$R$809,ROW()-8),"")</f>
        <v/>
      </c>
      <c r="B128">
        <f>IFERROR(INDEX($S$9:$S$809,ROW()-8),"")</f>
        <v/>
      </c>
      <c r="C128">
        <f>IFERROR(INDEX($W$9:$W$809,ROW()-8),"")</f>
        <v/>
      </c>
      <c r="D128" s="26">
        <f>IF(COUNT(B127:B128)=2,LN(B128/B127),"")</f>
        <v/>
      </c>
      <c r="E128" s="27">
        <f>IF(COUNT(C127:C128)=2,(C128-C127)*100,"")</f>
        <v/>
      </c>
      <c r="F128" s="28">
        <f>IF(ROW()-8&lt;CorrWindow,"",IFERROR(CORREL(INDEX($D$9:$D$809,ROW()-8-CorrWindow+1):D128,INDEX($E$9:$E$809,ROW()-8-CorrWindow+1):E128),""))</f>
        <v/>
      </c>
      <c r="G128">
        <f>IF(A128="","",0)</f>
        <v/>
      </c>
    </row>
    <row r="129">
      <c r="A129" s="23">
        <f>IFERROR(INDEX($R$9:$R$809,ROW()-8),"")</f>
        <v/>
      </c>
      <c r="B129">
        <f>IFERROR(INDEX($S$9:$S$809,ROW()-8),"")</f>
        <v/>
      </c>
      <c r="C129">
        <f>IFERROR(INDEX($W$9:$W$809,ROW()-8),"")</f>
        <v/>
      </c>
      <c r="D129" s="26">
        <f>IF(COUNT(B128:B129)=2,LN(B129/B128),"")</f>
        <v/>
      </c>
      <c r="E129" s="27">
        <f>IF(COUNT(C128:C129)=2,(C129-C128)*100,"")</f>
        <v/>
      </c>
      <c r="F129" s="28">
        <f>IF(ROW()-8&lt;CorrWindow,"",IFERROR(CORREL(INDEX($D$9:$D$809,ROW()-8-CorrWindow+1):D129,INDEX($E$9:$E$809,ROW()-8-CorrWindow+1):E129),""))</f>
        <v/>
      </c>
      <c r="G129">
        <f>IF(A129="","",0)</f>
        <v/>
      </c>
    </row>
    <row r="130">
      <c r="A130" s="23">
        <f>IFERROR(INDEX($R$9:$R$809,ROW()-8),"")</f>
        <v/>
      </c>
      <c r="B130">
        <f>IFERROR(INDEX($S$9:$S$809,ROW()-8),"")</f>
        <v/>
      </c>
      <c r="C130">
        <f>IFERROR(INDEX($W$9:$W$809,ROW()-8),"")</f>
        <v/>
      </c>
      <c r="D130" s="26">
        <f>IF(COUNT(B129:B130)=2,LN(B130/B129),"")</f>
        <v/>
      </c>
      <c r="E130" s="27">
        <f>IF(COUNT(C129:C130)=2,(C130-C129)*100,"")</f>
        <v/>
      </c>
      <c r="F130" s="28">
        <f>IF(ROW()-8&lt;CorrWindow,"",IFERROR(CORREL(INDEX($D$9:$D$809,ROW()-8-CorrWindow+1):D130,INDEX($E$9:$E$809,ROW()-8-CorrWindow+1):E130),""))</f>
        <v/>
      </c>
      <c r="G130">
        <f>IF(A130="","",0)</f>
        <v/>
      </c>
    </row>
    <row r="131">
      <c r="A131" s="23">
        <f>IFERROR(INDEX($R$9:$R$809,ROW()-8),"")</f>
        <v/>
      </c>
      <c r="B131">
        <f>IFERROR(INDEX($S$9:$S$809,ROW()-8),"")</f>
        <v/>
      </c>
      <c r="C131">
        <f>IFERROR(INDEX($W$9:$W$809,ROW()-8),"")</f>
        <v/>
      </c>
      <c r="D131" s="26">
        <f>IF(COUNT(B130:B131)=2,LN(B131/B130),"")</f>
        <v/>
      </c>
      <c r="E131" s="27">
        <f>IF(COUNT(C130:C131)=2,(C131-C130)*100,"")</f>
        <v/>
      </c>
      <c r="F131" s="28">
        <f>IF(ROW()-8&lt;CorrWindow,"",IFERROR(CORREL(INDEX($D$9:$D$809,ROW()-8-CorrWindow+1):D131,INDEX($E$9:$E$809,ROW()-8-CorrWindow+1):E131),""))</f>
        <v/>
      </c>
      <c r="G131">
        <f>IF(A131="","",0)</f>
        <v/>
      </c>
    </row>
    <row r="132">
      <c r="A132" s="23">
        <f>IFERROR(INDEX($R$9:$R$809,ROW()-8),"")</f>
        <v/>
      </c>
      <c r="B132">
        <f>IFERROR(INDEX($S$9:$S$809,ROW()-8),"")</f>
        <v/>
      </c>
      <c r="C132">
        <f>IFERROR(INDEX($W$9:$W$809,ROW()-8),"")</f>
        <v/>
      </c>
      <c r="D132" s="26">
        <f>IF(COUNT(B131:B132)=2,LN(B132/B131),"")</f>
        <v/>
      </c>
      <c r="E132" s="27">
        <f>IF(COUNT(C131:C132)=2,(C132-C131)*100,"")</f>
        <v/>
      </c>
      <c r="F132" s="28">
        <f>IF(ROW()-8&lt;CorrWindow,"",IFERROR(CORREL(INDEX($D$9:$D$809,ROW()-8-CorrWindow+1):D132,INDEX($E$9:$E$809,ROW()-8-CorrWindow+1):E132),""))</f>
        <v/>
      </c>
      <c r="G132">
        <f>IF(A132="","",0)</f>
        <v/>
      </c>
    </row>
    <row r="133">
      <c r="A133" s="23">
        <f>IFERROR(INDEX($R$9:$R$809,ROW()-8),"")</f>
        <v/>
      </c>
      <c r="B133">
        <f>IFERROR(INDEX($S$9:$S$809,ROW()-8),"")</f>
        <v/>
      </c>
      <c r="C133">
        <f>IFERROR(INDEX($W$9:$W$809,ROW()-8),"")</f>
        <v/>
      </c>
      <c r="D133" s="26">
        <f>IF(COUNT(B132:B133)=2,LN(B133/B132),"")</f>
        <v/>
      </c>
      <c r="E133" s="27">
        <f>IF(COUNT(C132:C133)=2,(C133-C132)*100,"")</f>
        <v/>
      </c>
      <c r="F133" s="28">
        <f>IF(ROW()-8&lt;CorrWindow,"",IFERROR(CORREL(INDEX($D$9:$D$809,ROW()-8-CorrWindow+1):D133,INDEX($E$9:$E$809,ROW()-8-CorrWindow+1):E133),""))</f>
        <v/>
      </c>
      <c r="G133">
        <f>IF(A133="","",0)</f>
        <v/>
      </c>
    </row>
    <row r="134">
      <c r="A134" s="23">
        <f>IFERROR(INDEX($R$9:$R$809,ROW()-8),"")</f>
        <v/>
      </c>
      <c r="B134">
        <f>IFERROR(INDEX($S$9:$S$809,ROW()-8),"")</f>
        <v/>
      </c>
      <c r="C134">
        <f>IFERROR(INDEX($W$9:$W$809,ROW()-8),"")</f>
        <v/>
      </c>
      <c r="D134" s="26">
        <f>IF(COUNT(B133:B134)=2,LN(B134/B133),"")</f>
        <v/>
      </c>
      <c r="E134" s="27">
        <f>IF(COUNT(C133:C134)=2,(C134-C133)*100,"")</f>
        <v/>
      </c>
      <c r="F134" s="28">
        <f>IF(ROW()-8&lt;CorrWindow,"",IFERROR(CORREL(INDEX($D$9:$D$809,ROW()-8-CorrWindow+1):D134,INDEX($E$9:$E$809,ROW()-8-CorrWindow+1):E134),""))</f>
        <v/>
      </c>
      <c r="G134">
        <f>IF(A134="","",0)</f>
        <v/>
      </c>
    </row>
    <row r="135">
      <c r="A135" s="23">
        <f>IFERROR(INDEX($R$9:$R$809,ROW()-8),"")</f>
        <v/>
      </c>
      <c r="B135">
        <f>IFERROR(INDEX($S$9:$S$809,ROW()-8),"")</f>
        <v/>
      </c>
      <c r="C135">
        <f>IFERROR(INDEX($W$9:$W$809,ROW()-8),"")</f>
        <v/>
      </c>
      <c r="D135" s="26">
        <f>IF(COUNT(B134:B135)=2,LN(B135/B134),"")</f>
        <v/>
      </c>
      <c r="E135" s="27">
        <f>IF(COUNT(C134:C135)=2,(C135-C134)*100,"")</f>
        <v/>
      </c>
      <c r="F135" s="28">
        <f>IF(ROW()-8&lt;CorrWindow,"",IFERROR(CORREL(INDEX($D$9:$D$809,ROW()-8-CorrWindow+1):D135,INDEX($E$9:$E$809,ROW()-8-CorrWindow+1):E135),""))</f>
        <v/>
      </c>
      <c r="G135">
        <f>IF(A135="","",0)</f>
        <v/>
      </c>
    </row>
    <row r="136">
      <c r="A136" s="23">
        <f>IFERROR(INDEX($R$9:$R$809,ROW()-8),"")</f>
        <v/>
      </c>
      <c r="B136">
        <f>IFERROR(INDEX($S$9:$S$809,ROW()-8),"")</f>
        <v/>
      </c>
      <c r="C136">
        <f>IFERROR(INDEX($W$9:$W$809,ROW()-8),"")</f>
        <v/>
      </c>
      <c r="D136" s="26">
        <f>IF(COUNT(B135:B136)=2,LN(B136/B135),"")</f>
        <v/>
      </c>
      <c r="E136" s="27">
        <f>IF(COUNT(C135:C136)=2,(C136-C135)*100,"")</f>
        <v/>
      </c>
      <c r="F136" s="28">
        <f>IF(ROW()-8&lt;CorrWindow,"",IFERROR(CORREL(INDEX($D$9:$D$809,ROW()-8-CorrWindow+1):D136,INDEX($E$9:$E$809,ROW()-8-CorrWindow+1):E136),""))</f>
        <v/>
      </c>
      <c r="G136">
        <f>IF(A136="","",0)</f>
        <v/>
      </c>
    </row>
    <row r="137">
      <c r="A137" s="23">
        <f>IFERROR(INDEX($R$9:$R$809,ROW()-8),"")</f>
        <v/>
      </c>
      <c r="B137">
        <f>IFERROR(INDEX($S$9:$S$809,ROW()-8),"")</f>
        <v/>
      </c>
      <c r="C137">
        <f>IFERROR(INDEX($W$9:$W$809,ROW()-8),"")</f>
        <v/>
      </c>
      <c r="D137" s="26">
        <f>IF(COUNT(B136:B137)=2,LN(B137/B136),"")</f>
        <v/>
      </c>
      <c r="E137" s="27">
        <f>IF(COUNT(C136:C137)=2,(C137-C136)*100,"")</f>
        <v/>
      </c>
      <c r="F137" s="28">
        <f>IF(ROW()-8&lt;CorrWindow,"",IFERROR(CORREL(INDEX($D$9:$D$809,ROW()-8-CorrWindow+1):D137,INDEX($E$9:$E$809,ROW()-8-CorrWindow+1):E137),""))</f>
        <v/>
      </c>
      <c r="G137">
        <f>IF(A137="","",0)</f>
        <v/>
      </c>
    </row>
    <row r="138">
      <c r="A138" s="23">
        <f>IFERROR(INDEX($R$9:$R$809,ROW()-8),"")</f>
        <v/>
      </c>
      <c r="B138">
        <f>IFERROR(INDEX($S$9:$S$809,ROW()-8),"")</f>
        <v/>
      </c>
      <c r="C138">
        <f>IFERROR(INDEX($W$9:$W$809,ROW()-8),"")</f>
        <v/>
      </c>
      <c r="D138" s="26">
        <f>IF(COUNT(B137:B138)=2,LN(B138/B137),"")</f>
        <v/>
      </c>
      <c r="E138" s="27">
        <f>IF(COUNT(C137:C138)=2,(C138-C137)*100,"")</f>
        <v/>
      </c>
      <c r="F138" s="28">
        <f>IF(ROW()-8&lt;CorrWindow,"",IFERROR(CORREL(INDEX($D$9:$D$809,ROW()-8-CorrWindow+1):D138,INDEX($E$9:$E$809,ROW()-8-CorrWindow+1):E138),""))</f>
        <v/>
      </c>
      <c r="G138">
        <f>IF(A138="","",0)</f>
        <v/>
      </c>
    </row>
    <row r="139">
      <c r="A139" s="23">
        <f>IFERROR(INDEX($R$9:$R$809,ROW()-8),"")</f>
        <v/>
      </c>
      <c r="B139">
        <f>IFERROR(INDEX($S$9:$S$809,ROW()-8),"")</f>
        <v/>
      </c>
      <c r="C139">
        <f>IFERROR(INDEX($W$9:$W$809,ROW()-8),"")</f>
        <v/>
      </c>
      <c r="D139" s="26">
        <f>IF(COUNT(B138:B139)=2,LN(B139/B138),"")</f>
        <v/>
      </c>
      <c r="E139" s="27">
        <f>IF(COUNT(C138:C139)=2,(C139-C138)*100,"")</f>
        <v/>
      </c>
      <c r="F139" s="28">
        <f>IF(ROW()-8&lt;CorrWindow,"",IFERROR(CORREL(INDEX($D$9:$D$809,ROW()-8-CorrWindow+1):D139,INDEX($E$9:$E$809,ROW()-8-CorrWindow+1):E139),""))</f>
        <v/>
      </c>
      <c r="G139">
        <f>IF(A139="","",0)</f>
        <v/>
      </c>
    </row>
    <row r="140">
      <c r="A140" s="23">
        <f>IFERROR(INDEX($R$9:$R$809,ROW()-8),"")</f>
        <v/>
      </c>
      <c r="B140">
        <f>IFERROR(INDEX($S$9:$S$809,ROW()-8),"")</f>
        <v/>
      </c>
      <c r="C140">
        <f>IFERROR(INDEX($W$9:$W$809,ROW()-8),"")</f>
        <v/>
      </c>
      <c r="D140" s="26">
        <f>IF(COUNT(B139:B140)=2,LN(B140/B139),"")</f>
        <v/>
      </c>
      <c r="E140" s="27">
        <f>IF(COUNT(C139:C140)=2,(C140-C139)*100,"")</f>
        <v/>
      </c>
      <c r="F140" s="28">
        <f>IF(ROW()-8&lt;CorrWindow,"",IFERROR(CORREL(INDEX($D$9:$D$809,ROW()-8-CorrWindow+1):D140,INDEX($E$9:$E$809,ROW()-8-CorrWindow+1):E140),""))</f>
        <v/>
      </c>
      <c r="G140">
        <f>IF(A140="","",0)</f>
        <v/>
      </c>
    </row>
    <row r="141">
      <c r="A141" s="23">
        <f>IFERROR(INDEX($R$9:$R$809,ROW()-8),"")</f>
        <v/>
      </c>
      <c r="B141">
        <f>IFERROR(INDEX($S$9:$S$809,ROW()-8),"")</f>
        <v/>
      </c>
      <c r="C141">
        <f>IFERROR(INDEX($W$9:$W$809,ROW()-8),"")</f>
        <v/>
      </c>
      <c r="D141" s="26">
        <f>IF(COUNT(B140:B141)=2,LN(B141/B140),"")</f>
        <v/>
      </c>
      <c r="E141" s="27">
        <f>IF(COUNT(C140:C141)=2,(C141-C140)*100,"")</f>
        <v/>
      </c>
      <c r="F141" s="28">
        <f>IF(ROW()-8&lt;CorrWindow,"",IFERROR(CORREL(INDEX($D$9:$D$809,ROW()-8-CorrWindow+1):D141,INDEX($E$9:$E$809,ROW()-8-CorrWindow+1):E141),""))</f>
        <v/>
      </c>
      <c r="G141">
        <f>IF(A141="","",0)</f>
        <v/>
      </c>
    </row>
    <row r="142">
      <c r="A142" s="23">
        <f>IFERROR(INDEX($R$9:$R$809,ROW()-8),"")</f>
        <v/>
      </c>
      <c r="B142">
        <f>IFERROR(INDEX($S$9:$S$809,ROW()-8),"")</f>
        <v/>
      </c>
      <c r="C142">
        <f>IFERROR(INDEX($W$9:$W$809,ROW()-8),"")</f>
        <v/>
      </c>
      <c r="D142" s="26">
        <f>IF(COUNT(B141:B142)=2,LN(B142/B141),"")</f>
        <v/>
      </c>
      <c r="E142" s="27">
        <f>IF(COUNT(C141:C142)=2,(C142-C141)*100,"")</f>
        <v/>
      </c>
      <c r="F142" s="28">
        <f>IF(ROW()-8&lt;CorrWindow,"",IFERROR(CORREL(INDEX($D$9:$D$809,ROW()-8-CorrWindow+1):D142,INDEX($E$9:$E$809,ROW()-8-CorrWindow+1):E142),""))</f>
        <v/>
      </c>
      <c r="G142">
        <f>IF(A142="","",0)</f>
        <v/>
      </c>
    </row>
    <row r="143">
      <c r="A143" s="23">
        <f>IFERROR(INDEX($R$9:$R$809,ROW()-8),"")</f>
        <v/>
      </c>
      <c r="B143">
        <f>IFERROR(INDEX($S$9:$S$809,ROW()-8),"")</f>
        <v/>
      </c>
      <c r="C143">
        <f>IFERROR(INDEX($W$9:$W$809,ROW()-8),"")</f>
        <v/>
      </c>
      <c r="D143" s="26">
        <f>IF(COUNT(B142:B143)=2,LN(B143/B142),"")</f>
        <v/>
      </c>
      <c r="E143" s="27">
        <f>IF(COUNT(C142:C143)=2,(C143-C142)*100,"")</f>
        <v/>
      </c>
      <c r="F143" s="28">
        <f>IF(ROW()-8&lt;CorrWindow,"",IFERROR(CORREL(INDEX($D$9:$D$809,ROW()-8-CorrWindow+1):D143,INDEX($E$9:$E$809,ROW()-8-CorrWindow+1):E143),""))</f>
        <v/>
      </c>
      <c r="G143">
        <f>IF(A143="","",0)</f>
        <v/>
      </c>
    </row>
    <row r="144">
      <c r="A144" s="23">
        <f>IFERROR(INDEX($R$9:$R$809,ROW()-8),"")</f>
        <v/>
      </c>
      <c r="B144">
        <f>IFERROR(INDEX($S$9:$S$809,ROW()-8),"")</f>
        <v/>
      </c>
      <c r="C144">
        <f>IFERROR(INDEX($W$9:$W$809,ROW()-8),"")</f>
        <v/>
      </c>
      <c r="D144" s="26">
        <f>IF(COUNT(B143:B144)=2,LN(B144/B143),"")</f>
        <v/>
      </c>
      <c r="E144" s="27">
        <f>IF(COUNT(C143:C144)=2,(C144-C143)*100,"")</f>
        <v/>
      </c>
      <c r="F144" s="28">
        <f>IF(ROW()-8&lt;CorrWindow,"",IFERROR(CORREL(INDEX($D$9:$D$809,ROW()-8-CorrWindow+1):D144,INDEX($E$9:$E$809,ROW()-8-CorrWindow+1):E144),""))</f>
        <v/>
      </c>
      <c r="G144">
        <f>IF(A144="","",0)</f>
        <v/>
      </c>
    </row>
    <row r="145">
      <c r="A145" s="23">
        <f>IFERROR(INDEX($R$9:$R$809,ROW()-8),"")</f>
        <v/>
      </c>
      <c r="B145">
        <f>IFERROR(INDEX($S$9:$S$809,ROW()-8),"")</f>
        <v/>
      </c>
      <c r="C145">
        <f>IFERROR(INDEX($W$9:$W$809,ROW()-8),"")</f>
        <v/>
      </c>
      <c r="D145" s="26">
        <f>IF(COUNT(B144:B145)=2,LN(B145/B144),"")</f>
        <v/>
      </c>
      <c r="E145" s="27">
        <f>IF(COUNT(C144:C145)=2,(C145-C144)*100,"")</f>
        <v/>
      </c>
      <c r="F145" s="28">
        <f>IF(ROW()-8&lt;CorrWindow,"",IFERROR(CORREL(INDEX($D$9:$D$809,ROW()-8-CorrWindow+1):D145,INDEX($E$9:$E$809,ROW()-8-CorrWindow+1):E145),""))</f>
        <v/>
      </c>
      <c r="G145">
        <f>IF(A145="","",0)</f>
        <v/>
      </c>
    </row>
    <row r="146">
      <c r="A146" s="23">
        <f>IFERROR(INDEX($R$9:$R$809,ROW()-8),"")</f>
        <v/>
      </c>
      <c r="B146">
        <f>IFERROR(INDEX($S$9:$S$809,ROW()-8),"")</f>
        <v/>
      </c>
      <c r="C146">
        <f>IFERROR(INDEX($W$9:$W$809,ROW()-8),"")</f>
        <v/>
      </c>
      <c r="D146" s="26">
        <f>IF(COUNT(B145:B146)=2,LN(B146/B145),"")</f>
        <v/>
      </c>
      <c r="E146" s="27">
        <f>IF(COUNT(C145:C146)=2,(C146-C145)*100,"")</f>
        <v/>
      </c>
      <c r="F146" s="28">
        <f>IF(ROW()-8&lt;CorrWindow,"",IFERROR(CORREL(INDEX($D$9:$D$809,ROW()-8-CorrWindow+1):D146,INDEX($E$9:$E$809,ROW()-8-CorrWindow+1):E146),""))</f>
        <v/>
      </c>
      <c r="G146">
        <f>IF(A146="","",0)</f>
        <v/>
      </c>
    </row>
    <row r="147">
      <c r="A147" s="23">
        <f>IFERROR(INDEX($R$9:$R$809,ROW()-8),"")</f>
        <v/>
      </c>
      <c r="B147">
        <f>IFERROR(INDEX($S$9:$S$809,ROW()-8),"")</f>
        <v/>
      </c>
      <c r="C147">
        <f>IFERROR(INDEX($W$9:$W$809,ROW()-8),"")</f>
        <v/>
      </c>
      <c r="D147" s="26">
        <f>IF(COUNT(B146:B147)=2,LN(B147/B146),"")</f>
        <v/>
      </c>
      <c r="E147" s="27">
        <f>IF(COUNT(C146:C147)=2,(C147-C146)*100,"")</f>
        <v/>
      </c>
      <c r="F147" s="28">
        <f>IF(ROW()-8&lt;CorrWindow,"",IFERROR(CORREL(INDEX($D$9:$D$809,ROW()-8-CorrWindow+1):D147,INDEX($E$9:$E$809,ROW()-8-CorrWindow+1):E147),""))</f>
        <v/>
      </c>
      <c r="G147">
        <f>IF(A147="","",0)</f>
        <v/>
      </c>
    </row>
    <row r="148">
      <c r="A148" s="23">
        <f>IFERROR(INDEX($R$9:$R$809,ROW()-8),"")</f>
        <v/>
      </c>
      <c r="B148">
        <f>IFERROR(INDEX($S$9:$S$809,ROW()-8),"")</f>
        <v/>
      </c>
      <c r="C148">
        <f>IFERROR(INDEX($W$9:$W$809,ROW()-8),"")</f>
        <v/>
      </c>
      <c r="D148" s="26">
        <f>IF(COUNT(B147:B148)=2,LN(B148/B147),"")</f>
        <v/>
      </c>
      <c r="E148" s="27">
        <f>IF(COUNT(C147:C148)=2,(C148-C147)*100,"")</f>
        <v/>
      </c>
      <c r="F148" s="28">
        <f>IF(ROW()-8&lt;CorrWindow,"",IFERROR(CORREL(INDEX($D$9:$D$809,ROW()-8-CorrWindow+1):D148,INDEX($E$9:$E$809,ROW()-8-CorrWindow+1):E148),""))</f>
        <v/>
      </c>
      <c r="G148">
        <f>IF(A148="","",0)</f>
        <v/>
      </c>
    </row>
    <row r="149">
      <c r="A149" s="23">
        <f>IFERROR(INDEX($R$9:$R$809,ROW()-8),"")</f>
        <v/>
      </c>
      <c r="B149">
        <f>IFERROR(INDEX($S$9:$S$809,ROW()-8),"")</f>
        <v/>
      </c>
      <c r="C149">
        <f>IFERROR(INDEX($W$9:$W$809,ROW()-8),"")</f>
        <v/>
      </c>
      <c r="D149" s="26">
        <f>IF(COUNT(B148:B149)=2,LN(B149/B148),"")</f>
        <v/>
      </c>
      <c r="E149" s="27">
        <f>IF(COUNT(C148:C149)=2,(C149-C148)*100,"")</f>
        <v/>
      </c>
      <c r="F149" s="28">
        <f>IF(ROW()-8&lt;CorrWindow,"",IFERROR(CORREL(INDEX($D$9:$D$809,ROW()-8-CorrWindow+1):D149,INDEX($E$9:$E$809,ROW()-8-CorrWindow+1):E149),""))</f>
        <v/>
      </c>
      <c r="G149">
        <f>IF(A149="","",0)</f>
        <v/>
      </c>
    </row>
    <row r="150">
      <c r="A150" s="23">
        <f>IFERROR(INDEX($R$9:$R$809,ROW()-8),"")</f>
        <v/>
      </c>
      <c r="B150">
        <f>IFERROR(INDEX($S$9:$S$809,ROW()-8),"")</f>
        <v/>
      </c>
      <c r="C150">
        <f>IFERROR(INDEX($W$9:$W$809,ROW()-8),"")</f>
        <v/>
      </c>
      <c r="D150" s="26">
        <f>IF(COUNT(B149:B150)=2,LN(B150/B149),"")</f>
        <v/>
      </c>
      <c r="E150" s="27">
        <f>IF(COUNT(C149:C150)=2,(C150-C149)*100,"")</f>
        <v/>
      </c>
      <c r="F150" s="28">
        <f>IF(ROW()-8&lt;CorrWindow,"",IFERROR(CORREL(INDEX($D$9:$D$809,ROW()-8-CorrWindow+1):D150,INDEX($E$9:$E$809,ROW()-8-CorrWindow+1):E150),""))</f>
        <v/>
      </c>
      <c r="G150">
        <f>IF(A150="","",0)</f>
        <v/>
      </c>
    </row>
    <row r="151">
      <c r="A151" s="23">
        <f>IFERROR(INDEX($R$9:$R$809,ROW()-8),"")</f>
        <v/>
      </c>
      <c r="B151">
        <f>IFERROR(INDEX($S$9:$S$809,ROW()-8),"")</f>
        <v/>
      </c>
      <c r="C151">
        <f>IFERROR(INDEX($W$9:$W$809,ROW()-8),"")</f>
        <v/>
      </c>
      <c r="D151" s="26">
        <f>IF(COUNT(B150:B151)=2,LN(B151/B150),"")</f>
        <v/>
      </c>
      <c r="E151" s="27">
        <f>IF(COUNT(C150:C151)=2,(C151-C150)*100,"")</f>
        <v/>
      </c>
      <c r="F151" s="28">
        <f>IF(ROW()-8&lt;CorrWindow,"",IFERROR(CORREL(INDEX($D$9:$D$809,ROW()-8-CorrWindow+1):D151,INDEX($E$9:$E$809,ROW()-8-CorrWindow+1):E151),""))</f>
        <v/>
      </c>
      <c r="G151">
        <f>IF(A151="","",0)</f>
        <v/>
      </c>
    </row>
    <row r="152">
      <c r="A152" s="23">
        <f>IFERROR(INDEX($R$9:$R$809,ROW()-8),"")</f>
        <v/>
      </c>
      <c r="B152">
        <f>IFERROR(INDEX($S$9:$S$809,ROW()-8),"")</f>
        <v/>
      </c>
      <c r="C152">
        <f>IFERROR(INDEX($W$9:$W$809,ROW()-8),"")</f>
        <v/>
      </c>
      <c r="D152" s="26">
        <f>IF(COUNT(B151:B152)=2,LN(B152/B151),"")</f>
        <v/>
      </c>
      <c r="E152" s="27">
        <f>IF(COUNT(C151:C152)=2,(C152-C151)*100,"")</f>
        <v/>
      </c>
      <c r="F152" s="28">
        <f>IF(ROW()-8&lt;CorrWindow,"",IFERROR(CORREL(INDEX($D$9:$D$809,ROW()-8-CorrWindow+1):D152,INDEX($E$9:$E$809,ROW()-8-CorrWindow+1):E152),""))</f>
        <v/>
      </c>
      <c r="G152">
        <f>IF(A152="","",0)</f>
        <v/>
      </c>
    </row>
    <row r="153">
      <c r="A153" s="23">
        <f>IFERROR(INDEX($R$9:$R$809,ROW()-8),"")</f>
        <v/>
      </c>
      <c r="B153">
        <f>IFERROR(INDEX($S$9:$S$809,ROW()-8),"")</f>
        <v/>
      </c>
      <c r="C153">
        <f>IFERROR(INDEX($W$9:$W$809,ROW()-8),"")</f>
        <v/>
      </c>
      <c r="D153" s="26">
        <f>IF(COUNT(B152:B153)=2,LN(B153/B152),"")</f>
        <v/>
      </c>
      <c r="E153" s="27">
        <f>IF(COUNT(C152:C153)=2,(C153-C152)*100,"")</f>
        <v/>
      </c>
      <c r="F153" s="28">
        <f>IF(ROW()-8&lt;CorrWindow,"",IFERROR(CORREL(INDEX($D$9:$D$809,ROW()-8-CorrWindow+1):D153,INDEX($E$9:$E$809,ROW()-8-CorrWindow+1):E153),""))</f>
        <v/>
      </c>
      <c r="G153">
        <f>IF(A153="","",0)</f>
        <v/>
      </c>
    </row>
    <row r="154">
      <c r="A154" s="23">
        <f>IFERROR(INDEX($R$9:$R$809,ROW()-8),"")</f>
        <v/>
      </c>
      <c r="B154">
        <f>IFERROR(INDEX($S$9:$S$809,ROW()-8),"")</f>
        <v/>
      </c>
      <c r="C154">
        <f>IFERROR(INDEX($W$9:$W$809,ROW()-8),"")</f>
        <v/>
      </c>
      <c r="D154" s="26">
        <f>IF(COUNT(B153:B154)=2,LN(B154/B153),"")</f>
        <v/>
      </c>
      <c r="E154" s="27">
        <f>IF(COUNT(C153:C154)=2,(C154-C153)*100,"")</f>
        <v/>
      </c>
      <c r="F154" s="28">
        <f>IF(ROW()-8&lt;CorrWindow,"",IFERROR(CORREL(INDEX($D$9:$D$809,ROW()-8-CorrWindow+1):D154,INDEX($E$9:$E$809,ROW()-8-CorrWindow+1):E154),""))</f>
        <v/>
      </c>
      <c r="G154">
        <f>IF(A154="","",0)</f>
        <v/>
      </c>
    </row>
    <row r="155">
      <c r="A155" s="23">
        <f>IFERROR(INDEX($R$9:$R$809,ROW()-8),"")</f>
        <v/>
      </c>
      <c r="B155">
        <f>IFERROR(INDEX($S$9:$S$809,ROW()-8),"")</f>
        <v/>
      </c>
      <c r="C155">
        <f>IFERROR(INDEX($W$9:$W$809,ROW()-8),"")</f>
        <v/>
      </c>
      <c r="D155" s="26">
        <f>IF(COUNT(B154:B155)=2,LN(B155/B154),"")</f>
        <v/>
      </c>
      <c r="E155" s="27">
        <f>IF(COUNT(C154:C155)=2,(C155-C154)*100,"")</f>
        <v/>
      </c>
      <c r="F155" s="28">
        <f>IF(ROW()-8&lt;CorrWindow,"",IFERROR(CORREL(INDEX($D$9:$D$809,ROW()-8-CorrWindow+1):D155,INDEX($E$9:$E$809,ROW()-8-CorrWindow+1):E155),""))</f>
        <v/>
      </c>
      <c r="G155">
        <f>IF(A155="","",0)</f>
        <v/>
      </c>
    </row>
    <row r="156">
      <c r="A156" s="23">
        <f>IFERROR(INDEX($R$9:$R$809,ROW()-8),"")</f>
        <v/>
      </c>
      <c r="B156">
        <f>IFERROR(INDEX($S$9:$S$809,ROW()-8),"")</f>
        <v/>
      </c>
      <c r="C156">
        <f>IFERROR(INDEX($W$9:$W$809,ROW()-8),"")</f>
        <v/>
      </c>
      <c r="D156" s="26">
        <f>IF(COUNT(B155:B156)=2,LN(B156/B155),"")</f>
        <v/>
      </c>
      <c r="E156" s="27">
        <f>IF(COUNT(C155:C156)=2,(C156-C155)*100,"")</f>
        <v/>
      </c>
      <c r="F156" s="28">
        <f>IF(ROW()-8&lt;CorrWindow,"",IFERROR(CORREL(INDEX($D$9:$D$809,ROW()-8-CorrWindow+1):D156,INDEX($E$9:$E$809,ROW()-8-CorrWindow+1):E156),""))</f>
        <v/>
      </c>
      <c r="G156">
        <f>IF(A156="","",0)</f>
        <v/>
      </c>
    </row>
    <row r="157">
      <c r="A157" s="23">
        <f>IFERROR(INDEX($R$9:$R$809,ROW()-8),"")</f>
        <v/>
      </c>
      <c r="B157">
        <f>IFERROR(INDEX($S$9:$S$809,ROW()-8),"")</f>
        <v/>
      </c>
      <c r="C157">
        <f>IFERROR(INDEX($W$9:$W$809,ROW()-8),"")</f>
        <v/>
      </c>
      <c r="D157" s="26">
        <f>IF(COUNT(B156:B157)=2,LN(B157/B156),"")</f>
        <v/>
      </c>
      <c r="E157" s="27">
        <f>IF(COUNT(C156:C157)=2,(C157-C156)*100,"")</f>
        <v/>
      </c>
      <c r="F157" s="28">
        <f>IF(ROW()-8&lt;CorrWindow,"",IFERROR(CORREL(INDEX($D$9:$D$809,ROW()-8-CorrWindow+1):D157,INDEX($E$9:$E$809,ROW()-8-CorrWindow+1):E157),""))</f>
        <v/>
      </c>
      <c r="G157">
        <f>IF(A157="","",0)</f>
        <v/>
      </c>
    </row>
    <row r="158">
      <c r="A158" s="23">
        <f>IFERROR(INDEX($R$9:$R$809,ROW()-8),"")</f>
        <v/>
      </c>
      <c r="B158">
        <f>IFERROR(INDEX($S$9:$S$809,ROW()-8),"")</f>
        <v/>
      </c>
      <c r="C158">
        <f>IFERROR(INDEX($W$9:$W$809,ROW()-8),"")</f>
        <v/>
      </c>
      <c r="D158" s="26">
        <f>IF(COUNT(B157:B158)=2,LN(B158/B157),"")</f>
        <v/>
      </c>
      <c r="E158" s="27">
        <f>IF(COUNT(C157:C158)=2,(C158-C157)*100,"")</f>
        <v/>
      </c>
      <c r="F158" s="28">
        <f>IF(ROW()-8&lt;CorrWindow,"",IFERROR(CORREL(INDEX($D$9:$D$809,ROW()-8-CorrWindow+1):D158,INDEX($E$9:$E$809,ROW()-8-CorrWindow+1):E158),""))</f>
        <v/>
      </c>
      <c r="G158">
        <f>IF(A158="","",0)</f>
        <v/>
      </c>
    </row>
    <row r="159">
      <c r="A159" s="23">
        <f>IFERROR(INDEX($R$9:$R$809,ROW()-8),"")</f>
        <v/>
      </c>
      <c r="B159">
        <f>IFERROR(INDEX($S$9:$S$809,ROW()-8),"")</f>
        <v/>
      </c>
      <c r="C159">
        <f>IFERROR(INDEX($W$9:$W$809,ROW()-8),"")</f>
        <v/>
      </c>
      <c r="D159" s="26">
        <f>IF(COUNT(B158:B159)=2,LN(B159/B158),"")</f>
        <v/>
      </c>
      <c r="E159" s="27">
        <f>IF(COUNT(C158:C159)=2,(C159-C158)*100,"")</f>
        <v/>
      </c>
      <c r="F159" s="28">
        <f>IF(ROW()-8&lt;CorrWindow,"",IFERROR(CORREL(INDEX($D$9:$D$809,ROW()-8-CorrWindow+1):D159,INDEX($E$9:$E$809,ROW()-8-CorrWindow+1):E159),""))</f>
        <v/>
      </c>
      <c r="G159">
        <f>IF(A159="","",0)</f>
        <v/>
      </c>
    </row>
    <row r="160">
      <c r="A160" s="23">
        <f>IFERROR(INDEX($R$9:$R$809,ROW()-8),"")</f>
        <v/>
      </c>
      <c r="B160">
        <f>IFERROR(INDEX($S$9:$S$809,ROW()-8),"")</f>
        <v/>
      </c>
      <c r="C160">
        <f>IFERROR(INDEX($W$9:$W$809,ROW()-8),"")</f>
        <v/>
      </c>
      <c r="D160" s="26">
        <f>IF(COUNT(B159:B160)=2,LN(B160/B159),"")</f>
        <v/>
      </c>
      <c r="E160" s="27">
        <f>IF(COUNT(C159:C160)=2,(C160-C159)*100,"")</f>
        <v/>
      </c>
      <c r="F160" s="28">
        <f>IF(ROW()-8&lt;CorrWindow,"",IFERROR(CORREL(INDEX($D$9:$D$809,ROW()-8-CorrWindow+1):D160,INDEX($E$9:$E$809,ROW()-8-CorrWindow+1):E160),""))</f>
        <v/>
      </c>
      <c r="G160">
        <f>IF(A160="","",0)</f>
        <v/>
      </c>
    </row>
    <row r="161">
      <c r="A161" s="23">
        <f>IFERROR(INDEX($R$9:$R$809,ROW()-8),"")</f>
        <v/>
      </c>
      <c r="B161">
        <f>IFERROR(INDEX($S$9:$S$809,ROW()-8),"")</f>
        <v/>
      </c>
      <c r="C161">
        <f>IFERROR(INDEX($W$9:$W$809,ROW()-8),"")</f>
        <v/>
      </c>
      <c r="D161" s="26">
        <f>IF(COUNT(B160:B161)=2,LN(B161/B160),"")</f>
        <v/>
      </c>
      <c r="E161" s="27">
        <f>IF(COUNT(C160:C161)=2,(C161-C160)*100,"")</f>
        <v/>
      </c>
      <c r="F161" s="28">
        <f>IF(ROW()-8&lt;CorrWindow,"",IFERROR(CORREL(INDEX($D$9:$D$809,ROW()-8-CorrWindow+1):D161,INDEX($E$9:$E$809,ROW()-8-CorrWindow+1):E161),""))</f>
        <v/>
      </c>
      <c r="G161">
        <f>IF(A161="","",0)</f>
        <v/>
      </c>
    </row>
    <row r="162">
      <c r="A162" s="23">
        <f>IFERROR(INDEX($R$9:$R$809,ROW()-8),"")</f>
        <v/>
      </c>
      <c r="B162">
        <f>IFERROR(INDEX($S$9:$S$809,ROW()-8),"")</f>
        <v/>
      </c>
      <c r="C162">
        <f>IFERROR(INDEX($W$9:$W$809,ROW()-8),"")</f>
        <v/>
      </c>
      <c r="D162" s="26">
        <f>IF(COUNT(B161:B162)=2,LN(B162/B161),"")</f>
        <v/>
      </c>
      <c r="E162" s="27">
        <f>IF(COUNT(C161:C162)=2,(C162-C161)*100,"")</f>
        <v/>
      </c>
      <c r="F162" s="28">
        <f>IF(ROW()-8&lt;CorrWindow,"",IFERROR(CORREL(INDEX($D$9:$D$809,ROW()-8-CorrWindow+1):D162,INDEX($E$9:$E$809,ROW()-8-CorrWindow+1):E162),""))</f>
        <v/>
      </c>
      <c r="G162">
        <f>IF(A162="","",0)</f>
        <v/>
      </c>
    </row>
    <row r="163">
      <c r="A163" s="23">
        <f>IFERROR(INDEX($R$9:$R$809,ROW()-8),"")</f>
        <v/>
      </c>
      <c r="B163">
        <f>IFERROR(INDEX($S$9:$S$809,ROW()-8),"")</f>
        <v/>
      </c>
      <c r="C163">
        <f>IFERROR(INDEX($W$9:$W$809,ROW()-8),"")</f>
        <v/>
      </c>
      <c r="D163" s="26">
        <f>IF(COUNT(B162:B163)=2,LN(B163/B162),"")</f>
        <v/>
      </c>
      <c r="E163" s="27">
        <f>IF(COUNT(C162:C163)=2,(C163-C162)*100,"")</f>
        <v/>
      </c>
      <c r="F163" s="28">
        <f>IF(ROW()-8&lt;CorrWindow,"",IFERROR(CORREL(INDEX($D$9:$D$809,ROW()-8-CorrWindow+1):D163,INDEX($E$9:$E$809,ROW()-8-CorrWindow+1):E163),""))</f>
        <v/>
      </c>
      <c r="G163">
        <f>IF(A163="","",0)</f>
        <v/>
      </c>
    </row>
    <row r="164">
      <c r="A164" s="23">
        <f>IFERROR(INDEX($R$9:$R$809,ROW()-8),"")</f>
        <v/>
      </c>
      <c r="B164">
        <f>IFERROR(INDEX($S$9:$S$809,ROW()-8),"")</f>
        <v/>
      </c>
      <c r="C164">
        <f>IFERROR(INDEX($W$9:$W$809,ROW()-8),"")</f>
        <v/>
      </c>
      <c r="D164" s="26">
        <f>IF(COUNT(B163:B164)=2,LN(B164/B163),"")</f>
        <v/>
      </c>
      <c r="E164" s="27">
        <f>IF(COUNT(C163:C164)=2,(C164-C163)*100,"")</f>
        <v/>
      </c>
      <c r="F164" s="28">
        <f>IF(ROW()-8&lt;CorrWindow,"",IFERROR(CORREL(INDEX($D$9:$D$809,ROW()-8-CorrWindow+1):D164,INDEX($E$9:$E$809,ROW()-8-CorrWindow+1):E164),""))</f>
        <v/>
      </c>
      <c r="G164">
        <f>IF(A164="","",0)</f>
        <v/>
      </c>
    </row>
    <row r="165">
      <c r="A165" s="23">
        <f>IFERROR(INDEX($R$9:$R$809,ROW()-8),"")</f>
        <v/>
      </c>
      <c r="B165">
        <f>IFERROR(INDEX($S$9:$S$809,ROW()-8),"")</f>
        <v/>
      </c>
      <c r="C165">
        <f>IFERROR(INDEX($W$9:$W$809,ROW()-8),"")</f>
        <v/>
      </c>
      <c r="D165" s="26">
        <f>IF(COUNT(B164:B165)=2,LN(B165/B164),"")</f>
        <v/>
      </c>
      <c r="E165" s="27">
        <f>IF(COUNT(C164:C165)=2,(C165-C164)*100,"")</f>
        <v/>
      </c>
      <c r="F165" s="28">
        <f>IF(ROW()-8&lt;CorrWindow,"",IFERROR(CORREL(INDEX($D$9:$D$809,ROW()-8-CorrWindow+1):D165,INDEX($E$9:$E$809,ROW()-8-CorrWindow+1):E165),""))</f>
        <v/>
      </c>
      <c r="G165">
        <f>IF(A165="","",0)</f>
        <v/>
      </c>
    </row>
    <row r="166">
      <c r="A166" s="23">
        <f>IFERROR(INDEX($R$9:$R$809,ROW()-8),"")</f>
        <v/>
      </c>
      <c r="B166">
        <f>IFERROR(INDEX($S$9:$S$809,ROW()-8),"")</f>
        <v/>
      </c>
      <c r="C166">
        <f>IFERROR(INDEX($W$9:$W$809,ROW()-8),"")</f>
        <v/>
      </c>
      <c r="D166" s="26">
        <f>IF(COUNT(B165:B166)=2,LN(B166/B165),"")</f>
        <v/>
      </c>
      <c r="E166" s="27">
        <f>IF(COUNT(C165:C166)=2,(C166-C165)*100,"")</f>
        <v/>
      </c>
      <c r="F166" s="28">
        <f>IF(ROW()-8&lt;CorrWindow,"",IFERROR(CORREL(INDEX($D$9:$D$809,ROW()-8-CorrWindow+1):D166,INDEX($E$9:$E$809,ROW()-8-CorrWindow+1):E166),""))</f>
        <v/>
      </c>
      <c r="G166">
        <f>IF(A166="","",0)</f>
        <v/>
      </c>
    </row>
    <row r="167">
      <c r="A167" s="23">
        <f>IFERROR(INDEX($R$9:$R$809,ROW()-8),"")</f>
        <v/>
      </c>
      <c r="B167">
        <f>IFERROR(INDEX($S$9:$S$809,ROW()-8),"")</f>
        <v/>
      </c>
      <c r="C167">
        <f>IFERROR(INDEX($W$9:$W$809,ROW()-8),"")</f>
        <v/>
      </c>
      <c r="D167" s="26">
        <f>IF(COUNT(B166:B167)=2,LN(B167/B166),"")</f>
        <v/>
      </c>
      <c r="E167" s="27">
        <f>IF(COUNT(C166:C167)=2,(C167-C166)*100,"")</f>
        <v/>
      </c>
      <c r="F167" s="28">
        <f>IF(ROW()-8&lt;CorrWindow,"",IFERROR(CORREL(INDEX($D$9:$D$809,ROW()-8-CorrWindow+1):D167,INDEX($E$9:$E$809,ROW()-8-CorrWindow+1):E167),""))</f>
        <v/>
      </c>
      <c r="G167">
        <f>IF(A167="","",0)</f>
        <v/>
      </c>
    </row>
    <row r="168">
      <c r="A168" s="23">
        <f>IFERROR(INDEX($R$9:$R$809,ROW()-8),"")</f>
        <v/>
      </c>
      <c r="B168">
        <f>IFERROR(INDEX($S$9:$S$809,ROW()-8),"")</f>
        <v/>
      </c>
      <c r="C168">
        <f>IFERROR(INDEX($W$9:$W$809,ROW()-8),"")</f>
        <v/>
      </c>
      <c r="D168" s="26">
        <f>IF(COUNT(B167:B168)=2,LN(B168/B167),"")</f>
        <v/>
      </c>
      <c r="E168" s="27">
        <f>IF(COUNT(C167:C168)=2,(C168-C167)*100,"")</f>
        <v/>
      </c>
      <c r="F168" s="28">
        <f>IF(ROW()-8&lt;CorrWindow,"",IFERROR(CORREL(INDEX($D$9:$D$809,ROW()-8-CorrWindow+1):D168,INDEX($E$9:$E$809,ROW()-8-CorrWindow+1):E168),""))</f>
        <v/>
      </c>
      <c r="G168">
        <f>IF(A168="","",0)</f>
        <v/>
      </c>
    </row>
    <row r="169">
      <c r="A169" s="23">
        <f>IFERROR(INDEX($R$9:$R$809,ROW()-8),"")</f>
        <v/>
      </c>
      <c r="B169">
        <f>IFERROR(INDEX($S$9:$S$809,ROW()-8),"")</f>
        <v/>
      </c>
      <c r="C169">
        <f>IFERROR(INDEX($W$9:$W$809,ROW()-8),"")</f>
        <v/>
      </c>
      <c r="D169" s="26">
        <f>IF(COUNT(B168:B169)=2,LN(B169/B168),"")</f>
        <v/>
      </c>
      <c r="E169" s="27">
        <f>IF(COUNT(C168:C169)=2,(C169-C168)*100,"")</f>
        <v/>
      </c>
      <c r="F169" s="28">
        <f>IF(ROW()-8&lt;CorrWindow,"",IFERROR(CORREL(INDEX($D$9:$D$809,ROW()-8-CorrWindow+1):D169,INDEX($E$9:$E$809,ROW()-8-CorrWindow+1):E169),""))</f>
        <v/>
      </c>
      <c r="G169">
        <f>IF(A169="","",0)</f>
        <v/>
      </c>
    </row>
    <row r="170">
      <c r="A170" s="23">
        <f>IFERROR(INDEX($R$9:$R$809,ROW()-8),"")</f>
        <v/>
      </c>
      <c r="B170">
        <f>IFERROR(INDEX($S$9:$S$809,ROW()-8),"")</f>
        <v/>
      </c>
      <c r="C170">
        <f>IFERROR(INDEX($W$9:$W$809,ROW()-8),"")</f>
        <v/>
      </c>
      <c r="D170" s="26">
        <f>IF(COUNT(B169:B170)=2,LN(B170/B169),"")</f>
        <v/>
      </c>
      <c r="E170" s="27">
        <f>IF(COUNT(C169:C170)=2,(C170-C169)*100,"")</f>
        <v/>
      </c>
      <c r="F170" s="28">
        <f>IF(ROW()-8&lt;CorrWindow,"",IFERROR(CORREL(INDEX($D$9:$D$809,ROW()-8-CorrWindow+1):D170,INDEX($E$9:$E$809,ROW()-8-CorrWindow+1):E170),""))</f>
        <v/>
      </c>
      <c r="G170">
        <f>IF(A170="","",0)</f>
        <v/>
      </c>
    </row>
    <row r="171">
      <c r="A171" s="23">
        <f>IFERROR(INDEX($R$9:$R$809,ROW()-8),"")</f>
        <v/>
      </c>
      <c r="B171">
        <f>IFERROR(INDEX($S$9:$S$809,ROW()-8),"")</f>
        <v/>
      </c>
      <c r="C171">
        <f>IFERROR(INDEX($W$9:$W$809,ROW()-8),"")</f>
        <v/>
      </c>
      <c r="D171" s="26">
        <f>IF(COUNT(B170:B171)=2,LN(B171/B170),"")</f>
        <v/>
      </c>
      <c r="E171" s="27">
        <f>IF(COUNT(C170:C171)=2,(C171-C170)*100,"")</f>
        <v/>
      </c>
      <c r="F171" s="28">
        <f>IF(ROW()-8&lt;CorrWindow,"",IFERROR(CORREL(INDEX($D$9:$D$809,ROW()-8-CorrWindow+1):D171,INDEX($E$9:$E$809,ROW()-8-CorrWindow+1):E171),""))</f>
        <v/>
      </c>
      <c r="G171">
        <f>IF(A171="","",0)</f>
        <v/>
      </c>
    </row>
    <row r="172">
      <c r="A172" s="23">
        <f>IFERROR(INDEX($R$9:$R$809,ROW()-8),"")</f>
        <v/>
      </c>
      <c r="B172">
        <f>IFERROR(INDEX($S$9:$S$809,ROW()-8),"")</f>
        <v/>
      </c>
      <c r="C172">
        <f>IFERROR(INDEX($W$9:$W$809,ROW()-8),"")</f>
        <v/>
      </c>
      <c r="D172" s="26">
        <f>IF(COUNT(B171:B172)=2,LN(B172/B171),"")</f>
        <v/>
      </c>
      <c r="E172" s="27">
        <f>IF(COUNT(C171:C172)=2,(C172-C171)*100,"")</f>
        <v/>
      </c>
      <c r="F172" s="28">
        <f>IF(ROW()-8&lt;CorrWindow,"",IFERROR(CORREL(INDEX($D$9:$D$809,ROW()-8-CorrWindow+1):D172,INDEX($E$9:$E$809,ROW()-8-CorrWindow+1):E172),""))</f>
        <v/>
      </c>
      <c r="G172">
        <f>IF(A172="","",0)</f>
        <v/>
      </c>
    </row>
    <row r="173">
      <c r="A173" s="23">
        <f>IFERROR(INDEX($R$9:$R$809,ROW()-8),"")</f>
        <v/>
      </c>
      <c r="B173">
        <f>IFERROR(INDEX($S$9:$S$809,ROW()-8),"")</f>
        <v/>
      </c>
      <c r="C173">
        <f>IFERROR(INDEX($W$9:$W$809,ROW()-8),"")</f>
        <v/>
      </c>
      <c r="D173" s="26">
        <f>IF(COUNT(B172:B173)=2,LN(B173/B172),"")</f>
        <v/>
      </c>
      <c r="E173" s="27">
        <f>IF(COUNT(C172:C173)=2,(C173-C172)*100,"")</f>
        <v/>
      </c>
      <c r="F173" s="28">
        <f>IF(ROW()-8&lt;CorrWindow,"",IFERROR(CORREL(INDEX($D$9:$D$809,ROW()-8-CorrWindow+1):D173,INDEX($E$9:$E$809,ROW()-8-CorrWindow+1):E173),""))</f>
        <v/>
      </c>
      <c r="G173">
        <f>IF(A173="","",0)</f>
        <v/>
      </c>
    </row>
    <row r="174">
      <c r="A174" s="23">
        <f>IFERROR(INDEX($R$9:$R$809,ROW()-8),"")</f>
        <v/>
      </c>
      <c r="B174">
        <f>IFERROR(INDEX($S$9:$S$809,ROW()-8),"")</f>
        <v/>
      </c>
      <c r="C174">
        <f>IFERROR(INDEX($W$9:$W$809,ROW()-8),"")</f>
        <v/>
      </c>
      <c r="D174" s="26">
        <f>IF(COUNT(B173:B174)=2,LN(B174/B173),"")</f>
        <v/>
      </c>
      <c r="E174" s="27">
        <f>IF(COUNT(C173:C174)=2,(C174-C173)*100,"")</f>
        <v/>
      </c>
      <c r="F174" s="28">
        <f>IF(ROW()-8&lt;CorrWindow,"",IFERROR(CORREL(INDEX($D$9:$D$809,ROW()-8-CorrWindow+1):D174,INDEX($E$9:$E$809,ROW()-8-CorrWindow+1):E174),""))</f>
        <v/>
      </c>
      <c r="G174">
        <f>IF(A174="","",0)</f>
        <v/>
      </c>
    </row>
    <row r="175">
      <c r="A175" s="23">
        <f>IFERROR(INDEX($R$9:$R$809,ROW()-8),"")</f>
        <v/>
      </c>
      <c r="B175">
        <f>IFERROR(INDEX($S$9:$S$809,ROW()-8),"")</f>
        <v/>
      </c>
      <c r="C175">
        <f>IFERROR(INDEX($W$9:$W$809,ROW()-8),"")</f>
        <v/>
      </c>
      <c r="D175" s="26">
        <f>IF(COUNT(B174:B175)=2,LN(B175/B174),"")</f>
        <v/>
      </c>
      <c r="E175" s="27">
        <f>IF(COUNT(C174:C175)=2,(C175-C174)*100,"")</f>
        <v/>
      </c>
      <c r="F175" s="28">
        <f>IF(ROW()-8&lt;CorrWindow,"",IFERROR(CORREL(INDEX($D$9:$D$809,ROW()-8-CorrWindow+1):D175,INDEX($E$9:$E$809,ROW()-8-CorrWindow+1):E175),""))</f>
        <v/>
      </c>
      <c r="G175">
        <f>IF(A175="","",0)</f>
        <v/>
      </c>
    </row>
    <row r="176">
      <c r="A176" s="23">
        <f>IFERROR(INDEX($R$9:$R$809,ROW()-8),"")</f>
        <v/>
      </c>
      <c r="B176">
        <f>IFERROR(INDEX($S$9:$S$809,ROW()-8),"")</f>
        <v/>
      </c>
      <c r="C176">
        <f>IFERROR(INDEX($W$9:$W$809,ROW()-8),"")</f>
        <v/>
      </c>
      <c r="D176" s="26">
        <f>IF(COUNT(B175:B176)=2,LN(B176/B175),"")</f>
        <v/>
      </c>
      <c r="E176" s="27">
        <f>IF(COUNT(C175:C176)=2,(C176-C175)*100,"")</f>
        <v/>
      </c>
      <c r="F176" s="28">
        <f>IF(ROW()-8&lt;CorrWindow,"",IFERROR(CORREL(INDEX($D$9:$D$809,ROW()-8-CorrWindow+1):D176,INDEX($E$9:$E$809,ROW()-8-CorrWindow+1):E176),""))</f>
        <v/>
      </c>
      <c r="G176">
        <f>IF(A176="","",0)</f>
        <v/>
      </c>
    </row>
    <row r="177">
      <c r="A177" s="23">
        <f>IFERROR(INDEX($R$9:$R$809,ROW()-8),"")</f>
        <v/>
      </c>
      <c r="B177">
        <f>IFERROR(INDEX($S$9:$S$809,ROW()-8),"")</f>
        <v/>
      </c>
      <c r="C177">
        <f>IFERROR(INDEX($W$9:$W$809,ROW()-8),"")</f>
        <v/>
      </c>
      <c r="D177" s="26">
        <f>IF(COUNT(B176:B177)=2,LN(B177/B176),"")</f>
        <v/>
      </c>
      <c r="E177" s="27">
        <f>IF(COUNT(C176:C177)=2,(C177-C176)*100,"")</f>
        <v/>
      </c>
      <c r="F177" s="28">
        <f>IF(ROW()-8&lt;CorrWindow,"",IFERROR(CORREL(INDEX($D$9:$D$809,ROW()-8-CorrWindow+1):D177,INDEX($E$9:$E$809,ROW()-8-CorrWindow+1):E177),""))</f>
        <v/>
      </c>
      <c r="G177">
        <f>IF(A177="","",0)</f>
        <v/>
      </c>
    </row>
    <row r="178">
      <c r="A178" s="23">
        <f>IFERROR(INDEX($R$9:$R$809,ROW()-8),"")</f>
        <v/>
      </c>
      <c r="B178">
        <f>IFERROR(INDEX($S$9:$S$809,ROW()-8),"")</f>
        <v/>
      </c>
      <c r="C178">
        <f>IFERROR(INDEX($W$9:$W$809,ROW()-8),"")</f>
        <v/>
      </c>
      <c r="D178" s="26">
        <f>IF(COUNT(B177:B178)=2,LN(B178/B177),"")</f>
        <v/>
      </c>
      <c r="E178" s="27">
        <f>IF(COUNT(C177:C178)=2,(C178-C177)*100,"")</f>
        <v/>
      </c>
      <c r="F178" s="28">
        <f>IF(ROW()-8&lt;CorrWindow,"",IFERROR(CORREL(INDEX($D$9:$D$809,ROW()-8-CorrWindow+1):D178,INDEX($E$9:$E$809,ROW()-8-CorrWindow+1):E178),""))</f>
        <v/>
      </c>
      <c r="G178">
        <f>IF(A178="","",0)</f>
        <v/>
      </c>
    </row>
    <row r="179">
      <c r="A179" s="23">
        <f>IFERROR(INDEX($R$9:$R$809,ROW()-8),"")</f>
        <v/>
      </c>
      <c r="B179">
        <f>IFERROR(INDEX($S$9:$S$809,ROW()-8),"")</f>
        <v/>
      </c>
      <c r="C179">
        <f>IFERROR(INDEX($W$9:$W$809,ROW()-8),"")</f>
        <v/>
      </c>
      <c r="D179" s="26">
        <f>IF(COUNT(B178:B179)=2,LN(B179/B178),"")</f>
        <v/>
      </c>
      <c r="E179" s="27">
        <f>IF(COUNT(C178:C179)=2,(C179-C178)*100,"")</f>
        <v/>
      </c>
      <c r="F179" s="28">
        <f>IF(ROW()-8&lt;CorrWindow,"",IFERROR(CORREL(INDEX($D$9:$D$809,ROW()-8-CorrWindow+1):D179,INDEX($E$9:$E$809,ROW()-8-CorrWindow+1):E179),""))</f>
        <v/>
      </c>
      <c r="G179">
        <f>IF(A179="","",0)</f>
        <v/>
      </c>
    </row>
    <row r="180">
      <c r="A180" s="23">
        <f>IFERROR(INDEX($R$9:$R$809,ROW()-8),"")</f>
        <v/>
      </c>
      <c r="B180">
        <f>IFERROR(INDEX($S$9:$S$809,ROW()-8),"")</f>
        <v/>
      </c>
      <c r="C180">
        <f>IFERROR(INDEX($W$9:$W$809,ROW()-8),"")</f>
        <v/>
      </c>
      <c r="D180" s="26">
        <f>IF(COUNT(B179:B180)=2,LN(B180/B179),"")</f>
        <v/>
      </c>
      <c r="E180" s="27">
        <f>IF(COUNT(C179:C180)=2,(C180-C179)*100,"")</f>
        <v/>
      </c>
      <c r="F180" s="28">
        <f>IF(ROW()-8&lt;CorrWindow,"",IFERROR(CORREL(INDEX($D$9:$D$809,ROW()-8-CorrWindow+1):D180,INDEX($E$9:$E$809,ROW()-8-CorrWindow+1):E180),""))</f>
        <v/>
      </c>
      <c r="G180">
        <f>IF(A180="","",0)</f>
        <v/>
      </c>
    </row>
    <row r="181">
      <c r="A181" s="23">
        <f>IFERROR(INDEX($R$9:$R$809,ROW()-8),"")</f>
        <v/>
      </c>
      <c r="B181">
        <f>IFERROR(INDEX($S$9:$S$809,ROW()-8),"")</f>
        <v/>
      </c>
      <c r="C181">
        <f>IFERROR(INDEX($W$9:$W$809,ROW()-8),"")</f>
        <v/>
      </c>
      <c r="D181" s="26">
        <f>IF(COUNT(B180:B181)=2,LN(B181/B180),"")</f>
        <v/>
      </c>
      <c r="E181" s="27">
        <f>IF(COUNT(C180:C181)=2,(C181-C180)*100,"")</f>
        <v/>
      </c>
      <c r="F181" s="28">
        <f>IF(ROW()-8&lt;CorrWindow,"",IFERROR(CORREL(INDEX($D$9:$D$809,ROW()-8-CorrWindow+1):D181,INDEX($E$9:$E$809,ROW()-8-CorrWindow+1):E181),""))</f>
        <v/>
      </c>
      <c r="G181">
        <f>IF(A181="","",0)</f>
        <v/>
      </c>
    </row>
    <row r="182">
      <c r="A182" s="23">
        <f>IFERROR(INDEX($R$9:$R$809,ROW()-8),"")</f>
        <v/>
      </c>
      <c r="B182">
        <f>IFERROR(INDEX($S$9:$S$809,ROW()-8),"")</f>
        <v/>
      </c>
      <c r="C182">
        <f>IFERROR(INDEX($W$9:$W$809,ROW()-8),"")</f>
        <v/>
      </c>
      <c r="D182" s="26">
        <f>IF(COUNT(B181:B182)=2,LN(B182/B181),"")</f>
        <v/>
      </c>
      <c r="E182" s="27">
        <f>IF(COUNT(C181:C182)=2,(C182-C181)*100,"")</f>
        <v/>
      </c>
      <c r="F182" s="28">
        <f>IF(ROW()-8&lt;CorrWindow,"",IFERROR(CORREL(INDEX($D$9:$D$809,ROW()-8-CorrWindow+1):D182,INDEX($E$9:$E$809,ROW()-8-CorrWindow+1):E182),""))</f>
        <v/>
      </c>
      <c r="G182">
        <f>IF(A182="","",0)</f>
        <v/>
      </c>
    </row>
    <row r="183">
      <c r="A183" s="23">
        <f>IFERROR(INDEX($R$9:$R$809,ROW()-8),"")</f>
        <v/>
      </c>
      <c r="B183">
        <f>IFERROR(INDEX($S$9:$S$809,ROW()-8),"")</f>
        <v/>
      </c>
      <c r="C183">
        <f>IFERROR(INDEX($W$9:$W$809,ROW()-8),"")</f>
        <v/>
      </c>
      <c r="D183" s="26">
        <f>IF(COUNT(B182:B183)=2,LN(B183/B182),"")</f>
        <v/>
      </c>
      <c r="E183" s="27">
        <f>IF(COUNT(C182:C183)=2,(C183-C182)*100,"")</f>
        <v/>
      </c>
      <c r="F183" s="28">
        <f>IF(ROW()-8&lt;CorrWindow,"",IFERROR(CORREL(INDEX($D$9:$D$809,ROW()-8-CorrWindow+1):D183,INDEX($E$9:$E$809,ROW()-8-CorrWindow+1):E183),""))</f>
        <v/>
      </c>
      <c r="G183">
        <f>IF(A183="","",0)</f>
        <v/>
      </c>
    </row>
    <row r="184">
      <c r="A184" s="23">
        <f>IFERROR(INDEX($R$9:$R$809,ROW()-8),"")</f>
        <v/>
      </c>
      <c r="B184">
        <f>IFERROR(INDEX($S$9:$S$809,ROW()-8),"")</f>
        <v/>
      </c>
      <c r="C184">
        <f>IFERROR(INDEX($W$9:$W$809,ROW()-8),"")</f>
        <v/>
      </c>
      <c r="D184" s="26">
        <f>IF(COUNT(B183:B184)=2,LN(B184/B183),"")</f>
        <v/>
      </c>
      <c r="E184" s="27">
        <f>IF(COUNT(C183:C184)=2,(C184-C183)*100,"")</f>
        <v/>
      </c>
      <c r="F184" s="28">
        <f>IF(ROW()-8&lt;CorrWindow,"",IFERROR(CORREL(INDEX($D$9:$D$809,ROW()-8-CorrWindow+1):D184,INDEX($E$9:$E$809,ROW()-8-CorrWindow+1):E184),""))</f>
        <v/>
      </c>
      <c r="G184">
        <f>IF(A184="","",0)</f>
        <v/>
      </c>
    </row>
    <row r="185">
      <c r="A185" s="23">
        <f>IFERROR(INDEX($R$9:$R$809,ROW()-8),"")</f>
        <v/>
      </c>
      <c r="B185">
        <f>IFERROR(INDEX($S$9:$S$809,ROW()-8),"")</f>
        <v/>
      </c>
      <c r="C185">
        <f>IFERROR(INDEX($W$9:$W$809,ROW()-8),"")</f>
        <v/>
      </c>
      <c r="D185" s="26">
        <f>IF(COUNT(B184:B185)=2,LN(B185/B184),"")</f>
        <v/>
      </c>
      <c r="E185" s="27">
        <f>IF(COUNT(C184:C185)=2,(C185-C184)*100,"")</f>
        <v/>
      </c>
      <c r="F185" s="28">
        <f>IF(ROW()-8&lt;CorrWindow,"",IFERROR(CORREL(INDEX($D$9:$D$809,ROW()-8-CorrWindow+1):D185,INDEX($E$9:$E$809,ROW()-8-CorrWindow+1):E185),""))</f>
        <v/>
      </c>
      <c r="G185">
        <f>IF(A185="","",0)</f>
        <v/>
      </c>
    </row>
    <row r="186">
      <c r="A186" s="23">
        <f>IFERROR(INDEX($R$9:$R$809,ROW()-8),"")</f>
        <v/>
      </c>
      <c r="B186">
        <f>IFERROR(INDEX($S$9:$S$809,ROW()-8),"")</f>
        <v/>
      </c>
      <c r="C186">
        <f>IFERROR(INDEX($W$9:$W$809,ROW()-8),"")</f>
        <v/>
      </c>
      <c r="D186" s="26">
        <f>IF(COUNT(B185:B186)=2,LN(B186/B185),"")</f>
        <v/>
      </c>
      <c r="E186" s="27">
        <f>IF(COUNT(C185:C186)=2,(C186-C185)*100,"")</f>
        <v/>
      </c>
      <c r="F186" s="28">
        <f>IF(ROW()-8&lt;CorrWindow,"",IFERROR(CORREL(INDEX($D$9:$D$809,ROW()-8-CorrWindow+1):D186,INDEX($E$9:$E$809,ROW()-8-CorrWindow+1):E186),""))</f>
        <v/>
      </c>
      <c r="G186">
        <f>IF(A186="","",0)</f>
        <v/>
      </c>
    </row>
    <row r="187">
      <c r="A187" s="23">
        <f>IFERROR(INDEX($R$9:$R$809,ROW()-8),"")</f>
        <v/>
      </c>
      <c r="B187">
        <f>IFERROR(INDEX($S$9:$S$809,ROW()-8),"")</f>
        <v/>
      </c>
      <c r="C187">
        <f>IFERROR(INDEX($W$9:$W$809,ROW()-8),"")</f>
        <v/>
      </c>
      <c r="D187" s="26">
        <f>IF(COUNT(B186:B187)=2,LN(B187/B186),"")</f>
        <v/>
      </c>
      <c r="E187" s="27">
        <f>IF(COUNT(C186:C187)=2,(C187-C186)*100,"")</f>
        <v/>
      </c>
      <c r="F187" s="28">
        <f>IF(ROW()-8&lt;CorrWindow,"",IFERROR(CORREL(INDEX($D$9:$D$809,ROW()-8-CorrWindow+1):D187,INDEX($E$9:$E$809,ROW()-8-CorrWindow+1):E187),""))</f>
        <v/>
      </c>
      <c r="G187">
        <f>IF(A187="","",0)</f>
        <v/>
      </c>
    </row>
    <row r="188">
      <c r="A188" s="23">
        <f>IFERROR(INDEX($R$9:$R$809,ROW()-8),"")</f>
        <v/>
      </c>
      <c r="B188">
        <f>IFERROR(INDEX($S$9:$S$809,ROW()-8),"")</f>
        <v/>
      </c>
      <c r="C188">
        <f>IFERROR(INDEX($W$9:$W$809,ROW()-8),"")</f>
        <v/>
      </c>
      <c r="D188" s="26">
        <f>IF(COUNT(B187:B188)=2,LN(B188/B187),"")</f>
        <v/>
      </c>
      <c r="E188" s="27">
        <f>IF(COUNT(C187:C188)=2,(C188-C187)*100,"")</f>
        <v/>
      </c>
      <c r="F188" s="28">
        <f>IF(ROW()-8&lt;CorrWindow,"",IFERROR(CORREL(INDEX($D$9:$D$809,ROW()-8-CorrWindow+1):D188,INDEX($E$9:$E$809,ROW()-8-CorrWindow+1):E188),""))</f>
        <v/>
      </c>
      <c r="G188">
        <f>IF(A188="","",0)</f>
        <v/>
      </c>
    </row>
    <row r="189">
      <c r="A189" s="23">
        <f>IFERROR(INDEX($R$9:$R$809,ROW()-8),"")</f>
        <v/>
      </c>
      <c r="B189">
        <f>IFERROR(INDEX($S$9:$S$809,ROW()-8),"")</f>
        <v/>
      </c>
      <c r="C189">
        <f>IFERROR(INDEX($W$9:$W$809,ROW()-8),"")</f>
        <v/>
      </c>
      <c r="D189" s="26">
        <f>IF(COUNT(B188:B189)=2,LN(B189/B188),"")</f>
        <v/>
      </c>
      <c r="E189" s="27">
        <f>IF(COUNT(C188:C189)=2,(C189-C188)*100,"")</f>
        <v/>
      </c>
      <c r="F189" s="28">
        <f>IF(ROW()-8&lt;CorrWindow,"",IFERROR(CORREL(INDEX($D$9:$D$809,ROW()-8-CorrWindow+1):D189,INDEX($E$9:$E$809,ROW()-8-CorrWindow+1):E189),""))</f>
        <v/>
      </c>
      <c r="G189">
        <f>IF(A189="","",0)</f>
        <v/>
      </c>
    </row>
    <row r="190">
      <c r="A190" s="23">
        <f>IFERROR(INDEX($R$9:$R$809,ROW()-8),"")</f>
        <v/>
      </c>
      <c r="B190">
        <f>IFERROR(INDEX($S$9:$S$809,ROW()-8),"")</f>
        <v/>
      </c>
      <c r="C190">
        <f>IFERROR(INDEX($W$9:$W$809,ROW()-8),"")</f>
        <v/>
      </c>
      <c r="D190" s="26">
        <f>IF(COUNT(B189:B190)=2,LN(B190/B189),"")</f>
        <v/>
      </c>
      <c r="E190" s="27">
        <f>IF(COUNT(C189:C190)=2,(C190-C189)*100,"")</f>
        <v/>
      </c>
      <c r="F190" s="28">
        <f>IF(ROW()-8&lt;CorrWindow,"",IFERROR(CORREL(INDEX($D$9:$D$809,ROW()-8-CorrWindow+1):D190,INDEX($E$9:$E$809,ROW()-8-CorrWindow+1):E190),""))</f>
        <v/>
      </c>
      <c r="G190">
        <f>IF(A190="","",0)</f>
        <v/>
      </c>
    </row>
    <row r="191">
      <c r="A191" s="23">
        <f>IFERROR(INDEX($R$9:$R$809,ROW()-8),"")</f>
        <v/>
      </c>
      <c r="B191">
        <f>IFERROR(INDEX($S$9:$S$809,ROW()-8),"")</f>
        <v/>
      </c>
      <c r="C191">
        <f>IFERROR(INDEX($W$9:$W$809,ROW()-8),"")</f>
        <v/>
      </c>
      <c r="D191" s="26">
        <f>IF(COUNT(B190:B191)=2,LN(B191/B190),"")</f>
        <v/>
      </c>
      <c r="E191" s="27">
        <f>IF(COUNT(C190:C191)=2,(C191-C190)*100,"")</f>
        <v/>
      </c>
      <c r="F191" s="28">
        <f>IF(ROW()-8&lt;CorrWindow,"",IFERROR(CORREL(INDEX($D$9:$D$809,ROW()-8-CorrWindow+1):D191,INDEX($E$9:$E$809,ROW()-8-CorrWindow+1):E191),""))</f>
        <v/>
      </c>
      <c r="G191">
        <f>IF(A191="","",0)</f>
        <v/>
      </c>
    </row>
    <row r="192">
      <c r="A192" s="23">
        <f>IFERROR(INDEX($R$9:$R$809,ROW()-8),"")</f>
        <v/>
      </c>
      <c r="B192">
        <f>IFERROR(INDEX($S$9:$S$809,ROW()-8),"")</f>
        <v/>
      </c>
      <c r="C192">
        <f>IFERROR(INDEX($W$9:$W$809,ROW()-8),"")</f>
        <v/>
      </c>
      <c r="D192" s="26">
        <f>IF(COUNT(B191:B192)=2,LN(B192/B191),"")</f>
        <v/>
      </c>
      <c r="E192" s="27">
        <f>IF(COUNT(C191:C192)=2,(C192-C191)*100,"")</f>
        <v/>
      </c>
      <c r="F192" s="28">
        <f>IF(ROW()-8&lt;CorrWindow,"",IFERROR(CORREL(INDEX($D$9:$D$809,ROW()-8-CorrWindow+1):D192,INDEX($E$9:$E$809,ROW()-8-CorrWindow+1):E192),""))</f>
        <v/>
      </c>
      <c r="G192">
        <f>IF(A192="","",0)</f>
        <v/>
      </c>
    </row>
    <row r="193">
      <c r="A193" s="23">
        <f>IFERROR(INDEX($R$9:$R$809,ROW()-8),"")</f>
        <v/>
      </c>
      <c r="B193">
        <f>IFERROR(INDEX($S$9:$S$809,ROW()-8),"")</f>
        <v/>
      </c>
      <c r="C193">
        <f>IFERROR(INDEX($W$9:$W$809,ROW()-8),"")</f>
        <v/>
      </c>
      <c r="D193" s="26">
        <f>IF(COUNT(B192:B193)=2,LN(B193/B192),"")</f>
        <v/>
      </c>
      <c r="E193" s="27">
        <f>IF(COUNT(C192:C193)=2,(C193-C192)*100,"")</f>
        <v/>
      </c>
      <c r="F193" s="28">
        <f>IF(ROW()-8&lt;CorrWindow,"",IFERROR(CORREL(INDEX($D$9:$D$809,ROW()-8-CorrWindow+1):D193,INDEX($E$9:$E$809,ROW()-8-CorrWindow+1):E193),""))</f>
        <v/>
      </c>
      <c r="G193">
        <f>IF(A193="","",0)</f>
        <v/>
      </c>
    </row>
    <row r="194">
      <c r="A194" s="23">
        <f>IFERROR(INDEX($R$9:$R$809,ROW()-8),"")</f>
        <v/>
      </c>
      <c r="B194">
        <f>IFERROR(INDEX($S$9:$S$809,ROW()-8),"")</f>
        <v/>
      </c>
      <c r="C194">
        <f>IFERROR(INDEX($W$9:$W$809,ROW()-8),"")</f>
        <v/>
      </c>
      <c r="D194" s="26">
        <f>IF(COUNT(B193:B194)=2,LN(B194/B193),"")</f>
        <v/>
      </c>
      <c r="E194" s="27">
        <f>IF(COUNT(C193:C194)=2,(C194-C193)*100,"")</f>
        <v/>
      </c>
      <c r="F194" s="28">
        <f>IF(ROW()-8&lt;CorrWindow,"",IFERROR(CORREL(INDEX($D$9:$D$809,ROW()-8-CorrWindow+1):D194,INDEX($E$9:$E$809,ROW()-8-CorrWindow+1):E194),""))</f>
        <v/>
      </c>
      <c r="G194">
        <f>IF(A194="","",0)</f>
        <v/>
      </c>
    </row>
    <row r="195">
      <c r="A195" s="23">
        <f>IFERROR(INDEX($R$9:$R$809,ROW()-8),"")</f>
        <v/>
      </c>
      <c r="B195">
        <f>IFERROR(INDEX($S$9:$S$809,ROW()-8),"")</f>
        <v/>
      </c>
      <c r="C195">
        <f>IFERROR(INDEX($W$9:$W$809,ROW()-8),"")</f>
        <v/>
      </c>
      <c r="D195" s="26">
        <f>IF(COUNT(B194:B195)=2,LN(B195/B194),"")</f>
        <v/>
      </c>
      <c r="E195" s="27">
        <f>IF(COUNT(C194:C195)=2,(C195-C194)*100,"")</f>
        <v/>
      </c>
      <c r="F195" s="28">
        <f>IF(ROW()-8&lt;CorrWindow,"",IFERROR(CORREL(INDEX($D$9:$D$809,ROW()-8-CorrWindow+1):D195,INDEX($E$9:$E$809,ROW()-8-CorrWindow+1):E195),""))</f>
        <v/>
      </c>
      <c r="G195">
        <f>IF(A195="","",0)</f>
        <v/>
      </c>
    </row>
    <row r="196">
      <c r="A196" s="23">
        <f>IFERROR(INDEX($R$9:$R$809,ROW()-8),"")</f>
        <v/>
      </c>
      <c r="B196">
        <f>IFERROR(INDEX($S$9:$S$809,ROW()-8),"")</f>
        <v/>
      </c>
      <c r="C196">
        <f>IFERROR(INDEX($W$9:$W$809,ROW()-8),"")</f>
        <v/>
      </c>
      <c r="D196" s="26">
        <f>IF(COUNT(B195:B196)=2,LN(B196/B195),"")</f>
        <v/>
      </c>
      <c r="E196" s="27">
        <f>IF(COUNT(C195:C196)=2,(C196-C195)*100,"")</f>
        <v/>
      </c>
      <c r="F196" s="28">
        <f>IF(ROW()-8&lt;CorrWindow,"",IFERROR(CORREL(INDEX($D$9:$D$809,ROW()-8-CorrWindow+1):D196,INDEX($E$9:$E$809,ROW()-8-CorrWindow+1):E196),""))</f>
        <v/>
      </c>
      <c r="G196">
        <f>IF(A196="","",0)</f>
        <v/>
      </c>
    </row>
    <row r="197">
      <c r="A197" s="23">
        <f>IFERROR(INDEX($R$9:$R$809,ROW()-8),"")</f>
        <v/>
      </c>
      <c r="B197">
        <f>IFERROR(INDEX($S$9:$S$809,ROW()-8),"")</f>
        <v/>
      </c>
      <c r="C197">
        <f>IFERROR(INDEX($W$9:$W$809,ROW()-8),"")</f>
        <v/>
      </c>
      <c r="D197" s="26">
        <f>IF(COUNT(B196:B197)=2,LN(B197/B196),"")</f>
        <v/>
      </c>
      <c r="E197" s="27">
        <f>IF(COUNT(C196:C197)=2,(C197-C196)*100,"")</f>
        <v/>
      </c>
      <c r="F197" s="28">
        <f>IF(ROW()-8&lt;CorrWindow,"",IFERROR(CORREL(INDEX($D$9:$D$809,ROW()-8-CorrWindow+1):D197,INDEX($E$9:$E$809,ROW()-8-CorrWindow+1):E197),""))</f>
        <v/>
      </c>
      <c r="G197">
        <f>IF(A197="","",0)</f>
        <v/>
      </c>
    </row>
    <row r="198">
      <c r="A198" s="23">
        <f>IFERROR(INDEX($R$9:$R$809,ROW()-8),"")</f>
        <v/>
      </c>
      <c r="B198">
        <f>IFERROR(INDEX($S$9:$S$809,ROW()-8),"")</f>
        <v/>
      </c>
      <c r="C198">
        <f>IFERROR(INDEX($W$9:$W$809,ROW()-8),"")</f>
        <v/>
      </c>
      <c r="D198" s="26">
        <f>IF(COUNT(B197:B198)=2,LN(B198/B197),"")</f>
        <v/>
      </c>
      <c r="E198" s="27">
        <f>IF(COUNT(C197:C198)=2,(C198-C197)*100,"")</f>
        <v/>
      </c>
      <c r="F198" s="28">
        <f>IF(ROW()-8&lt;CorrWindow,"",IFERROR(CORREL(INDEX($D$9:$D$809,ROW()-8-CorrWindow+1):D198,INDEX($E$9:$E$809,ROW()-8-CorrWindow+1):E198),""))</f>
        <v/>
      </c>
      <c r="G198">
        <f>IF(A198="","",0)</f>
        <v/>
      </c>
    </row>
    <row r="199">
      <c r="A199" s="23">
        <f>IFERROR(INDEX($R$9:$R$809,ROW()-8),"")</f>
        <v/>
      </c>
      <c r="B199">
        <f>IFERROR(INDEX($S$9:$S$809,ROW()-8),"")</f>
        <v/>
      </c>
      <c r="C199">
        <f>IFERROR(INDEX($W$9:$W$809,ROW()-8),"")</f>
        <v/>
      </c>
      <c r="D199" s="26">
        <f>IF(COUNT(B198:B199)=2,LN(B199/B198),"")</f>
        <v/>
      </c>
      <c r="E199" s="27">
        <f>IF(COUNT(C198:C199)=2,(C199-C198)*100,"")</f>
        <v/>
      </c>
      <c r="F199" s="28">
        <f>IF(ROW()-8&lt;CorrWindow,"",IFERROR(CORREL(INDEX($D$9:$D$809,ROW()-8-CorrWindow+1):D199,INDEX($E$9:$E$809,ROW()-8-CorrWindow+1):E199),""))</f>
        <v/>
      </c>
      <c r="G199">
        <f>IF(A199="","",0)</f>
        <v/>
      </c>
    </row>
    <row r="200">
      <c r="A200" s="23">
        <f>IFERROR(INDEX($R$9:$R$809,ROW()-8),"")</f>
        <v/>
      </c>
      <c r="B200">
        <f>IFERROR(INDEX($S$9:$S$809,ROW()-8),"")</f>
        <v/>
      </c>
      <c r="C200">
        <f>IFERROR(INDEX($W$9:$W$809,ROW()-8),"")</f>
        <v/>
      </c>
      <c r="D200" s="26">
        <f>IF(COUNT(B199:B200)=2,LN(B200/B199),"")</f>
        <v/>
      </c>
      <c r="E200" s="27">
        <f>IF(COUNT(C199:C200)=2,(C200-C199)*100,"")</f>
        <v/>
      </c>
      <c r="F200" s="28">
        <f>IF(ROW()-8&lt;CorrWindow,"",IFERROR(CORREL(INDEX($D$9:$D$809,ROW()-8-CorrWindow+1):D200,INDEX($E$9:$E$809,ROW()-8-CorrWindow+1):E200),""))</f>
        <v/>
      </c>
      <c r="G200">
        <f>IF(A200="","",0)</f>
        <v/>
      </c>
    </row>
    <row r="201">
      <c r="A201" s="23">
        <f>IFERROR(INDEX($R$9:$R$809,ROW()-8),"")</f>
        <v/>
      </c>
      <c r="B201">
        <f>IFERROR(INDEX($S$9:$S$809,ROW()-8),"")</f>
        <v/>
      </c>
      <c r="C201">
        <f>IFERROR(INDEX($W$9:$W$809,ROW()-8),"")</f>
        <v/>
      </c>
      <c r="D201" s="26">
        <f>IF(COUNT(B200:B201)=2,LN(B201/B200),"")</f>
        <v/>
      </c>
      <c r="E201" s="27">
        <f>IF(COUNT(C200:C201)=2,(C201-C200)*100,"")</f>
        <v/>
      </c>
      <c r="F201" s="28">
        <f>IF(ROW()-8&lt;CorrWindow,"",IFERROR(CORREL(INDEX($D$9:$D$809,ROW()-8-CorrWindow+1):D201,INDEX($E$9:$E$809,ROW()-8-CorrWindow+1):E201),""))</f>
        <v/>
      </c>
      <c r="G201">
        <f>IF(A201="","",0)</f>
        <v/>
      </c>
    </row>
    <row r="202">
      <c r="A202" s="23">
        <f>IFERROR(INDEX($R$9:$R$809,ROW()-8),"")</f>
        <v/>
      </c>
      <c r="B202">
        <f>IFERROR(INDEX($S$9:$S$809,ROW()-8),"")</f>
        <v/>
      </c>
      <c r="C202">
        <f>IFERROR(INDEX($W$9:$W$809,ROW()-8),"")</f>
        <v/>
      </c>
      <c r="D202" s="26">
        <f>IF(COUNT(B201:B202)=2,LN(B202/B201),"")</f>
        <v/>
      </c>
      <c r="E202" s="27">
        <f>IF(COUNT(C201:C202)=2,(C202-C201)*100,"")</f>
        <v/>
      </c>
      <c r="F202" s="28">
        <f>IF(ROW()-8&lt;CorrWindow,"",IFERROR(CORREL(INDEX($D$9:$D$809,ROW()-8-CorrWindow+1):D202,INDEX($E$9:$E$809,ROW()-8-CorrWindow+1):E202),""))</f>
        <v/>
      </c>
      <c r="G202">
        <f>IF(A202="","",0)</f>
        <v/>
      </c>
    </row>
    <row r="203">
      <c r="A203" s="23">
        <f>IFERROR(INDEX($R$9:$R$809,ROW()-8),"")</f>
        <v/>
      </c>
      <c r="B203">
        <f>IFERROR(INDEX($S$9:$S$809,ROW()-8),"")</f>
        <v/>
      </c>
      <c r="C203">
        <f>IFERROR(INDEX($W$9:$W$809,ROW()-8),"")</f>
        <v/>
      </c>
      <c r="D203" s="26">
        <f>IF(COUNT(B202:B203)=2,LN(B203/B202),"")</f>
        <v/>
      </c>
      <c r="E203" s="27">
        <f>IF(COUNT(C202:C203)=2,(C203-C202)*100,"")</f>
        <v/>
      </c>
      <c r="F203" s="28">
        <f>IF(ROW()-8&lt;CorrWindow,"",IFERROR(CORREL(INDEX($D$9:$D$809,ROW()-8-CorrWindow+1):D203,INDEX($E$9:$E$809,ROW()-8-CorrWindow+1):E203),""))</f>
        <v/>
      </c>
      <c r="G203">
        <f>IF(A203="","",0)</f>
        <v/>
      </c>
    </row>
    <row r="204">
      <c r="A204" s="23">
        <f>IFERROR(INDEX($R$9:$R$809,ROW()-8),"")</f>
        <v/>
      </c>
      <c r="B204">
        <f>IFERROR(INDEX($S$9:$S$809,ROW()-8),"")</f>
        <v/>
      </c>
      <c r="C204">
        <f>IFERROR(INDEX($W$9:$W$809,ROW()-8),"")</f>
        <v/>
      </c>
      <c r="D204" s="26">
        <f>IF(COUNT(B203:B204)=2,LN(B204/B203),"")</f>
        <v/>
      </c>
      <c r="E204" s="27">
        <f>IF(COUNT(C203:C204)=2,(C204-C203)*100,"")</f>
        <v/>
      </c>
      <c r="F204" s="28">
        <f>IF(ROW()-8&lt;CorrWindow,"",IFERROR(CORREL(INDEX($D$9:$D$809,ROW()-8-CorrWindow+1):D204,INDEX($E$9:$E$809,ROW()-8-CorrWindow+1):E204),""))</f>
        <v/>
      </c>
      <c r="G204">
        <f>IF(A204="","",0)</f>
        <v/>
      </c>
    </row>
    <row r="205">
      <c r="A205" s="23">
        <f>IFERROR(INDEX($R$9:$R$809,ROW()-8),"")</f>
        <v/>
      </c>
      <c r="B205">
        <f>IFERROR(INDEX($S$9:$S$809,ROW()-8),"")</f>
        <v/>
      </c>
      <c r="C205">
        <f>IFERROR(INDEX($W$9:$W$809,ROW()-8),"")</f>
        <v/>
      </c>
      <c r="D205" s="26">
        <f>IF(COUNT(B204:B205)=2,LN(B205/B204),"")</f>
        <v/>
      </c>
      <c r="E205" s="27">
        <f>IF(COUNT(C204:C205)=2,(C205-C204)*100,"")</f>
        <v/>
      </c>
      <c r="F205" s="28">
        <f>IF(ROW()-8&lt;CorrWindow,"",IFERROR(CORREL(INDEX($D$9:$D$809,ROW()-8-CorrWindow+1):D205,INDEX($E$9:$E$809,ROW()-8-CorrWindow+1):E205),""))</f>
        <v/>
      </c>
      <c r="G205">
        <f>IF(A205="","",0)</f>
        <v/>
      </c>
    </row>
    <row r="206">
      <c r="A206" s="23">
        <f>IFERROR(INDEX($R$9:$R$809,ROW()-8),"")</f>
        <v/>
      </c>
      <c r="B206">
        <f>IFERROR(INDEX($S$9:$S$809,ROW()-8),"")</f>
        <v/>
      </c>
      <c r="C206">
        <f>IFERROR(INDEX($W$9:$W$809,ROW()-8),"")</f>
        <v/>
      </c>
      <c r="D206" s="26">
        <f>IF(COUNT(B205:B206)=2,LN(B206/B205),"")</f>
        <v/>
      </c>
      <c r="E206" s="27">
        <f>IF(COUNT(C205:C206)=2,(C206-C205)*100,"")</f>
        <v/>
      </c>
      <c r="F206" s="28">
        <f>IF(ROW()-8&lt;CorrWindow,"",IFERROR(CORREL(INDEX($D$9:$D$809,ROW()-8-CorrWindow+1):D206,INDEX($E$9:$E$809,ROW()-8-CorrWindow+1):E206),""))</f>
        <v/>
      </c>
      <c r="G206">
        <f>IF(A206="","",0)</f>
        <v/>
      </c>
    </row>
    <row r="207">
      <c r="A207" s="23">
        <f>IFERROR(INDEX($R$9:$R$809,ROW()-8),"")</f>
        <v/>
      </c>
      <c r="B207">
        <f>IFERROR(INDEX($S$9:$S$809,ROW()-8),"")</f>
        <v/>
      </c>
      <c r="C207">
        <f>IFERROR(INDEX($W$9:$W$809,ROW()-8),"")</f>
        <v/>
      </c>
      <c r="D207" s="26">
        <f>IF(COUNT(B206:B207)=2,LN(B207/B206),"")</f>
        <v/>
      </c>
      <c r="E207" s="27">
        <f>IF(COUNT(C206:C207)=2,(C207-C206)*100,"")</f>
        <v/>
      </c>
      <c r="F207" s="28">
        <f>IF(ROW()-8&lt;CorrWindow,"",IFERROR(CORREL(INDEX($D$9:$D$809,ROW()-8-CorrWindow+1):D207,INDEX($E$9:$E$809,ROW()-8-CorrWindow+1):E207),""))</f>
        <v/>
      </c>
      <c r="G207">
        <f>IF(A207="","",0)</f>
        <v/>
      </c>
    </row>
    <row r="208">
      <c r="A208" s="23">
        <f>IFERROR(INDEX($R$9:$R$809,ROW()-8),"")</f>
        <v/>
      </c>
      <c r="B208">
        <f>IFERROR(INDEX($S$9:$S$809,ROW()-8),"")</f>
        <v/>
      </c>
      <c r="C208">
        <f>IFERROR(INDEX($W$9:$W$809,ROW()-8),"")</f>
        <v/>
      </c>
      <c r="D208" s="26">
        <f>IF(COUNT(B207:B208)=2,LN(B208/B207),"")</f>
        <v/>
      </c>
      <c r="E208" s="27">
        <f>IF(COUNT(C207:C208)=2,(C208-C207)*100,"")</f>
        <v/>
      </c>
      <c r="F208" s="28">
        <f>IF(ROW()-8&lt;CorrWindow,"",IFERROR(CORREL(INDEX($D$9:$D$809,ROW()-8-CorrWindow+1):D208,INDEX($E$9:$E$809,ROW()-8-CorrWindow+1):E208),""))</f>
        <v/>
      </c>
      <c r="G208">
        <f>IF(A208="","",0)</f>
        <v/>
      </c>
    </row>
    <row r="209">
      <c r="A209" s="23">
        <f>IFERROR(INDEX($R$9:$R$809,ROW()-8),"")</f>
        <v/>
      </c>
      <c r="B209">
        <f>IFERROR(INDEX($S$9:$S$809,ROW()-8),"")</f>
        <v/>
      </c>
      <c r="C209">
        <f>IFERROR(INDEX($W$9:$W$809,ROW()-8),"")</f>
        <v/>
      </c>
      <c r="D209" s="26">
        <f>IF(COUNT(B208:B209)=2,LN(B209/B208),"")</f>
        <v/>
      </c>
      <c r="E209" s="27">
        <f>IF(COUNT(C208:C209)=2,(C209-C208)*100,"")</f>
        <v/>
      </c>
      <c r="F209" s="28">
        <f>IF(ROW()-8&lt;CorrWindow,"",IFERROR(CORREL(INDEX($D$9:$D$809,ROW()-8-CorrWindow+1):D209,INDEX($E$9:$E$809,ROW()-8-CorrWindow+1):E209),""))</f>
        <v/>
      </c>
      <c r="G209">
        <f>IF(A209="","",0)</f>
        <v/>
      </c>
    </row>
    <row r="210">
      <c r="A210" s="23">
        <f>IFERROR(INDEX($R$9:$R$809,ROW()-8),"")</f>
        <v/>
      </c>
      <c r="B210">
        <f>IFERROR(INDEX($S$9:$S$809,ROW()-8),"")</f>
        <v/>
      </c>
      <c r="C210">
        <f>IFERROR(INDEX($W$9:$W$809,ROW()-8),"")</f>
        <v/>
      </c>
      <c r="D210" s="26">
        <f>IF(COUNT(B209:B210)=2,LN(B210/B209),"")</f>
        <v/>
      </c>
      <c r="E210" s="27">
        <f>IF(COUNT(C209:C210)=2,(C210-C209)*100,"")</f>
        <v/>
      </c>
      <c r="F210" s="28">
        <f>IF(ROW()-8&lt;CorrWindow,"",IFERROR(CORREL(INDEX($D$9:$D$809,ROW()-8-CorrWindow+1):D210,INDEX($E$9:$E$809,ROW()-8-CorrWindow+1):E210),""))</f>
        <v/>
      </c>
      <c r="G210">
        <f>IF(A210="","",0)</f>
        <v/>
      </c>
    </row>
    <row r="211">
      <c r="A211" s="23">
        <f>IFERROR(INDEX($R$9:$R$809,ROW()-8),"")</f>
        <v/>
      </c>
      <c r="B211">
        <f>IFERROR(INDEX($S$9:$S$809,ROW()-8),"")</f>
        <v/>
      </c>
      <c r="C211">
        <f>IFERROR(INDEX($W$9:$W$809,ROW()-8),"")</f>
        <v/>
      </c>
      <c r="D211" s="26">
        <f>IF(COUNT(B210:B211)=2,LN(B211/B210),"")</f>
        <v/>
      </c>
      <c r="E211" s="27">
        <f>IF(COUNT(C210:C211)=2,(C211-C210)*100,"")</f>
        <v/>
      </c>
      <c r="F211" s="28">
        <f>IF(ROW()-8&lt;CorrWindow,"",IFERROR(CORREL(INDEX($D$9:$D$809,ROW()-8-CorrWindow+1):D211,INDEX($E$9:$E$809,ROW()-8-CorrWindow+1):E211),""))</f>
        <v/>
      </c>
      <c r="G211">
        <f>IF(A211="","",0)</f>
        <v/>
      </c>
    </row>
    <row r="212">
      <c r="A212" s="23">
        <f>IFERROR(INDEX($R$9:$R$809,ROW()-8),"")</f>
        <v/>
      </c>
      <c r="B212">
        <f>IFERROR(INDEX($S$9:$S$809,ROW()-8),"")</f>
        <v/>
      </c>
      <c r="C212">
        <f>IFERROR(INDEX($W$9:$W$809,ROW()-8),"")</f>
        <v/>
      </c>
      <c r="D212" s="26">
        <f>IF(COUNT(B211:B212)=2,LN(B212/B211),"")</f>
        <v/>
      </c>
      <c r="E212" s="27">
        <f>IF(COUNT(C211:C212)=2,(C212-C211)*100,"")</f>
        <v/>
      </c>
      <c r="F212" s="28">
        <f>IF(ROW()-8&lt;CorrWindow,"",IFERROR(CORREL(INDEX($D$9:$D$809,ROW()-8-CorrWindow+1):D212,INDEX($E$9:$E$809,ROW()-8-CorrWindow+1):E212),""))</f>
        <v/>
      </c>
      <c r="G212">
        <f>IF(A212="","",0)</f>
        <v/>
      </c>
    </row>
    <row r="213">
      <c r="A213" s="23">
        <f>IFERROR(INDEX($R$9:$R$809,ROW()-8),"")</f>
        <v/>
      </c>
      <c r="B213">
        <f>IFERROR(INDEX($S$9:$S$809,ROW()-8),"")</f>
        <v/>
      </c>
      <c r="C213">
        <f>IFERROR(INDEX($W$9:$W$809,ROW()-8),"")</f>
        <v/>
      </c>
      <c r="D213" s="26">
        <f>IF(COUNT(B212:B213)=2,LN(B213/B212),"")</f>
        <v/>
      </c>
      <c r="E213" s="27">
        <f>IF(COUNT(C212:C213)=2,(C213-C212)*100,"")</f>
        <v/>
      </c>
      <c r="F213" s="28">
        <f>IF(ROW()-8&lt;CorrWindow,"",IFERROR(CORREL(INDEX($D$9:$D$809,ROW()-8-CorrWindow+1):D213,INDEX($E$9:$E$809,ROW()-8-CorrWindow+1):E213),""))</f>
        <v/>
      </c>
      <c r="G213">
        <f>IF(A213="","",0)</f>
        <v/>
      </c>
    </row>
    <row r="214">
      <c r="A214" s="23">
        <f>IFERROR(INDEX($R$9:$R$809,ROW()-8),"")</f>
        <v/>
      </c>
      <c r="B214">
        <f>IFERROR(INDEX($S$9:$S$809,ROW()-8),"")</f>
        <v/>
      </c>
      <c r="C214">
        <f>IFERROR(INDEX($W$9:$W$809,ROW()-8),"")</f>
        <v/>
      </c>
      <c r="D214" s="26">
        <f>IF(COUNT(B213:B214)=2,LN(B214/B213),"")</f>
        <v/>
      </c>
      <c r="E214" s="27">
        <f>IF(COUNT(C213:C214)=2,(C214-C213)*100,"")</f>
        <v/>
      </c>
      <c r="F214" s="28">
        <f>IF(ROW()-8&lt;CorrWindow,"",IFERROR(CORREL(INDEX($D$9:$D$809,ROW()-8-CorrWindow+1):D214,INDEX($E$9:$E$809,ROW()-8-CorrWindow+1):E214),""))</f>
        <v/>
      </c>
      <c r="G214">
        <f>IF(A214="","",0)</f>
        <v/>
      </c>
    </row>
    <row r="215">
      <c r="A215" s="23">
        <f>IFERROR(INDEX($R$9:$R$809,ROW()-8),"")</f>
        <v/>
      </c>
      <c r="B215">
        <f>IFERROR(INDEX($S$9:$S$809,ROW()-8),"")</f>
        <v/>
      </c>
      <c r="C215">
        <f>IFERROR(INDEX($W$9:$W$809,ROW()-8),"")</f>
        <v/>
      </c>
      <c r="D215" s="26">
        <f>IF(COUNT(B214:B215)=2,LN(B215/B214),"")</f>
        <v/>
      </c>
      <c r="E215" s="27">
        <f>IF(COUNT(C214:C215)=2,(C215-C214)*100,"")</f>
        <v/>
      </c>
      <c r="F215" s="28">
        <f>IF(ROW()-8&lt;CorrWindow,"",IFERROR(CORREL(INDEX($D$9:$D$809,ROW()-8-CorrWindow+1):D215,INDEX($E$9:$E$809,ROW()-8-CorrWindow+1):E215),""))</f>
        <v/>
      </c>
      <c r="G215">
        <f>IF(A215="","",0)</f>
        <v/>
      </c>
    </row>
    <row r="216">
      <c r="A216" s="23">
        <f>IFERROR(INDEX($R$9:$R$809,ROW()-8),"")</f>
        <v/>
      </c>
      <c r="B216">
        <f>IFERROR(INDEX($S$9:$S$809,ROW()-8),"")</f>
        <v/>
      </c>
      <c r="C216">
        <f>IFERROR(INDEX($W$9:$W$809,ROW()-8),"")</f>
        <v/>
      </c>
      <c r="D216" s="26">
        <f>IF(COUNT(B215:B216)=2,LN(B216/B215),"")</f>
        <v/>
      </c>
      <c r="E216" s="27">
        <f>IF(COUNT(C215:C216)=2,(C216-C215)*100,"")</f>
        <v/>
      </c>
      <c r="F216" s="28">
        <f>IF(ROW()-8&lt;CorrWindow,"",IFERROR(CORREL(INDEX($D$9:$D$809,ROW()-8-CorrWindow+1):D216,INDEX($E$9:$E$809,ROW()-8-CorrWindow+1):E216),""))</f>
        <v/>
      </c>
      <c r="G216">
        <f>IF(A216="","",0)</f>
        <v/>
      </c>
    </row>
    <row r="217">
      <c r="A217" s="23">
        <f>IFERROR(INDEX($R$9:$R$809,ROW()-8),"")</f>
        <v/>
      </c>
      <c r="B217">
        <f>IFERROR(INDEX($S$9:$S$809,ROW()-8),"")</f>
        <v/>
      </c>
      <c r="C217">
        <f>IFERROR(INDEX($W$9:$W$809,ROW()-8),"")</f>
        <v/>
      </c>
      <c r="D217" s="26">
        <f>IF(COUNT(B216:B217)=2,LN(B217/B216),"")</f>
        <v/>
      </c>
      <c r="E217" s="27">
        <f>IF(COUNT(C216:C217)=2,(C217-C216)*100,"")</f>
        <v/>
      </c>
      <c r="F217" s="28">
        <f>IF(ROW()-8&lt;CorrWindow,"",IFERROR(CORREL(INDEX($D$9:$D$809,ROW()-8-CorrWindow+1):D217,INDEX($E$9:$E$809,ROW()-8-CorrWindow+1):E217),""))</f>
        <v/>
      </c>
      <c r="G217">
        <f>IF(A217="","",0)</f>
        <v/>
      </c>
    </row>
    <row r="218">
      <c r="A218" s="23">
        <f>IFERROR(INDEX($R$9:$R$809,ROW()-8),"")</f>
        <v/>
      </c>
      <c r="B218">
        <f>IFERROR(INDEX($S$9:$S$809,ROW()-8),"")</f>
        <v/>
      </c>
      <c r="C218">
        <f>IFERROR(INDEX($W$9:$W$809,ROW()-8),"")</f>
        <v/>
      </c>
      <c r="D218" s="26">
        <f>IF(COUNT(B217:B218)=2,LN(B218/B217),"")</f>
        <v/>
      </c>
      <c r="E218" s="27">
        <f>IF(COUNT(C217:C218)=2,(C218-C217)*100,"")</f>
        <v/>
      </c>
      <c r="F218" s="28">
        <f>IF(ROW()-8&lt;CorrWindow,"",IFERROR(CORREL(INDEX($D$9:$D$809,ROW()-8-CorrWindow+1):D218,INDEX($E$9:$E$809,ROW()-8-CorrWindow+1):E218),""))</f>
        <v/>
      </c>
      <c r="G218">
        <f>IF(A218="","",0)</f>
        <v/>
      </c>
    </row>
    <row r="219">
      <c r="A219" s="23">
        <f>IFERROR(INDEX($R$9:$R$809,ROW()-8),"")</f>
        <v/>
      </c>
      <c r="B219">
        <f>IFERROR(INDEX($S$9:$S$809,ROW()-8),"")</f>
        <v/>
      </c>
      <c r="C219">
        <f>IFERROR(INDEX($W$9:$W$809,ROW()-8),"")</f>
        <v/>
      </c>
      <c r="D219" s="26">
        <f>IF(COUNT(B218:B219)=2,LN(B219/B218),"")</f>
        <v/>
      </c>
      <c r="E219" s="27">
        <f>IF(COUNT(C218:C219)=2,(C219-C218)*100,"")</f>
        <v/>
      </c>
      <c r="F219" s="28">
        <f>IF(ROW()-8&lt;CorrWindow,"",IFERROR(CORREL(INDEX($D$9:$D$809,ROW()-8-CorrWindow+1):D219,INDEX($E$9:$E$809,ROW()-8-CorrWindow+1):E219),""))</f>
        <v/>
      </c>
      <c r="G219">
        <f>IF(A219="","",0)</f>
        <v/>
      </c>
    </row>
    <row r="220">
      <c r="A220" s="23">
        <f>IFERROR(INDEX($R$9:$R$809,ROW()-8),"")</f>
        <v/>
      </c>
      <c r="B220">
        <f>IFERROR(INDEX($S$9:$S$809,ROW()-8),"")</f>
        <v/>
      </c>
      <c r="C220">
        <f>IFERROR(INDEX($W$9:$W$809,ROW()-8),"")</f>
        <v/>
      </c>
      <c r="D220" s="26">
        <f>IF(COUNT(B219:B220)=2,LN(B220/B219),"")</f>
        <v/>
      </c>
      <c r="E220" s="27">
        <f>IF(COUNT(C219:C220)=2,(C220-C219)*100,"")</f>
        <v/>
      </c>
      <c r="F220" s="28">
        <f>IF(ROW()-8&lt;CorrWindow,"",IFERROR(CORREL(INDEX($D$9:$D$809,ROW()-8-CorrWindow+1):D220,INDEX($E$9:$E$809,ROW()-8-CorrWindow+1):E220),""))</f>
        <v/>
      </c>
      <c r="G220">
        <f>IF(A220="","",0)</f>
        <v/>
      </c>
    </row>
    <row r="221">
      <c r="A221" s="23">
        <f>IFERROR(INDEX($R$9:$R$809,ROW()-8),"")</f>
        <v/>
      </c>
      <c r="B221">
        <f>IFERROR(INDEX($S$9:$S$809,ROW()-8),"")</f>
        <v/>
      </c>
      <c r="C221">
        <f>IFERROR(INDEX($W$9:$W$809,ROW()-8),"")</f>
        <v/>
      </c>
      <c r="D221" s="26">
        <f>IF(COUNT(B220:B221)=2,LN(B221/B220),"")</f>
        <v/>
      </c>
      <c r="E221" s="27">
        <f>IF(COUNT(C220:C221)=2,(C221-C220)*100,"")</f>
        <v/>
      </c>
      <c r="F221" s="28">
        <f>IF(ROW()-8&lt;CorrWindow,"",IFERROR(CORREL(INDEX($D$9:$D$809,ROW()-8-CorrWindow+1):D221,INDEX($E$9:$E$809,ROW()-8-CorrWindow+1):E221),""))</f>
        <v/>
      </c>
      <c r="G221">
        <f>IF(A221="","",0)</f>
        <v/>
      </c>
    </row>
    <row r="222">
      <c r="A222" s="23">
        <f>IFERROR(INDEX($R$9:$R$809,ROW()-8),"")</f>
        <v/>
      </c>
      <c r="B222">
        <f>IFERROR(INDEX($S$9:$S$809,ROW()-8),"")</f>
        <v/>
      </c>
      <c r="C222">
        <f>IFERROR(INDEX($W$9:$W$809,ROW()-8),"")</f>
        <v/>
      </c>
      <c r="D222" s="26">
        <f>IF(COUNT(B221:B222)=2,LN(B222/B221),"")</f>
        <v/>
      </c>
      <c r="E222" s="27">
        <f>IF(COUNT(C221:C222)=2,(C222-C221)*100,"")</f>
        <v/>
      </c>
      <c r="F222" s="28">
        <f>IF(ROW()-8&lt;CorrWindow,"",IFERROR(CORREL(INDEX($D$9:$D$809,ROW()-8-CorrWindow+1):D222,INDEX($E$9:$E$809,ROW()-8-CorrWindow+1):E222),""))</f>
        <v/>
      </c>
      <c r="G222">
        <f>IF(A222="","",0)</f>
        <v/>
      </c>
    </row>
    <row r="223">
      <c r="A223" s="23">
        <f>IFERROR(INDEX($R$9:$R$809,ROW()-8),"")</f>
        <v/>
      </c>
      <c r="B223">
        <f>IFERROR(INDEX($S$9:$S$809,ROW()-8),"")</f>
        <v/>
      </c>
      <c r="C223">
        <f>IFERROR(INDEX($W$9:$W$809,ROW()-8),"")</f>
        <v/>
      </c>
      <c r="D223" s="26">
        <f>IF(COUNT(B222:B223)=2,LN(B223/B222),"")</f>
        <v/>
      </c>
      <c r="E223" s="27">
        <f>IF(COUNT(C222:C223)=2,(C223-C222)*100,"")</f>
        <v/>
      </c>
      <c r="F223" s="28">
        <f>IF(ROW()-8&lt;CorrWindow,"",IFERROR(CORREL(INDEX($D$9:$D$809,ROW()-8-CorrWindow+1):D223,INDEX($E$9:$E$809,ROW()-8-CorrWindow+1):E223),""))</f>
        <v/>
      </c>
      <c r="G223">
        <f>IF(A223="","",0)</f>
        <v/>
      </c>
    </row>
    <row r="224">
      <c r="A224" s="23">
        <f>IFERROR(INDEX($R$9:$R$809,ROW()-8),"")</f>
        <v/>
      </c>
      <c r="B224">
        <f>IFERROR(INDEX($S$9:$S$809,ROW()-8),"")</f>
        <v/>
      </c>
      <c r="C224">
        <f>IFERROR(INDEX($W$9:$W$809,ROW()-8),"")</f>
        <v/>
      </c>
      <c r="D224" s="26">
        <f>IF(COUNT(B223:B224)=2,LN(B224/B223),"")</f>
        <v/>
      </c>
      <c r="E224" s="27">
        <f>IF(COUNT(C223:C224)=2,(C224-C223)*100,"")</f>
        <v/>
      </c>
      <c r="F224" s="28">
        <f>IF(ROW()-8&lt;CorrWindow,"",IFERROR(CORREL(INDEX($D$9:$D$809,ROW()-8-CorrWindow+1):D224,INDEX($E$9:$E$809,ROW()-8-CorrWindow+1):E224),""))</f>
        <v/>
      </c>
      <c r="G224">
        <f>IF(A224="","",0)</f>
        <v/>
      </c>
    </row>
    <row r="225">
      <c r="A225" s="23">
        <f>IFERROR(INDEX($R$9:$R$809,ROW()-8),"")</f>
        <v/>
      </c>
      <c r="B225">
        <f>IFERROR(INDEX($S$9:$S$809,ROW()-8),"")</f>
        <v/>
      </c>
      <c r="C225">
        <f>IFERROR(INDEX($W$9:$W$809,ROW()-8),"")</f>
        <v/>
      </c>
      <c r="D225" s="26">
        <f>IF(COUNT(B224:B225)=2,LN(B225/B224),"")</f>
        <v/>
      </c>
      <c r="E225" s="27">
        <f>IF(COUNT(C224:C225)=2,(C225-C224)*100,"")</f>
        <v/>
      </c>
      <c r="F225" s="28">
        <f>IF(ROW()-8&lt;CorrWindow,"",IFERROR(CORREL(INDEX($D$9:$D$809,ROW()-8-CorrWindow+1):D225,INDEX($E$9:$E$809,ROW()-8-CorrWindow+1):E225),""))</f>
        <v/>
      </c>
      <c r="G225">
        <f>IF(A225="","",0)</f>
        <v/>
      </c>
    </row>
    <row r="226">
      <c r="A226" s="23">
        <f>IFERROR(INDEX($R$9:$R$809,ROW()-8),"")</f>
        <v/>
      </c>
      <c r="B226">
        <f>IFERROR(INDEX($S$9:$S$809,ROW()-8),"")</f>
        <v/>
      </c>
      <c r="C226">
        <f>IFERROR(INDEX($W$9:$W$809,ROW()-8),"")</f>
        <v/>
      </c>
      <c r="D226" s="26">
        <f>IF(COUNT(B225:B226)=2,LN(B226/B225),"")</f>
        <v/>
      </c>
      <c r="E226" s="27">
        <f>IF(COUNT(C225:C226)=2,(C226-C225)*100,"")</f>
        <v/>
      </c>
      <c r="F226" s="28">
        <f>IF(ROW()-8&lt;CorrWindow,"",IFERROR(CORREL(INDEX($D$9:$D$809,ROW()-8-CorrWindow+1):D226,INDEX($E$9:$E$809,ROW()-8-CorrWindow+1):E226),""))</f>
        <v/>
      </c>
      <c r="G226">
        <f>IF(A226="","",0)</f>
        <v/>
      </c>
    </row>
    <row r="227">
      <c r="A227" s="23">
        <f>IFERROR(INDEX($R$9:$R$809,ROW()-8),"")</f>
        <v/>
      </c>
      <c r="B227">
        <f>IFERROR(INDEX($S$9:$S$809,ROW()-8),"")</f>
        <v/>
      </c>
      <c r="C227">
        <f>IFERROR(INDEX($W$9:$W$809,ROW()-8),"")</f>
        <v/>
      </c>
      <c r="D227" s="26">
        <f>IF(COUNT(B226:B227)=2,LN(B227/B226),"")</f>
        <v/>
      </c>
      <c r="E227" s="27">
        <f>IF(COUNT(C226:C227)=2,(C227-C226)*100,"")</f>
        <v/>
      </c>
      <c r="F227" s="28">
        <f>IF(ROW()-8&lt;CorrWindow,"",IFERROR(CORREL(INDEX($D$9:$D$809,ROW()-8-CorrWindow+1):D227,INDEX($E$9:$E$809,ROW()-8-CorrWindow+1):E227),""))</f>
        <v/>
      </c>
      <c r="G227">
        <f>IF(A227="","",0)</f>
        <v/>
      </c>
    </row>
    <row r="228">
      <c r="A228" s="23">
        <f>IFERROR(INDEX($R$9:$R$809,ROW()-8),"")</f>
        <v/>
      </c>
      <c r="B228">
        <f>IFERROR(INDEX($S$9:$S$809,ROW()-8),"")</f>
        <v/>
      </c>
      <c r="C228">
        <f>IFERROR(INDEX($W$9:$W$809,ROW()-8),"")</f>
        <v/>
      </c>
      <c r="D228" s="26">
        <f>IF(COUNT(B227:B228)=2,LN(B228/B227),"")</f>
        <v/>
      </c>
      <c r="E228" s="27">
        <f>IF(COUNT(C227:C228)=2,(C228-C227)*100,"")</f>
        <v/>
      </c>
      <c r="F228" s="28">
        <f>IF(ROW()-8&lt;CorrWindow,"",IFERROR(CORREL(INDEX($D$9:$D$809,ROW()-8-CorrWindow+1):D228,INDEX($E$9:$E$809,ROW()-8-CorrWindow+1):E228),""))</f>
        <v/>
      </c>
      <c r="G228">
        <f>IF(A228="","",0)</f>
        <v/>
      </c>
    </row>
    <row r="229">
      <c r="A229" s="23">
        <f>IFERROR(INDEX($R$9:$R$809,ROW()-8),"")</f>
        <v/>
      </c>
      <c r="B229">
        <f>IFERROR(INDEX($S$9:$S$809,ROW()-8),"")</f>
        <v/>
      </c>
      <c r="C229">
        <f>IFERROR(INDEX($W$9:$W$809,ROW()-8),"")</f>
        <v/>
      </c>
      <c r="D229" s="26">
        <f>IF(COUNT(B228:B229)=2,LN(B229/B228),"")</f>
        <v/>
      </c>
      <c r="E229" s="27">
        <f>IF(COUNT(C228:C229)=2,(C229-C228)*100,"")</f>
        <v/>
      </c>
      <c r="F229" s="28">
        <f>IF(ROW()-8&lt;CorrWindow,"",IFERROR(CORREL(INDEX($D$9:$D$809,ROW()-8-CorrWindow+1):D229,INDEX($E$9:$E$809,ROW()-8-CorrWindow+1):E229),""))</f>
        <v/>
      </c>
      <c r="G229">
        <f>IF(A229="","",0)</f>
        <v/>
      </c>
    </row>
    <row r="230">
      <c r="A230" s="23">
        <f>IFERROR(INDEX($R$9:$R$809,ROW()-8),"")</f>
        <v/>
      </c>
      <c r="B230">
        <f>IFERROR(INDEX($S$9:$S$809,ROW()-8),"")</f>
        <v/>
      </c>
      <c r="C230">
        <f>IFERROR(INDEX($W$9:$W$809,ROW()-8),"")</f>
        <v/>
      </c>
      <c r="D230" s="26">
        <f>IF(COUNT(B229:B230)=2,LN(B230/B229),"")</f>
        <v/>
      </c>
      <c r="E230" s="27">
        <f>IF(COUNT(C229:C230)=2,(C230-C229)*100,"")</f>
        <v/>
      </c>
      <c r="F230" s="28">
        <f>IF(ROW()-8&lt;CorrWindow,"",IFERROR(CORREL(INDEX($D$9:$D$809,ROW()-8-CorrWindow+1):D230,INDEX($E$9:$E$809,ROW()-8-CorrWindow+1):E230),""))</f>
        <v/>
      </c>
      <c r="G230">
        <f>IF(A230="","",0)</f>
        <v/>
      </c>
    </row>
    <row r="231">
      <c r="A231" s="23">
        <f>IFERROR(INDEX($R$9:$R$809,ROW()-8),"")</f>
        <v/>
      </c>
      <c r="B231">
        <f>IFERROR(INDEX($S$9:$S$809,ROW()-8),"")</f>
        <v/>
      </c>
      <c r="C231">
        <f>IFERROR(INDEX($W$9:$W$809,ROW()-8),"")</f>
        <v/>
      </c>
      <c r="D231" s="26">
        <f>IF(COUNT(B230:B231)=2,LN(B231/B230),"")</f>
        <v/>
      </c>
      <c r="E231" s="27">
        <f>IF(COUNT(C230:C231)=2,(C231-C230)*100,"")</f>
        <v/>
      </c>
      <c r="F231" s="28">
        <f>IF(ROW()-8&lt;CorrWindow,"",IFERROR(CORREL(INDEX($D$9:$D$809,ROW()-8-CorrWindow+1):D231,INDEX($E$9:$E$809,ROW()-8-CorrWindow+1):E231),""))</f>
        <v/>
      </c>
      <c r="G231">
        <f>IF(A231="","",0)</f>
        <v/>
      </c>
    </row>
    <row r="232">
      <c r="A232" s="23">
        <f>IFERROR(INDEX($R$9:$R$809,ROW()-8),"")</f>
        <v/>
      </c>
      <c r="B232">
        <f>IFERROR(INDEX($S$9:$S$809,ROW()-8),"")</f>
        <v/>
      </c>
      <c r="C232">
        <f>IFERROR(INDEX($W$9:$W$809,ROW()-8),"")</f>
        <v/>
      </c>
      <c r="D232" s="26">
        <f>IF(COUNT(B231:B232)=2,LN(B232/B231),"")</f>
        <v/>
      </c>
      <c r="E232" s="27">
        <f>IF(COUNT(C231:C232)=2,(C232-C231)*100,"")</f>
        <v/>
      </c>
      <c r="F232" s="28">
        <f>IF(ROW()-8&lt;CorrWindow,"",IFERROR(CORREL(INDEX($D$9:$D$809,ROW()-8-CorrWindow+1):D232,INDEX($E$9:$E$809,ROW()-8-CorrWindow+1):E232),""))</f>
        <v/>
      </c>
      <c r="G232">
        <f>IF(A232="","",0)</f>
        <v/>
      </c>
    </row>
    <row r="233">
      <c r="A233" s="23">
        <f>IFERROR(INDEX($R$9:$R$809,ROW()-8),"")</f>
        <v/>
      </c>
      <c r="B233">
        <f>IFERROR(INDEX($S$9:$S$809,ROW()-8),"")</f>
        <v/>
      </c>
      <c r="C233">
        <f>IFERROR(INDEX($W$9:$W$809,ROW()-8),"")</f>
        <v/>
      </c>
      <c r="D233" s="26">
        <f>IF(COUNT(B232:B233)=2,LN(B233/B232),"")</f>
        <v/>
      </c>
      <c r="E233" s="27">
        <f>IF(COUNT(C232:C233)=2,(C233-C232)*100,"")</f>
        <v/>
      </c>
      <c r="F233" s="28">
        <f>IF(ROW()-8&lt;CorrWindow,"",IFERROR(CORREL(INDEX($D$9:$D$809,ROW()-8-CorrWindow+1):D233,INDEX($E$9:$E$809,ROW()-8-CorrWindow+1):E233),""))</f>
        <v/>
      </c>
      <c r="G233">
        <f>IF(A233="","",0)</f>
        <v/>
      </c>
    </row>
    <row r="234">
      <c r="A234" s="23">
        <f>IFERROR(INDEX($R$9:$R$809,ROW()-8),"")</f>
        <v/>
      </c>
      <c r="B234">
        <f>IFERROR(INDEX($S$9:$S$809,ROW()-8),"")</f>
        <v/>
      </c>
      <c r="C234">
        <f>IFERROR(INDEX($W$9:$W$809,ROW()-8),"")</f>
        <v/>
      </c>
      <c r="D234" s="26">
        <f>IF(COUNT(B233:B234)=2,LN(B234/B233),"")</f>
        <v/>
      </c>
      <c r="E234" s="27">
        <f>IF(COUNT(C233:C234)=2,(C234-C233)*100,"")</f>
        <v/>
      </c>
      <c r="F234" s="28">
        <f>IF(ROW()-8&lt;CorrWindow,"",IFERROR(CORREL(INDEX($D$9:$D$809,ROW()-8-CorrWindow+1):D234,INDEX($E$9:$E$809,ROW()-8-CorrWindow+1):E234),""))</f>
        <v/>
      </c>
      <c r="G234">
        <f>IF(A234="","",0)</f>
        <v/>
      </c>
    </row>
    <row r="235">
      <c r="A235" s="23">
        <f>IFERROR(INDEX($R$9:$R$809,ROW()-8),"")</f>
        <v/>
      </c>
      <c r="B235">
        <f>IFERROR(INDEX($S$9:$S$809,ROW()-8),"")</f>
        <v/>
      </c>
      <c r="C235">
        <f>IFERROR(INDEX($W$9:$W$809,ROW()-8),"")</f>
        <v/>
      </c>
      <c r="D235" s="26">
        <f>IF(COUNT(B234:B235)=2,LN(B235/B234),"")</f>
        <v/>
      </c>
      <c r="E235" s="27">
        <f>IF(COUNT(C234:C235)=2,(C235-C234)*100,"")</f>
        <v/>
      </c>
      <c r="F235" s="28">
        <f>IF(ROW()-8&lt;CorrWindow,"",IFERROR(CORREL(INDEX($D$9:$D$809,ROW()-8-CorrWindow+1):D235,INDEX($E$9:$E$809,ROW()-8-CorrWindow+1):E235),""))</f>
        <v/>
      </c>
      <c r="G235">
        <f>IF(A235="","",0)</f>
        <v/>
      </c>
    </row>
    <row r="236">
      <c r="A236" s="23">
        <f>IFERROR(INDEX($R$9:$R$809,ROW()-8),"")</f>
        <v/>
      </c>
      <c r="B236">
        <f>IFERROR(INDEX($S$9:$S$809,ROW()-8),"")</f>
        <v/>
      </c>
      <c r="C236">
        <f>IFERROR(INDEX($W$9:$W$809,ROW()-8),"")</f>
        <v/>
      </c>
      <c r="D236" s="26">
        <f>IF(COUNT(B235:B236)=2,LN(B236/B235),"")</f>
        <v/>
      </c>
      <c r="E236" s="27">
        <f>IF(COUNT(C235:C236)=2,(C236-C235)*100,"")</f>
        <v/>
      </c>
      <c r="F236" s="28">
        <f>IF(ROW()-8&lt;CorrWindow,"",IFERROR(CORREL(INDEX($D$9:$D$809,ROW()-8-CorrWindow+1):D236,INDEX($E$9:$E$809,ROW()-8-CorrWindow+1):E236),""))</f>
        <v/>
      </c>
      <c r="G236">
        <f>IF(A236="","",0)</f>
        <v/>
      </c>
    </row>
    <row r="237">
      <c r="A237" s="23">
        <f>IFERROR(INDEX($R$9:$R$809,ROW()-8),"")</f>
        <v/>
      </c>
      <c r="B237">
        <f>IFERROR(INDEX($S$9:$S$809,ROW()-8),"")</f>
        <v/>
      </c>
      <c r="C237">
        <f>IFERROR(INDEX($W$9:$W$809,ROW()-8),"")</f>
        <v/>
      </c>
      <c r="D237" s="26">
        <f>IF(COUNT(B236:B237)=2,LN(B237/B236),"")</f>
        <v/>
      </c>
      <c r="E237" s="27">
        <f>IF(COUNT(C236:C237)=2,(C237-C236)*100,"")</f>
        <v/>
      </c>
      <c r="F237" s="28">
        <f>IF(ROW()-8&lt;CorrWindow,"",IFERROR(CORREL(INDEX($D$9:$D$809,ROW()-8-CorrWindow+1):D237,INDEX($E$9:$E$809,ROW()-8-CorrWindow+1):E237),""))</f>
        <v/>
      </c>
      <c r="G237">
        <f>IF(A237="","",0)</f>
        <v/>
      </c>
    </row>
    <row r="238">
      <c r="A238" s="23">
        <f>IFERROR(INDEX($R$9:$R$809,ROW()-8),"")</f>
        <v/>
      </c>
      <c r="B238">
        <f>IFERROR(INDEX($S$9:$S$809,ROW()-8),"")</f>
        <v/>
      </c>
      <c r="C238">
        <f>IFERROR(INDEX($W$9:$W$809,ROW()-8),"")</f>
        <v/>
      </c>
      <c r="D238" s="26">
        <f>IF(COUNT(B237:B238)=2,LN(B238/B237),"")</f>
        <v/>
      </c>
      <c r="E238" s="27">
        <f>IF(COUNT(C237:C238)=2,(C238-C237)*100,"")</f>
        <v/>
      </c>
      <c r="F238" s="28">
        <f>IF(ROW()-8&lt;CorrWindow,"",IFERROR(CORREL(INDEX($D$9:$D$809,ROW()-8-CorrWindow+1):D238,INDEX($E$9:$E$809,ROW()-8-CorrWindow+1):E238),""))</f>
        <v/>
      </c>
      <c r="G238">
        <f>IF(A238="","",0)</f>
        <v/>
      </c>
    </row>
    <row r="239">
      <c r="A239" s="23">
        <f>IFERROR(INDEX($R$9:$R$809,ROW()-8),"")</f>
        <v/>
      </c>
      <c r="B239">
        <f>IFERROR(INDEX($S$9:$S$809,ROW()-8),"")</f>
        <v/>
      </c>
      <c r="C239">
        <f>IFERROR(INDEX($W$9:$W$809,ROW()-8),"")</f>
        <v/>
      </c>
      <c r="D239" s="26">
        <f>IF(COUNT(B238:B239)=2,LN(B239/B238),"")</f>
        <v/>
      </c>
      <c r="E239" s="27">
        <f>IF(COUNT(C238:C239)=2,(C239-C238)*100,"")</f>
        <v/>
      </c>
      <c r="F239" s="28">
        <f>IF(ROW()-8&lt;CorrWindow,"",IFERROR(CORREL(INDEX($D$9:$D$809,ROW()-8-CorrWindow+1):D239,INDEX($E$9:$E$809,ROW()-8-CorrWindow+1):E239),""))</f>
        <v/>
      </c>
      <c r="G239">
        <f>IF(A239="","",0)</f>
        <v/>
      </c>
    </row>
    <row r="240">
      <c r="A240" s="23">
        <f>IFERROR(INDEX($R$9:$R$809,ROW()-8),"")</f>
        <v/>
      </c>
      <c r="B240">
        <f>IFERROR(INDEX($S$9:$S$809,ROW()-8),"")</f>
        <v/>
      </c>
      <c r="C240">
        <f>IFERROR(INDEX($W$9:$W$809,ROW()-8),"")</f>
        <v/>
      </c>
      <c r="D240" s="26">
        <f>IF(COUNT(B239:B240)=2,LN(B240/B239),"")</f>
        <v/>
      </c>
      <c r="E240" s="27">
        <f>IF(COUNT(C239:C240)=2,(C240-C239)*100,"")</f>
        <v/>
      </c>
      <c r="F240" s="28">
        <f>IF(ROW()-8&lt;CorrWindow,"",IFERROR(CORREL(INDEX($D$9:$D$809,ROW()-8-CorrWindow+1):D240,INDEX($E$9:$E$809,ROW()-8-CorrWindow+1):E240),""))</f>
        <v/>
      </c>
      <c r="G240">
        <f>IF(A240="","",0)</f>
        <v/>
      </c>
    </row>
    <row r="241">
      <c r="A241" s="23">
        <f>IFERROR(INDEX($R$9:$R$809,ROW()-8),"")</f>
        <v/>
      </c>
      <c r="B241">
        <f>IFERROR(INDEX($S$9:$S$809,ROW()-8),"")</f>
        <v/>
      </c>
      <c r="C241">
        <f>IFERROR(INDEX($W$9:$W$809,ROW()-8),"")</f>
        <v/>
      </c>
      <c r="D241" s="26">
        <f>IF(COUNT(B240:B241)=2,LN(B241/B240),"")</f>
        <v/>
      </c>
      <c r="E241" s="27">
        <f>IF(COUNT(C240:C241)=2,(C241-C240)*100,"")</f>
        <v/>
      </c>
      <c r="F241" s="28">
        <f>IF(ROW()-8&lt;CorrWindow,"",IFERROR(CORREL(INDEX($D$9:$D$809,ROW()-8-CorrWindow+1):D241,INDEX($E$9:$E$809,ROW()-8-CorrWindow+1):E241),""))</f>
        <v/>
      </c>
      <c r="G241">
        <f>IF(A241="","",0)</f>
        <v/>
      </c>
    </row>
    <row r="242">
      <c r="A242" s="23">
        <f>IFERROR(INDEX($R$9:$R$809,ROW()-8),"")</f>
        <v/>
      </c>
      <c r="B242">
        <f>IFERROR(INDEX($S$9:$S$809,ROW()-8),"")</f>
        <v/>
      </c>
      <c r="C242">
        <f>IFERROR(INDEX($W$9:$W$809,ROW()-8),"")</f>
        <v/>
      </c>
      <c r="D242" s="26">
        <f>IF(COUNT(B241:B242)=2,LN(B242/B241),"")</f>
        <v/>
      </c>
      <c r="E242" s="27">
        <f>IF(COUNT(C241:C242)=2,(C242-C241)*100,"")</f>
        <v/>
      </c>
      <c r="F242" s="28">
        <f>IF(ROW()-8&lt;CorrWindow,"",IFERROR(CORREL(INDEX($D$9:$D$809,ROW()-8-CorrWindow+1):D242,INDEX($E$9:$E$809,ROW()-8-CorrWindow+1):E242),""))</f>
        <v/>
      </c>
      <c r="G242">
        <f>IF(A242="","",0)</f>
        <v/>
      </c>
    </row>
    <row r="243">
      <c r="A243" s="23">
        <f>IFERROR(INDEX($R$9:$R$809,ROW()-8),"")</f>
        <v/>
      </c>
      <c r="B243">
        <f>IFERROR(INDEX($S$9:$S$809,ROW()-8),"")</f>
        <v/>
      </c>
      <c r="C243">
        <f>IFERROR(INDEX($W$9:$W$809,ROW()-8),"")</f>
        <v/>
      </c>
      <c r="D243" s="26">
        <f>IF(COUNT(B242:B243)=2,LN(B243/B242),"")</f>
        <v/>
      </c>
      <c r="E243" s="27">
        <f>IF(COUNT(C242:C243)=2,(C243-C242)*100,"")</f>
        <v/>
      </c>
      <c r="F243" s="28">
        <f>IF(ROW()-8&lt;CorrWindow,"",IFERROR(CORREL(INDEX($D$9:$D$809,ROW()-8-CorrWindow+1):D243,INDEX($E$9:$E$809,ROW()-8-CorrWindow+1):E243),""))</f>
        <v/>
      </c>
      <c r="G243">
        <f>IF(A243="","",0)</f>
        <v/>
      </c>
    </row>
    <row r="244">
      <c r="A244" s="23">
        <f>IFERROR(INDEX($R$9:$R$809,ROW()-8),"")</f>
        <v/>
      </c>
      <c r="B244">
        <f>IFERROR(INDEX($S$9:$S$809,ROW()-8),"")</f>
        <v/>
      </c>
      <c r="C244">
        <f>IFERROR(INDEX($W$9:$W$809,ROW()-8),"")</f>
        <v/>
      </c>
      <c r="D244" s="26">
        <f>IF(COUNT(B243:B244)=2,LN(B244/B243),"")</f>
        <v/>
      </c>
      <c r="E244" s="27">
        <f>IF(COUNT(C243:C244)=2,(C244-C243)*100,"")</f>
        <v/>
      </c>
      <c r="F244" s="28">
        <f>IF(ROW()-8&lt;CorrWindow,"",IFERROR(CORREL(INDEX($D$9:$D$809,ROW()-8-CorrWindow+1):D244,INDEX($E$9:$E$809,ROW()-8-CorrWindow+1):E244),""))</f>
        <v/>
      </c>
      <c r="G244">
        <f>IF(A244="","",0)</f>
        <v/>
      </c>
    </row>
    <row r="245">
      <c r="A245" s="23">
        <f>IFERROR(INDEX($R$9:$R$809,ROW()-8),"")</f>
        <v/>
      </c>
      <c r="B245">
        <f>IFERROR(INDEX($S$9:$S$809,ROW()-8),"")</f>
        <v/>
      </c>
      <c r="C245">
        <f>IFERROR(INDEX($W$9:$W$809,ROW()-8),"")</f>
        <v/>
      </c>
      <c r="D245" s="26">
        <f>IF(COUNT(B244:B245)=2,LN(B245/B244),"")</f>
        <v/>
      </c>
      <c r="E245" s="27">
        <f>IF(COUNT(C244:C245)=2,(C245-C244)*100,"")</f>
        <v/>
      </c>
      <c r="F245" s="28">
        <f>IF(ROW()-8&lt;CorrWindow,"",IFERROR(CORREL(INDEX($D$9:$D$809,ROW()-8-CorrWindow+1):D245,INDEX($E$9:$E$809,ROW()-8-CorrWindow+1):E245),""))</f>
        <v/>
      </c>
      <c r="G245">
        <f>IF(A245="","",0)</f>
        <v/>
      </c>
    </row>
    <row r="246">
      <c r="A246" s="23">
        <f>IFERROR(INDEX($R$9:$R$809,ROW()-8),"")</f>
        <v/>
      </c>
      <c r="B246">
        <f>IFERROR(INDEX($S$9:$S$809,ROW()-8),"")</f>
        <v/>
      </c>
      <c r="C246">
        <f>IFERROR(INDEX($W$9:$W$809,ROW()-8),"")</f>
        <v/>
      </c>
      <c r="D246" s="26">
        <f>IF(COUNT(B245:B246)=2,LN(B246/B245),"")</f>
        <v/>
      </c>
      <c r="E246" s="27">
        <f>IF(COUNT(C245:C246)=2,(C246-C245)*100,"")</f>
        <v/>
      </c>
      <c r="F246" s="28">
        <f>IF(ROW()-8&lt;CorrWindow,"",IFERROR(CORREL(INDEX($D$9:$D$809,ROW()-8-CorrWindow+1):D246,INDEX($E$9:$E$809,ROW()-8-CorrWindow+1):E246),""))</f>
        <v/>
      </c>
      <c r="G246">
        <f>IF(A246="","",0)</f>
        <v/>
      </c>
    </row>
    <row r="247">
      <c r="A247" s="23">
        <f>IFERROR(INDEX($R$9:$R$809,ROW()-8),"")</f>
        <v/>
      </c>
      <c r="B247">
        <f>IFERROR(INDEX($S$9:$S$809,ROW()-8),"")</f>
        <v/>
      </c>
      <c r="C247">
        <f>IFERROR(INDEX($W$9:$W$809,ROW()-8),"")</f>
        <v/>
      </c>
      <c r="D247" s="26">
        <f>IF(COUNT(B246:B247)=2,LN(B247/B246),"")</f>
        <v/>
      </c>
      <c r="E247" s="27">
        <f>IF(COUNT(C246:C247)=2,(C247-C246)*100,"")</f>
        <v/>
      </c>
      <c r="F247" s="28">
        <f>IF(ROW()-8&lt;CorrWindow,"",IFERROR(CORREL(INDEX($D$9:$D$809,ROW()-8-CorrWindow+1):D247,INDEX($E$9:$E$809,ROW()-8-CorrWindow+1):E247),""))</f>
        <v/>
      </c>
      <c r="G247">
        <f>IF(A247="","",0)</f>
        <v/>
      </c>
    </row>
    <row r="248">
      <c r="A248" s="23">
        <f>IFERROR(INDEX($R$9:$R$809,ROW()-8),"")</f>
        <v/>
      </c>
      <c r="B248">
        <f>IFERROR(INDEX($S$9:$S$809,ROW()-8),"")</f>
        <v/>
      </c>
      <c r="C248">
        <f>IFERROR(INDEX($W$9:$W$809,ROW()-8),"")</f>
        <v/>
      </c>
      <c r="D248" s="26">
        <f>IF(COUNT(B247:B248)=2,LN(B248/B247),"")</f>
        <v/>
      </c>
      <c r="E248" s="27">
        <f>IF(COUNT(C247:C248)=2,(C248-C247)*100,"")</f>
        <v/>
      </c>
      <c r="F248" s="28">
        <f>IF(ROW()-8&lt;CorrWindow,"",IFERROR(CORREL(INDEX($D$9:$D$809,ROW()-8-CorrWindow+1):D248,INDEX($E$9:$E$809,ROW()-8-CorrWindow+1):E248),""))</f>
        <v/>
      </c>
      <c r="G248">
        <f>IF(A248="","",0)</f>
        <v/>
      </c>
    </row>
    <row r="249">
      <c r="A249" s="23">
        <f>IFERROR(INDEX($R$9:$R$809,ROW()-8),"")</f>
        <v/>
      </c>
      <c r="B249">
        <f>IFERROR(INDEX($S$9:$S$809,ROW()-8),"")</f>
        <v/>
      </c>
      <c r="C249">
        <f>IFERROR(INDEX($W$9:$W$809,ROW()-8),"")</f>
        <v/>
      </c>
      <c r="D249" s="26">
        <f>IF(COUNT(B248:B249)=2,LN(B249/B248),"")</f>
        <v/>
      </c>
      <c r="E249" s="27">
        <f>IF(COUNT(C248:C249)=2,(C249-C248)*100,"")</f>
        <v/>
      </c>
      <c r="F249" s="28">
        <f>IF(ROW()-8&lt;CorrWindow,"",IFERROR(CORREL(INDEX($D$9:$D$809,ROW()-8-CorrWindow+1):D249,INDEX($E$9:$E$809,ROW()-8-CorrWindow+1):E249),""))</f>
        <v/>
      </c>
      <c r="G249">
        <f>IF(A249="","",0)</f>
        <v/>
      </c>
    </row>
    <row r="250">
      <c r="A250" s="23">
        <f>IFERROR(INDEX($R$9:$R$809,ROW()-8),"")</f>
        <v/>
      </c>
      <c r="B250">
        <f>IFERROR(INDEX($S$9:$S$809,ROW()-8),"")</f>
        <v/>
      </c>
      <c r="C250">
        <f>IFERROR(INDEX($W$9:$W$809,ROW()-8),"")</f>
        <v/>
      </c>
      <c r="D250" s="26">
        <f>IF(COUNT(B249:B250)=2,LN(B250/B249),"")</f>
        <v/>
      </c>
      <c r="E250" s="27">
        <f>IF(COUNT(C249:C250)=2,(C250-C249)*100,"")</f>
        <v/>
      </c>
      <c r="F250" s="28">
        <f>IF(ROW()-8&lt;CorrWindow,"",IFERROR(CORREL(INDEX($D$9:$D$809,ROW()-8-CorrWindow+1):D250,INDEX($E$9:$E$809,ROW()-8-CorrWindow+1):E250),""))</f>
        <v/>
      </c>
      <c r="G250">
        <f>IF(A250="","",0)</f>
        <v/>
      </c>
    </row>
    <row r="251">
      <c r="A251" s="23">
        <f>IFERROR(INDEX($R$9:$R$809,ROW()-8),"")</f>
        <v/>
      </c>
      <c r="B251">
        <f>IFERROR(INDEX($S$9:$S$809,ROW()-8),"")</f>
        <v/>
      </c>
      <c r="C251">
        <f>IFERROR(INDEX($W$9:$W$809,ROW()-8),"")</f>
        <v/>
      </c>
      <c r="D251" s="26">
        <f>IF(COUNT(B250:B251)=2,LN(B251/B250),"")</f>
        <v/>
      </c>
      <c r="E251" s="27">
        <f>IF(COUNT(C250:C251)=2,(C251-C250)*100,"")</f>
        <v/>
      </c>
      <c r="F251" s="28">
        <f>IF(ROW()-8&lt;CorrWindow,"",IFERROR(CORREL(INDEX($D$9:$D$809,ROW()-8-CorrWindow+1):D251,INDEX($E$9:$E$809,ROW()-8-CorrWindow+1):E251),""))</f>
        <v/>
      </c>
      <c r="G251">
        <f>IF(A251="","",0)</f>
        <v/>
      </c>
    </row>
    <row r="252">
      <c r="A252" s="23">
        <f>IFERROR(INDEX($R$9:$R$809,ROW()-8),"")</f>
        <v/>
      </c>
      <c r="B252">
        <f>IFERROR(INDEX($S$9:$S$809,ROW()-8),"")</f>
        <v/>
      </c>
      <c r="C252">
        <f>IFERROR(INDEX($W$9:$W$809,ROW()-8),"")</f>
        <v/>
      </c>
      <c r="D252" s="26">
        <f>IF(COUNT(B251:B252)=2,LN(B252/B251),"")</f>
        <v/>
      </c>
      <c r="E252" s="27">
        <f>IF(COUNT(C251:C252)=2,(C252-C251)*100,"")</f>
        <v/>
      </c>
      <c r="F252" s="28">
        <f>IF(ROW()-8&lt;CorrWindow,"",IFERROR(CORREL(INDEX($D$9:$D$809,ROW()-8-CorrWindow+1):D252,INDEX($E$9:$E$809,ROW()-8-CorrWindow+1):E252),""))</f>
        <v/>
      </c>
      <c r="G252">
        <f>IF(A252="","",0)</f>
        <v/>
      </c>
    </row>
    <row r="253">
      <c r="A253" s="23">
        <f>IFERROR(INDEX($R$9:$R$809,ROW()-8),"")</f>
        <v/>
      </c>
      <c r="B253">
        <f>IFERROR(INDEX($S$9:$S$809,ROW()-8),"")</f>
        <v/>
      </c>
      <c r="C253">
        <f>IFERROR(INDEX($W$9:$W$809,ROW()-8),"")</f>
        <v/>
      </c>
      <c r="D253" s="26">
        <f>IF(COUNT(B252:B253)=2,LN(B253/B252),"")</f>
        <v/>
      </c>
      <c r="E253" s="27">
        <f>IF(COUNT(C252:C253)=2,(C253-C252)*100,"")</f>
        <v/>
      </c>
      <c r="F253" s="28">
        <f>IF(ROW()-8&lt;CorrWindow,"",IFERROR(CORREL(INDEX($D$9:$D$809,ROW()-8-CorrWindow+1):D253,INDEX($E$9:$E$809,ROW()-8-CorrWindow+1):E253),""))</f>
        <v/>
      </c>
      <c r="G253">
        <f>IF(A253="","",0)</f>
        <v/>
      </c>
    </row>
    <row r="254">
      <c r="A254" s="23">
        <f>IFERROR(INDEX($R$9:$R$809,ROW()-8),"")</f>
        <v/>
      </c>
      <c r="B254">
        <f>IFERROR(INDEX($S$9:$S$809,ROW()-8),"")</f>
        <v/>
      </c>
      <c r="C254">
        <f>IFERROR(INDEX($W$9:$W$809,ROW()-8),"")</f>
        <v/>
      </c>
      <c r="D254" s="26">
        <f>IF(COUNT(B253:B254)=2,LN(B254/B253),"")</f>
        <v/>
      </c>
      <c r="E254" s="27">
        <f>IF(COUNT(C253:C254)=2,(C254-C253)*100,"")</f>
        <v/>
      </c>
      <c r="F254" s="28">
        <f>IF(ROW()-8&lt;CorrWindow,"",IFERROR(CORREL(INDEX($D$9:$D$809,ROW()-8-CorrWindow+1):D254,INDEX($E$9:$E$809,ROW()-8-CorrWindow+1):E254),""))</f>
        <v/>
      </c>
      <c r="G254">
        <f>IF(A254="","",0)</f>
        <v/>
      </c>
    </row>
    <row r="255">
      <c r="A255" s="23">
        <f>IFERROR(INDEX($R$9:$R$809,ROW()-8),"")</f>
        <v/>
      </c>
      <c r="B255">
        <f>IFERROR(INDEX($S$9:$S$809,ROW()-8),"")</f>
        <v/>
      </c>
      <c r="C255">
        <f>IFERROR(INDEX($W$9:$W$809,ROW()-8),"")</f>
        <v/>
      </c>
      <c r="D255" s="26">
        <f>IF(COUNT(B254:B255)=2,LN(B255/B254),"")</f>
        <v/>
      </c>
      <c r="E255" s="27">
        <f>IF(COUNT(C254:C255)=2,(C255-C254)*100,"")</f>
        <v/>
      </c>
      <c r="F255" s="28">
        <f>IF(ROW()-8&lt;CorrWindow,"",IFERROR(CORREL(INDEX($D$9:$D$809,ROW()-8-CorrWindow+1):D255,INDEX($E$9:$E$809,ROW()-8-CorrWindow+1):E255),""))</f>
        <v/>
      </c>
      <c r="G255">
        <f>IF(A255="","",0)</f>
        <v/>
      </c>
    </row>
    <row r="256">
      <c r="A256" s="23">
        <f>IFERROR(INDEX($R$9:$R$809,ROW()-8),"")</f>
        <v/>
      </c>
      <c r="B256">
        <f>IFERROR(INDEX($S$9:$S$809,ROW()-8),"")</f>
        <v/>
      </c>
      <c r="C256">
        <f>IFERROR(INDEX($W$9:$W$809,ROW()-8),"")</f>
        <v/>
      </c>
      <c r="D256" s="26">
        <f>IF(COUNT(B255:B256)=2,LN(B256/B255),"")</f>
        <v/>
      </c>
      <c r="E256" s="27">
        <f>IF(COUNT(C255:C256)=2,(C256-C255)*100,"")</f>
        <v/>
      </c>
      <c r="F256" s="28">
        <f>IF(ROW()-8&lt;CorrWindow,"",IFERROR(CORREL(INDEX($D$9:$D$809,ROW()-8-CorrWindow+1):D256,INDEX($E$9:$E$809,ROW()-8-CorrWindow+1):E256),""))</f>
        <v/>
      </c>
      <c r="G256">
        <f>IF(A256="","",0)</f>
        <v/>
      </c>
    </row>
    <row r="257">
      <c r="A257" s="23">
        <f>IFERROR(INDEX($R$9:$R$809,ROW()-8),"")</f>
        <v/>
      </c>
      <c r="B257">
        <f>IFERROR(INDEX($S$9:$S$809,ROW()-8),"")</f>
        <v/>
      </c>
      <c r="C257">
        <f>IFERROR(INDEX($W$9:$W$809,ROW()-8),"")</f>
        <v/>
      </c>
      <c r="D257" s="26">
        <f>IF(COUNT(B256:B257)=2,LN(B257/B256),"")</f>
        <v/>
      </c>
      <c r="E257" s="27">
        <f>IF(COUNT(C256:C257)=2,(C257-C256)*100,"")</f>
        <v/>
      </c>
      <c r="F257" s="28">
        <f>IF(ROW()-8&lt;CorrWindow,"",IFERROR(CORREL(INDEX($D$9:$D$809,ROW()-8-CorrWindow+1):D257,INDEX($E$9:$E$809,ROW()-8-CorrWindow+1):E257),""))</f>
        <v/>
      </c>
      <c r="G257">
        <f>IF(A257="","",0)</f>
        <v/>
      </c>
    </row>
    <row r="258">
      <c r="A258" s="23">
        <f>IFERROR(INDEX($R$9:$R$809,ROW()-8),"")</f>
        <v/>
      </c>
      <c r="B258">
        <f>IFERROR(INDEX($S$9:$S$809,ROW()-8),"")</f>
        <v/>
      </c>
      <c r="C258">
        <f>IFERROR(INDEX($W$9:$W$809,ROW()-8),"")</f>
        <v/>
      </c>
      <c r="D258" s="26">
        <f>IF(COUNT(B257:B258)=2,LN(B258/B257),"")</f>
        <v/>
      </c>
      <c r="E258" s="27">
        <f>IF(COUNT(C257:C258)=2,(C258-C257)*100,"")</f>
        <v/>
      </c>
      <c r="F258" s="28">
        <f>IF(ROW()-8&lt;CorrWindow,"",IFERROR(CORREL(INDEX($D$9:$D$809,ROW()-8-CorrWindow+1):D258,INDEX($E$9:$E$809,ROW()-8-CorrWindow+1):E258),""))</f>
        <v/>
      </c>
      <c r="G258">
        <f>IF(A258="","",0)</f>
        <v/>
      </c>
    </row>
    <row r="259">
      <c r="A259" s="23">
        <f>IFERROR(INDEX($R$9:$R$809,ROW()-8),"")</f>
        <v/>
      </c>
      <c r="B259">
        <f>IFERROR(INDEX($S$9:$S$809,ROW()-8),"")</f>
        <v/>
      </c>
      <c r="C259">
        <f>IFERROR(INDEX($W$9:$W$809,ROW()-8),"")</f>
        <v/>
      </c>
      <c r="D259" s="26">
        <f>IF(COUNT(B258:B259)=2,LN(B259/B258),"")</f>
        <v/>
      </c>
      <c r="E259" s="27">
        <f>IF(COUNT(C258:C259)=2,(C259-C258)*100,"")</f>
        <v/>
      </c>
      <c r="F259" s="28">
        <f>IF(ROW()-8&lt;CorrWindow,"",IFERROR(CORREL(INDEX($D$9:$D$809,ROW()-8-CorrWindow+1):D259,INDEX($E$9:$E$809,ROW()-8-CorrWindow+1):E259),""))</f>
        <v/>
      </c>
      <c r="G259">
        <f>IF(A259="","",0)</f>
        <v/>
      </c>
    </row>
    <row r="260">
      <c r="A260" s="23">
        <f>IFERROR(INDEX($R$9:$R$809,ROW()-8),"")</f>
        <v/>
      </c>
      <c r="B260">
        <f>IFERROR(INDEX($S$9:$S$809,ROW()-8),"")</f>
        <v/>
      </c>
      <c r="C260">
        <f>IFERROR(INDEX($W$9:$W$809,ROW()-8),"")</f>
        <v/>
      </c>
      <c r="D260" s="26">
        <f>IF(COUNT(B259:B260)=2,LN(B260/B259),"")</f>
        <v/>
      </c>
      <c r="E260" s="27">
        <f>IF(COUNT(C259:C260)=2,(C260-C259)*100,"")</f>
        <v/>
      </c>
      <c r="F260" s="28">
        <f>IF(ROW()-8&lt;CorrWindow,"",IFERROR(CORREL(INDEX($D$9:$D$809,ROW()-8-CorrWindow+1):D260,INDEX($E$9:$E$809,ROW()-8-CorrWindow+1):E260),""))</f>
        <v/>
      </c>
      <c r="G260">
        <f>IF(A260="","",0)</f>
        <v/>
      </c>
    </row>
    <row r="261">
      <c r="A261" s="23">
        <f>IFERROR(INDEX($R$9:$R$809,ROW()-8),"")</f>
        <v/>
      </c>
      <c r="B261">
        <f>IFERROR(INDEX($S$9:$S$809,ROW()-8),"")</f>
        <v/>
      </c>
      <c r="C261">
        <f>IFERROR(INDEX($W$9:$W$809,ROW()-8),"")</f>
        <v/>
      </c>
      <c r="D261" s="26">
        <f>IF(COUNT(B260:B261)=2,LN(B261/B260),"")</f>
        <v/>
      </c>
      <c r="E261" s="27">
        <f>IF(COUNT(C260:C261)=2,(C261-C260)*100,"")</f>
        <v/>
      </c>
      <c r="F261" s="28">
        <f>IF(ROW()-8&lt;CorrWindow,"",IFERROR(CORREL(INDEX($D$9:$D$809,ROW()-8-CorrWindow+1):D261,INDEX($E$9:$E$809,ROW()-8-CorrWindow+1):E261),""))</f>
        <v/>
      </c>
      <c r="G261">
        <f>IF(A261="","",0)</f>
        <v/>
      </c>
    </row>
    <row r="262">
      <c r="A262" s="23">
        <f>IFERROR(INDEX($R$9:$R$809,ROW()-8),"")</f>
        <v/>
      </c>
      <c r="B262">
        <f>IFERROR(INDEX($S$9:$S$809,ROW()-8),"")</f>
        <v/>
      </c>
      <c r="C262">
        <f>IFERROR(INDEX($W$9:$W$809,ROW()-8),"")</f>
        <v/>
      </c>
      <c r="D262" s="26">
        <f>IF(COUNT(B261:B262)=2,LN(B262/B261),"")</f>
        <v/>
      </c>
      <c r="E262" s="27">
        <f>IF(COUNT(C261:C262)=2,(C262-C261)*100,"")</f>
        <v/>
      </c>
      <c r="F262" s="28">
        <f>IF(ROW()-8&lt;CorrWindow,"",IFERROR(CORREL(INDEX($D$9:$D$809,ROW()-8-CorrWindow+1):D262,INDEX($E$9:$E$809,ROW()-8-CorrWindow+1):E262),""))</f>
        <v/>
      </c>
      <c r="G262">
        <f>IF(A262="","",0)</f>
        <v/>
      </c>
    </row>
    <row r="263">
      <c r="A263" s="23">
        <f>IFERROR(INDEX($R$9:$R$809,ROW()-8),"")</f>
        <v/>
      </c>
      <c r="B263">
        <f>IFERROR(INDEX($S$9:$S$809,ROW()-8),"")</f>
        <v/>
      </c>
      <c r="C263">
        <f>IFERROR(INDEX($W$9:$W$809,ROW()-8),"")</f>
        <v/>
      </c>
      <c r="D263" s="26">
        <f>IF(COUNT(B262:B263)=2,LN(B263/B262),"")</f>
        <v/>
      </c>
      <c r="E263" s="27">
        <f>IF(COUNT(C262:C263)=2,(C263-C262)*100,"")</f>
        <v/>
      </c>
      <c r="F263" s="28">
        <f>IF(ROW()-8&lt;CorrWindow,"",IFERROR(CORREL(INDEX($D$9:$D$809,ROW()-8-CorrWindow+1):D263,INDEX($E$9:$E$809,ROW()-8-CorrWindow+1):E263),""))</f>
        <v/>
      </c>
      <c r="G263">
        <f>IF(A263="","",0)</f>
        <v/>
      </c>
    </row>
    <row r="264">
      <c r="A264" s="23">
        <f>IFERROR(INDEX($R$9:$R$809,ROW()-8),"")</f>
        <v/>
      </c>
      <c r="B264">
        <f>IFERROR(INDEX($S$9:$S$809,ROW()-8),"")</f>
        <v/>
      </c>
      <c r="C264">
        <f>IFERROR(INDEX($W$9:$W$809,ROW()-8),"")</f>
        <v/>
      </c>
      <c r="D264" s="26">
        <f>IF(COUNT(B263:B264)=2,LN(B264/B263),"")</f>
        <v/>
      </c>
      <c r="E264" s="27">
        <f>IF(COUNT(C263:C264)=2,(C264-C263)*100,"")</f>
        <v/>
      </c>
      <c r="F264" s="28">
        <f>IF(ROW()-8&lt;CorrWindow,"",IFERROR(CORREL(INDEX($D$9:$D$809,ROW()-8-CorrWindow+1):D264,INDEX($E$9:$E$809,ROW()-8-CorrWindow+1):E264),""))</f>
        <v/>
      </c>
      <c r="G264">
        <f>IF(A264="","",0)</f>
        <v/>
      </c>
    </row>
    <row r="265">
      <c r="A265" s="23">
        <f>IFERROR(INDEX($R$9:$R$809,ROW()-8),"")</f>
        <v/>
      </c>
      <c r="B265">
        <f>IFERROR(INDEX($S$9:$S$809,ROW()-8),"")</f>
        <v/>
      </c>
      <c r="C265">
        <f>IFERROR(INDEX($W$9:$W$809,ROW()-8),"")</f>
        <v/>
      </c>
      <c r="D265" s="26">
        <f>IF(COUNT(B264:B265)=2,LN(B265/B264),"")</f>
        <v/>
      </c>
      <c r="E265" s="27">
        <f>IF(COUNT(C264:C265)=2,(C265-C264)*100,"")</f>
        <v/>
      </c>
      <c r="F265" s="28">
        <f>IF(ROW()-8&lt;CorrWindow,"",IFERROR(CORREL(INDEX($D$9:$D$809,ROW()-8-CorrWindow+1):D265,INDEX($E$9:$E$809,ROW()-8-CorrWindow+1):E265),""))</f>
        <v/>
      </c>
      <c r="G265">
        <f>IF(A265="","",0)</f>
        <v/>
      </c>
    </row>
    <row r="266">
      <c r="A266" s="23">
        <f>IFERROR(INDEX($R$9:$R$809,ROW()-8),"")</f>
        <v/>
      </c>
      <c r="B266">
        <f>IFERROR(INDEX($S$9:$S$809,ROW()-8),"")</f>
        <v/>
      </c>
      <c r="C266">
        <f>IFERROR(INDEX($W$9:$W$809,ROW()-8),"")</f>
        <v/>
      </c>
      <c r="D266" s="26">
        <f>IF(COUNT(B265:B266)=2,LN(B266/B265),"")</f>
        <v/>
      </c>
      <c r="E266" s="27">
        <f>IF(COUNT(C265:C266)=2,(C266-C265)*100,"")</f>
        <v/>
      </c>
      <c r="F266" s="28">
        <f>IF(ROW()-8&lt;CorrWindow,"",IFERROR(CORREL(INDEX($D$9:$D$809,ROW()-8-CorrWindow+1):D266,INDEX($E$9:$E$809,ROW()-8-CorrWindow+1):E266),""))</f>
        <v/>
      </c>
      <c r="G266">
        <f>IF(A266="","",0)</f>
        <v/>
      </c>
    </row>
    <row r="267">
      <c r="A267" s="23">
        <f>IFERROR(INDEX($R$9:$R$809,ROW()-8),"")</f>
        <v/>
      </c>
      <c r="B267">
        <f>IFERROR(INDEX($S$9:$S$809,ROW()-8),"")</f>
        <v/>
      </c>
      <c r="C267">
        <f>IFERROR(INDEX($W$9:$W$809,ROW()-8),"")</f>
        <v/>
      </c>
      <c r="D267" s="26">
        <f>IF(COUNT(B266:B267)=2,LN(B267/B266),"")</f>
        <v/>
      </c>
      <c r="E267" s="27">
        <f>IF(COUNT(C266:C267)=2,(C267-C266)*100,"")</f>
        <v/>
      </c>
      <c r="F267" s="28">
        <f>IF(ROW()-8&lt;CorrWindow,"",IFERROR(CORREL(INDEX($D$9:$D$809,ROW()-8-CorrWindow+1):D267,INDEX($E$9:$E$809,ROW()-8-CorrWindow+1):E267),""))</f>
        <v/>
      </c>
      <c r="G267">
        <f>IF(A267="","",0)</f>
        <v/>
      </c>
    </row>
    <row r="268">
      <c r="A268" s="23">
        <f>IFERROR(INDEX($R$9:$R$809,ROW()-8),"")</f>
        <v/>
      </c>
      <c r="B268">
        <f>IFERROR(INDEX($S$9:$S$809,ROW()-8),"")</f>
        <v/>
      </c>
      <c r="C268">
        <f>IFERROR(INDEX($W$9:$W$809,ROW()-8),"")</f>
        <v/>
      </c>
      <c r="D268" s="26">
        <f>IF(COUNT(B267:B268)=2,LN(B268/B267),"")</f>
        <v/>
      </c>
      <c r="E268" s="27">
        <f>IF(COUNT(C267:C268)=2,(C268-C267)*100,"")</f>
        <v/>
      </c>
      <c r="F268" s="28">
        <f>IF(ROW()-8&lt;CorrWindow,"",IFERROR(CORREL(INDEX($D$9:$D$809,ROW()-8-CorrWindow+1):D268,INDEX($E$9:$E$809,ROW()-8-CorrWindow+1):E268),""))</f>
        <v/>
      </c>
      <c r="G268">
        <f>IF(A268="","",0)</f>
        <v/>
      </c>
    </row>
    <row r="269">
      <c r="A269" s="23">
        <f>IFERROR(INDEX($R$9:$R$809,ROW()-8),"")</f>
        <v/>
      </c>
      <c r="B269">
        <f>IFERROR(INDEX($S$9:$S$809,ROW()-8),"")</f>
        <v/>
      </c>
      <c r="C269">
        <f>IFERROR(INDEX($W$9:$W$809,ROW()-8),"")</f>
        <v/>
      </c>
      <c r="D269" s="26">
        <f>IF(COUNT(B268:B269)=2,LN(B269/B268),"")</f>
        <v/>
      </c>
      <c r="E269" s="27">
        <f>IF(COUNT(C268:C269)=2,(C269-C268)*100,"")</f>
        <v/>
      </c>
      <c r="F269" s="28">
        <f>IF(ROW()-8&lt;CorrWindow,"",IFERROR(CORREL(INDEX($D$9:$D$809,ROW()-8-CorrWindow+1):D269,INDEX($E$9:$E$809,ROW()-8-CorrWindow+1):E269),""))</f>
        <v/>
      </c>
      <c r="G269">
        <f>IF(A269="","",0)</f>
        <v/>
      </c>
    </row>
    <row r="270">
      <c r="A270" s="23">
        <f>IFERROR(INDEX($R$9:$R$809,ROW()-8),"")</f>
        <v/>
      </c>
      <c r="B270">
        <f>IFERROR(INDEX($S$9:$S$809,ROW()-8),"")</f>
        <v/>
      </c>
      <c r="C270">
        <f>IFERROR(INDEX($W$9:$W$809,ROW()-8),"")</f>
        <v/>
      </c>
      <c r="D270" s="26">
        <f>IF(COUNT(B269:B270)=2,LN(B270/B269),"")</f>
        <v/>
      </c>
      <c r="E270" s="27">
        <f>IF(COUNT(C269:C270)=2,(C270-C269)*100,"")</f>
        <v/>
      </c>
      <c r="F270" s="28">
        <f>IF(ROW()-8&lt;CorrWindow,"",IFERROR(CORREL(INDEX($D$9:$D$809,ROW()-8-CorrWindow+1):D270,INDEX($E$9:$E$809,ROW()-8-CorrWindow+1):E270),""))</f>
        <v/>
      </c>
      <c r="G270">
        <f>IF(A270="","",0)</f>
        <v/>
      </c>
    </row>
    <row r="271">
      <c r="A271" s="23">
        <f>IFERROR(INDEX($R$9:$R$809,ROW()-8),"")</f>
        <v/>
      </c>
      <c r="B271">
        <f>IFERROR(INDEX($S$9:$S$809,ROW()-8),"")</f>
        <v/>
      </c>
      <c r="C271">
        <f>IFERROR(INDEX($W$9:$W$809,ROW()-8),"")</f>
        <v/>
      </c>
      <c r="D271" s="26">
        <f>IF(COUNT(B270:B271)=2,LN(B271/B270),"")</f>
        <v/>
      </c>
      <c r="E271" s="27">
        <f>IF(COUNT(C270:C271)=2,(C271-C270)*100,"")</f>
        <v/>
      </c>
      <c r="F271" s="28">
        <f>IF(ROW()-8&lt;CorrWindow,"",IFERROR(CORREL(INDEX($D$9:$D$809,ROW()-8-CorrWindow+1):D271,INDEX($E$9:$E$809,ROW()-8-CorrWindow+1):E271),""))</f>
        <v/>
      </c>
      <c r="G271">
        <f>IF(A271="","",0)</f>
        <v/>
      </c>
    </row>
    <row r="272">
      <c r="A272" s="23">
        <f>IFERROR(INDEX($R$9:$R$809,ROW()-8),"")</f>
        <v/>
      </c>
      <c r="B272">
        <f>IFERROR(INDEX($S$9:$S$809,ROW()-8),"")</f>
        <v/>
      </c>
      <c r="C272">
        <f>IFERROR(INDEX($W$9:$W$809,ROW()-8),"")</f>
        <v/>
      </c>
      <c r="D272" s="26">
        <f>IF(COUNT(B271:B272)=2,LN(B272/B271),"")</f>
        <v/>
      </c>
      <c r="E272" s="27">
        <f>IF(COUNT(C271:C272)=2,(C272-C271)*100,"")</f>
        <v/>
      </c>
      <c r="F272" s="28">
        <f>IF(ROW()-8&lt;CorrWindow,"",IFERROR(CORREL(INDEX($D$9:$D$809,ROW()-8-CorrWindow+1):D272,INDEX($E$9:$E$809,ROW()-8-CorrWindow+1):E272),""))</f>
        <v/>
      </c>
      <c r="G272">
        <f>IF(A272="","",0)</f>
        <v/>
      </c>
    </row>
    <row r="273">
      <c r="A273" s="23">
        <f>IFERROR(INDEX($R$9:$R$809,ROW()-8),"")</f>
        <v/>
      </c>
      <c r="B273">
        <f>IFERROR(INDEX($S$9:$S$809,ROW()-8),"")</f>
        <v/>
      </c>
      <c r="C273">
        <f>IFERROR(INDEX($W$9:$W$809,ROW()-8),"")</f>
        <v/>
      </c>
      <c r="D273" s="26">
        <f>IF(COUNT(B272:B273)=2,LN(B273/B272),"")</f>
        <v/>
      </c>
      <c r="E273" s="27">
        <f>IF(COUNT(C272:C273)=2,(C273-C272)*100,"")</f>
        <v/>
      </c>
      <c r="F273" s="28">
        <f>IF(ROW()-8&lt;CorrWindow,"",IFERROR(CORREL(INDEX($D$9:$D$809,ROW()-8-CorrWindow+1):D273,INDEX($E$9:$E$809,ROW()-8-CorrWindow+1):E273),""))</f>
        <v/>
      </c>
      <c r="G273">
        <f>IF(A273="","",0)</f>
        <v/>
      </c>
    </row>
    <row r="274">
      <c r="A274" s="23">
        <f>IFERROR(INDEX($R$9:$R$809,ROW()-8),"")</f>
        <v/>
      </c>
      <c r="B274">
        <f>IFERROR(INDEX($S$9:$S$809,ROW()-8),"")</f>
        <v/>
      </c>
      <c r="C274">
        <f>IFERROR(INDEX($W$9:$W$809,ROW()-8),"")</f>
        <v/>
      </c>
      <c r="D274" s="26">
        <f>IF(COUNT(B273:B274)=2,LN(B274/B273),"")</f>
        <v/>
      </c>
      <c r="E274" s="27">
        <f>IF(COUNT(C273:C274)=2,(C274-C273)*100,"")</f>
        <v/>
      </c>
      <c r="F274" s="28">
        <f>IF(ROW()-8&lt;CorrWindow,"",IFERROR(CORREL(INDEX($D$9:$D$809,ROW()-8-CorrWindow+1):D274,INDEX($E$9:$E$809,ROW()-8-CorrWindow+1):E274),""))</f>
        <v/>
      </c>
      <c r="G274">
        <f>IF(A274="","",0)</f>
        <v/>
      </c>
    </row>
    <row r="275">
      <c r="A275" s="23">
        <f>IFERROR(INDEX($R$9:$R$809,ROW()-8),"")</f>
        <v/>
      </c>
      <c r="B275">
        <f>IFERROR(INDEX($S$9:$S$809,ROW()-8),"")</f>
        <v/>
      </c>
      <c r="C275">
        <f>IFERROR(INDEX($W$9:$W$809,ROW()-8),"")</f>
        <v/>
      </c>
      <c r="D275" s="26">
        <f>IF(COUNT(B274:B275)=2,LN(B275/B274),"")</f>
        <v/>
      </c>
      <c r="E275" s="27">
        <f>IF(COUNT(C274:C275)=2,(C275-C274)*100,"")</f>
        <v/>
      </c>
      <c r="F275" s="28">
        <f>IF(ROW()-8&lt;CorrWindow,"",IFERROR(CORREL(INDEX($D$9:$D$809,ROW()-8-CorrWindow+1):D275,INDEX($E$9:$E$809,ROW()-8-CorrWindow+1):E275),""))</f>
        <v/>
      </c>
      <c r="G275">
        <f>IF(A275="","",0)</f>
        <v/>
      </c>
    </row>
    <row r="276">
      <c r="A276" s="23">
        <f>IFERROR(INDEX($R$9:$R$809,ROW()-8),"")</f>
        <v/>
      </c>
      <c r="B276">
        <f>IFERROR(INDEX($S$9:$S$809,ROW()-8),"")</f>
        <v/>
      </c>
      <c r="C276">
        <f>IFERROR(INDEX($W$9:$W$809,ROW()-8),"")</f>
        <v/>
      </c>
      <c r="D276" s="26">
        <f>IF(COUNT(B275:B276)=2,LN(B276/B275),"")</f>
        <v/>
      </c>
      <c r="E276" s="27">
        <f>IF(COUNT(C275:C276)=2,(C276-C275)*100,"")</f>
        <v/>
      </c>
      <c r="F276" s="28">
        <f>IF(ROW()-8&lt;CorrWindow,"",IFERROR(CORREL(INDEX($D$9:$D$809,ROW()-8-CorrWindow+1):D276,INDEX($E$9:$E$809,ROW()-8-CorrWindow+1):E276),""))</f>
        <v/>
      </c>
      <c r="G276">
        <f>IF(A276="","",0)</f>
        <v/>
      </c>
    </row>
    <row r="277">
      <c r="A277" s="23">
        <f>IFERROR(INDEX($R$9:$R$809,ROW()-8),"")</f>
        <v/>
      </c>
      <c r="B277">
        <f>IFERROR(INDEX($S$9:$S$809,ROW()-8),"")</f>
        <v/>
      </c>
      <c r="C277">
        <f>IFERROR(INDEX($W$9:$W$809,ROW()-8),"")</f>
        <v/>
      </c>
      <c r="D277" s="26">
        <f>IF(COUNT(B276:B277)=2,LN(B277/B276),"")</f>
        <v/>
      </c>
      <c r="E277" s="27">
        <f>IF(COUNT(C276:C277)=2,(C277-C276)*100,"")</f>
        <v/>
      </c>
      <c r="F277" s="28">
        <f>IF(ROW()-8&lt;CorrWindow,"",IFERROR(CORREL(INDEX($D$9:$D$809,ROW()-8-CorrWindow+1):D277,INDEX($E$9:$E$809,ROW()-8-CorrWindow+1):E277),""))</f>
        <v/>
      </c>
      <c r="G277">
        <f>IF(A277="","",0)</f>
        <v/>
      </c>
    </row>
    <row r="278">
      <c r="A278" s="23">
        <f>IFERROR(INDEX($R$9:$R$809,ROW()-8),"")</f>
        <v/>
      </c>
      <c r="B278">
        <f>IFERROR(INDEX($S$9:$S$809,ROW()-8),"")</f>
        <v/>
      </c>
      <c r="C278">
        <f>IFERROR(INDEX($W$9:$W$809,ROW()-8),"")</f>
        <v/>
      </c>
      <c r="D278" s="26">
        <f>IF(COUNT(B277:B278)=2,LN(B278/B277),"")</f>
        <v/>
      </c>
      <c r="E278" s="27">
        <f>IF(COUNT(C277:C278)=2,(C278-C277)*100,"")</f>
        <v/>
      </c>
      <c r="F278" s="28">
        <f>IF(ROW()-8&lt;CorrWindow,"",IFERROR(CORREL(INDEX($D$9:$D$809,ROW()-8-CorrWindow+1):D278,INDEX($E$9:$E$809,ROW()-8-CorrWindow+1):E278),""))</f>
        <v/>
      </c>
      <c r="G278">
        <f>IF(A278="","",0)</f>
        <v/>
      </c>
    </row>
    <row r="279">
      <c r="A279" s="23">
        <f>IFERROR(INDEX($R$9:$R$809,ROW()-8),"")</f>
        <v/>
      </c>
      <c r="B279">
        <f>IFERROR(INDEX($S$9:$S$809,ROW()-8),"")</f>
        <v/>
      </c>
      <c r="C279">
        <f>IFERROR(INDEX($W$9:$W$809,ROW()-8),"")</f>
        <v/>
      </c>
      <c r="D279" s="26">
        <f>IF(COUNT(B278:B279)=2,LN(B279/B278),"")</f>
        <v/>
      </c>
      <c r="E279" s="27">
        <f>IF(COUNT(C278:C279)=2,(C279-C278)*100,"")</f>
        <v/>
      </c>
      <c r="F279" s="28">
        <f>IF(ROW()-8&lt;CorrWindow,"",IFERROR(CORREL(INDEX($D$9:$D$809,ROW()-8-CorrWindow+1):D279,INDEX($E$9:$E$809,ROW()-8-CorrWindow+1):E279),""))</f>
        <v/>
      </c>
      <c r="G279">
        <f>IF(A279="","",0)</f>
        <v/>
      </c>
    </row>
    <row r="280">
      <c r="A280" s="23">
        <f>IFERROR(INDEX($R$9:$R$809,ROW()-8),"")</f>
        <v/>
      </c>
      <c r="B280">
        <f>IFERROR(INDEX($S$9:$S$809,ROW()-8),"")</f>
        <v/>
      </c>
      <c r="C280">
        <f>IFERROR(INDEX($W$9:$W$809,ROW()-8),"")</f>
        <v/>
      </c>
      <c r="D280" s="26">
        <f>IF(COUNT(B279:B280)=2,LN(B280/B279),"")</f>
        <v/>
      </c>
      <c r="E280" s="27">
        <f>IF(COUNT(C279:C280)=2,(C280-C279)*100,"")</f>
        <v/>
      </c>
      <c r="F280" s="28">
        <f>IF(ROW()-8&lt;CorrWindow,"",IFERROR(CORREL(INDEX($D$9:$D$809,ROW()-8-CorrWindow+1):D280,INDEX($E$9:$E$809,ROW()-8-CorrWindow+1):E280),""))</f>
        <v/>
      </c>
      <c r="G280">
        <f>IF(A280="","",0)</f>
        <v/>
      </c>
    </row>
    <row r="281">
      <c r="A281" s="23">
        <f>IFERROR(INDEX($R$9:$R$809,ROW()-8),"")</f>
        <v/>
      </c>
      <c r="B281">
        <f>IFERROR(INDEX($S$9:$S$809,ROW()-8),"")</f>
        <v/>
      </c>
      <c r="C281">
        <f>IFERROR(INDEX($W$9:$W$809,ROW()-8),"")</f>
        <v/>
      </c>
      <c r="D281" s="26">
        <f>IF(COUNT(B280:B281)=2,LN(B281/B280),"")</f>
        <v/>
      </c>
      <c r="E281" s="27">
        <f>IF(COUNT(C280:C281)=2,(C281-C280)*100,"")</f>
        <v/>
      </c>
      <c r="F281" s="28">
        <f>IF(ROW()-8&lt;CorrWindow,"",IFERROR(CORREL(INDEX($D$9:$D$809,ROW()-8-CorrWindow+1):D281,INDEX($E$9:$E$809,ROW()-8-CorrWindow+1):E281),""))</f>
        <v/>
      </c>
      <c r="G281">
        <f>IF(A281="","",0)</f>
        <v/>
      </c>
    </row>
    <row r="282">
      <c r="A282" s="23">
        <f>IFERROR(INDEX($R$9:$R$809,ROW()-8),"")</f>
        <v/>
      </c>
      <c r="B282">
        <f>IFERROR(INDEX($S$9:$S$809,ROW()-8),"")</f>
        <v/>
      </c>
      <c r="C282">
        <f>IFERROR(INDEX($W$9:$W$809,ROW()-8),"")</f>
        <v/>
      </c>
      <c r="D282" s="26">
        <f>IF(COUNT(B281:B282)=2,LN(B282/B281),"")</f>
        <v/>
      </c>
      <c r="E282" s="27">
        <f>IF(COUNT(C281:C282)=2,(C282-C281)*100,"")</f>
        <v/>
      </c>
      <c r="F282" s="28">
        <f>IF(ROW()-8&lt;CorrWindow,"",IFERROR(CORREL(INDEX($D$9:$D$809,ROW()-8-CorrWindow+1):D282,INDEX($E$9:$E$809,ROW()-8-CorrWindow+1):E282),""))</f>
        <v/>
      </c>
      <c r="G282">
        <f>IF(A282="","",0)</f>
        <v/>
      </c>
    </row>
    <row r="283">
      <c r="A283" s="23">
        <f>IFERROR(INDEX($R$9:$R$809,ROW()-8),"")</f>
        <v/>
      </c>
      <c r="B283">
        <f>IFERROR(INDEX($S$9:$S$809,ROW()-8),"")</f>
        <v/>
      </c>
      <c r="C283">
        <f>IFERROR(INDEX($W$9:$W$809,ROW()-8),"")</f>
        <v/>
      </c>
      <c r="D283" s="26">
        <f>IF(COUNT(B282:B283)=2,LN(B283/B282),"")</f>
        <v/>
      </c>
      <c r="E283" s="27">
        <f>IF(COUNT(C282:C283)=2,(C283-C282)*100,"")</f>
        <v/>
      </c>
      <c r="F283" s="28">
        <f>IF(ROW()-8&lt;CorrWindow,"",IFERROR(CORREL(INDEX($D$9:$D$809,ROW()-8-CorrWindow+1):D283,INDEX($E$9:$E$809,ROW()-8-CorrWindow+1):E283),""))</f>
        <v/>
      </c>
      <c r="G283">
        <f>IF(A283="","",0)</f>
        <v/>
      </c>
    </row>
    <row r="284">
      <c r="A284" s="23">
        <f>IFERROR(INDEX($R$9:$R$809,ROW()-8),"")</f>
        <v/>
      </c>
      <c r="B284">
        <f>IFERROR(INDEX($S$9:$S$809,ROW()-8),"")</f>
        <v/>
      </c>
      <c r="C284">
        <f>IFERROR(INDEX($W$9:$W$809,ROW()-8),"")</f>
        <v/>
      </c>
      <c r="D284" s="26">
        <f>IF(COUNT(B283:B284)=2,LN(B284/B283),"")</f>
        <v/>
      </c>
      <c r="E284" s="27">
        <f>IF(COUNT(C283:C284)=2,(C284-C283)*100,"")</f>
        <v/>
      </c>
      <c r="F284" s="28">
        <f>IF(ROW()-8&lt;CorrWindow,"",IFERROR(CORREL(INDEX($D$9:$D$809,ROW()-8-CorrWindow+1):D284,INDEX($E$9:$E$809,ROW()-8-CorrWindow+1):E284),""))</f>
        <v/>
      </c>
      <c r="G284">
        <f>IF(A284="","",0)</f>
        <v/>
      </c>
    </row>
    <row r="285">
      <c r="A285" s="23">
        <f>IFERROR(INDEX($R$9:$R$809,ROW()-8),"")</f>
        <v/>
      </c>
      <c r="B285">
        <f>IFERROR(INDEX($S$9:$S$809,ROW()-8),"")</f>
        <v/>
      </c>
      <c r="C285">
        <f>IFERROR(INDEX($W$9:$W$809,ROW()-8),"")</f>
        <v/>
      </c>
      <c r="D285" s="26">
        <f>IF(COUNT(B284:B285)=2,LN(B285/B284),"")</f>
        <v/>
      </c>
      <c r="E285" s="27">
        <f>IF(COUNT(C284:C285)=2,(C285-C284)*100,"")</f>
        <v/>
      </c>
      <c r="F285" s="28">
        <f>IF(ROW()-8&lt;CorrWindow,"",IFERROR(CORREL(INDEX($D$9:$D$809,ROW()-8-CorrWindow+1):D285,INDEX($E$9:$E$809,ROW()-8-CorrWindow+1):E285),""))</f>
        <v/>
      </c>
      <c r="G285">
        <f>IF(A285="","",0)</f>
        <v/>
      </c>
    </row>
    <row r="286">
      <c r="A286" s="23">
        <f>IFERROR(INDEX($R$9:$R$809,ROW()-8),"")</f>
        <v/>
      </c>
      <c r="B286">
        <f>IFERROR(INDEX($S$9:$S$809,ROW()-8),"")</f>
        <v/>
      </c>
      <c r="C286">
        <f>IFERROR(INDEX($W$9:$W$809,ROW()-8),"")</f>
        <v/>
      </c>
      <c r="D286" s="26">
        <f>IF(COUNT(B285:B286)=2,LN(B286/B285),"")</f>
        <v/>
      </c>
      <c r="E286" s="27">
        <f>IF(COUNT(C285:C286)=2,(C286-C285)*100,"")</f>
        <v/>
      </c>
      <c r="F286" s="28">
        <f>IF(ROW()-8&lt;CorrWindow,"",IFERROR(CORREL(INDEX($D$9:$D$809,ROW()-8-CorrWindow+1):D286,INDEX($E$9:$E$809,ROW()-8-CorrWindow+1):E286),""))</f>
        <v/>
      </c>
      <c r="G286">
        <f>IF(A286="","",0)</f>
        <v/>
      </c>
    </row>
    <row r="287">
      <c r="A287" s="23">
        <f>IFERROR(INDEX($R$9:$R$809,ROW()-8),"")</f>
        <v/>
      </c>
      <c r="B287">
        <f>IFERROR(INDEX($S$9:$S$809,ROW()-8),"")</f>
        <v/>
      </c>
      <c r="C287">
        <f>IFERROR(INDEX($W$9:$W$809,ROW()-8),"")</f>
        <v/>
      </c>
      <c r="D287" s="26">
        <f>IF(COUNT(B286:B287)=2,LN(B287/B286),"")</f>
        <v/>
      </c>
      <c r="E287" s="27">
        <f>IF(COUNT(C286:C287)=2,(C287-C286)*100,"")</f>
        <v/>
      </c>
      <c r="F287" s="28">
        <f>IF(ROW()-8&lt;CorrWindow,"",IFERROR(CORREL(INDEX($D$9:$D$809,ROW()-8-CorrWindow+1):D287,INDEX($E$9:$E$809,ROW()-8-CorrWindow+1):E287),""))</f>
        <v/>
      </c>
      <c r="G287">
        <f>IF(A287="","",0)</f>
        <v/>
      </c>
    </row>
    <row r="288">
      <c r="A288" s="23">
        <f>IFERROR(INDEX($R$9:$R$809,ROW()-8),"")</f>
        <v/>
      </c>
      <c r="B288">
        <f>IFERROR(INDEX($S$9:$S$809,ROW()-8),"")</f>
        <v/>
      </c>
      <c r="C288">
        <f>IFERROR(INDEX($W$9:$W$809,ROW()-8),"")</f>
        <v/>
      </c>
      <c r="D288" s="26">
        <f>IF(COUNT(B287:B288)=2,LN(B288/B287),"")</f>
        <v/>
      </c>
      <c r="E288" s="27">
        <f>IF(COUNT(C287:C288)=2,(C288-C287)*100,"")</f>
        <v/>
      </c>
      <c r="F288" s="28">
        <f>IF(ROW()-8&lt;CorrWindow,"",IFERROR(CORREL(INDEX($D$9:$D$809,ROW()-8-CorrWindow+1):D288,INDEX($E$9:$E$809,ROW()-8-CorrWindow+1):E288),""))</f>
        <v/>
      </c>
      <c r="G288">
        <f>IF(A288="","",0)</f>
        <v/>
      </c>
    </row>
    <row r="289">
      <c r="A289" s="23">
        <f>IFERROR(INDEX($R$9:$R$809,ROW()-8),"")</f>
        <v/>
      </c>
      <c r="B289">
        <f>IFERROR(INDEX($S$9:$S$809,ROW()-8),"")</f>
        <v/>
      </c>
      <c r="C289">
        <f>IFERROR(INDEX($W$9:$W$809,ROW()-8),"")</f>
        <v/>
      </c>
      <c r="D289" s="26">
        <f>IF(COUNT(B288:B289)=2,LN(B289/B288),"")</f>
        <v/>
      </c>
      <c r="E289" s="27">
        <f>IF(COUNT(C288:C289)=2,(C289-C288)*100,"")</f>
        <v/>
      </c>
      <c r="F289" s="28">
        <f>IF(ROW()-8&lt;CorrWindow,"",IFERROR(CORREL(INDEX($D$9:$D$809,ROW()-8-CorrWindow+1):D289,INDEX($E$9:$E$809,ROW()-8-CorrWindow+1):E289),""))</f>
        <v/>
      </c>
      <c r="G289">
        <f>IF(A289="","",0)</f>
        <v/>
      </c>
    </row>
    <row r="290">
      <c r="A290" s="23">
        <f>IFERROR(INDEX($R$9:$R$809,ROW()-8),"")</f>
        <v/>
      </c>
      <c r="B290">
        <f>IFERROR(INDEX($S$9:$S$809,ROW()-8),"")</f>
        <v/>
      </c>
      <c r="C290">
        <f>IFERROR(INDEX($W$9:$W$809,ROW()-8),"")</f>
        <v/>
      </c>
      <c r="D290" s="26">
        <f>IF(COUNT(B289:B290)=2,LN(B290/B289),"")</f>
        <v/>
      </c>
      <c r="E290" s="27">
        <f>IF(COUNT(C289:C290)=2,(C290-C289)*100,"")</f>
        <v/>
      </c>
      <c r="F290" s="28">
        <f>IF(ROW()-8&lt;CorrWindow,"",IFERROR(CORREL(INDEX($D$9:$D$809,ROW()-8-CorrWindow+1):D290,INDEX($E$9:$E$809,ROW()-8-CorrWindow+1):E290),""))</f>
        <v/>
      </c>
      <c r="G290">
        <f>IF(A290="","",0)</f>
        <v/>
      </c>
    </row>
    <row r="291">
      <c r="A291" s="23">
        <f>IFERROR(INDEX($R$9:$R$809,ROW()-8),"")</f>
        <v/>
      </c>
      <c r="B291">
        <f>IFERROR(INDEX($S$9:$S$809,ROW()-8),"")</f>
        <v/>
      </c>
      <c r="C291">
        <f>IFERROR(INDEX($W$9:$W$809,ROW()-8),"")</f>
        <v/>
      </c>
      <c r="D291" s="26">
        <f>IF(COUNT(B290:B291)=2,LN(B291/B290),"")</f>
        <v/>
      </c>
      <c r="E291" s="27">
        <f>IF(COUNT(C290:C291)=2,(C291-C290)*100,"")</f>
        <v/>
      </c>
      <c r="F291" s="28">
        <f>IF(ROW()-8&lt;CorrWindow,"",IFERROR(CORREL(INDEX($D$9:$D$809,ROW()-8-CorrWindow+1):D291,INDEX($E$9:$E$809,ROW()-8-CorrWindow+1):E291),""))</f>
        <v/>
      </c>
      <c r="G291">
        <f>IF(A291="","",0)</f>
        <v/>
      </c>
    </row>
    <row r="292">
      <c r="A292" s="23">
        <f>IFERROR(INDEX($R$9:$R$809,ROW()-8),"")</f>
        <v/>
      </c>
      <c r="B292">
        <f>IFERROR(INDEX($S$9:$S$809,ROW()-8),"")</f>
        <v/>
      </c>
      <c r="C292">
        <f>IFERROR(INDEX($W$9:$W$809,ROW()-8),"")</f>
        <v/>
      </c>
      <c r="D292" s="26">
        <f>IF(COUNT(B291:B292)=2,LN(B292/B291),"")</f>
        <v/>
      </c>
      <c r="E292" s="27">
        <f>IF(COUNT(C291:C292)=2,(C292-C291)*100,"")</f>
        <v/>
      </c>
      <c r="F292" s="28">
        <f>IF(ROW()-8&lt;CorrWindow,"",IFERROR(CORREL(INDEX($D$9:$D$809,ROW()-8-CorrWindow+1):D292,INDEX($E$9:$E$809,ROW()-8-CorrWindow+1):E292),""))</f>
        <v/>
      </c>
      <c r="G292">
        <f>IF(A292="","",0)</f>
        <v/>
      </c>
    </row>
    <row r="293">
      <c r="A293" s="23">
        <f>IFERROR(INDEX($R$9:$R$809,ROW()-8),"")</f>
        <v/>
      </c>
      <c r="B293">
        <f>IFERROR(INDEX($S$9:$S$809,ROW()-8),"")</f>
        <v/>
      </c>
      <c r="C293">
        <f>IFERROR(INDEX($W$9:$W$809,ROW()-8),"")</f>
        <v/>
      </c>
      <c r="D293" s="26">
        <f>IF(COUNT(B292:B293)=2,LN(B293/B292),"")</f>
        <v/>
      </c>
      <c r="E293" s="27">
        <f>IF(COUNT(C292:C293)=2,(C293-C292)*100,"")</f>
        <v/>
      </c>
      <c r="F293" s="28">
        <f>IF(ROW()-8&lt;CorrWindow,"",IFERROR(CORREL(INDEX($D$9:$D$809,ROW()-8-CorrWindow+1):D293,INDEX($E$9:$E$809,ROW()-8-CorrWindow+1):E293),""))</f>
        <v/>
      </c>
      <c r="G293">
        <f>IF(A293="","",0)</f>
        <v/>
      </c>
    </row>
    <row r="294">
      <c r="A294" s="23">
        <f>IFERROR(INDEX($R$9:$R$809,ROW()-8),"")</f>
        <v/>
      </c>
      <c r="B294">
        <f>IFERROR(INDEX($S$9:$S$809,ROW()-8),"")</f>
        <v/>
      </c>
      <c r="C294">
        <f>IFERROR(INDEX($W$9:$W$809,ROW()-8),"")</f>
        <v/>
      </c>
      <c r="D294" s="26">
        <f>IF(COUNT(B293:B294)=2,LN(B294/B293),"")</f>
        <v/>
      </c>
      <c r="E294" s="27">
        <f>IF(COUNT(C293:C294)=2,(C294-C293)*100,"")</f>
        <v/>
      </c>
      <c r="F294" s="28">
        <f>IF(ROW()-8&lt;CorrWindow,"",IFERROR(CORREL(INDEX($D$9:$D$809,ROW()-8-CorrWindow+1):D294,INDEX($E$9:$E$809,ROW()-8-CorrWindow+1):E294),""))</f>
        <v/>
      </c>
      <c r="G294">
        <f>IF(A294="","",0)</f>
        <v/>
      </c>
    </row>
    <row r="295">
      <c r="A295" s="23">
        <f>IFERROR(INDEX($R$9:$R$809,ROW()-8),"")</f>
        <v/>
      </c>
      <c r="B295">
        <f>IFERROR(INDEX($S$9:$S$809,ROW()-8),"")</f>
        <v/>
      </c>
      <c r="C295">
        <f>IFERROR(INDEX($W$9:$W$809,ROW()-8),"")</f>
        <v/>
      </c>
      <c r="D295" s="26">
        <f>IF(COUNT(B294:B295)=2,LN(B295/B294),"")</f>
        <v/>
      </c>
      <c r="E295" s="27">
        <f>IF(COUNT(C294:C295)=2,(C295-C294)*100,"")</f>
        <v/>
      </c>
      <c r="F295" s="28">
        <f>IF(ROW()-8&lt;CorrWindow,"",IFERROR(CORREL(INDEX($D$9:$D$809,ROW()-8-CorrWindow+1):D295,INDEX($E$9:$E$809,ROW()-8-CorrWindow+1):E295),""))</f>
        <v/>
      </c>
      <c r="G295">
        <f>IF(A295="","",0)</f>
        <v/>
      </c>
    </row>
    <row r="296">
      <c r="A296" s="23">
        <f>IFERROR(INDEX($R$9:$R$809,ROW()-8),"")</f>
        <v/>
      </c>
      <c r="B296">
        <f>IFERROR(INDEX($S$9:$S$809,ROW()-8),"")</f>
        <v/>
      </c>
      <c r="C296">
        <f>IFERROR(INDEX($W$9:$W$809,ROW()-8),"")</f>
        <v/>
      </c>
      <c r="D296" s="26">
        <f>IF(COUNT(B295:B296)=2,LN(B296/B295),"")</f>
        <v/>
      </c>
      <c r="E296" s="27">
        <f>IF(COUNT(C295:C296)=2,(C296-C295)*100,"")</f>
        <v/>
      </c>
      <c r="F296" s="28">
        <f>IF(ROW()-8&lt;CorrWindow,"",IFERROR(CORREL(INDEX($D$9:$D$809,ROW()-8-CorrWindow+1):D296,INDEX($E$9:$E$809,ROW()-8-CorrWindow+1):E296),""))</f>
        <v/>
      </c>
      <c r="G296">
        <f>IF(A296="","",0)</f>
        <v/>
      </c>
    </row>
    <row r="297">
      <c r="A297" s="23">
        <f>IFERROR(INDEX($R$9:$R$809,ROW()-8),"")</f>
        <v/>
      </c>
      <c r="B297">
        <f>IFERROR(INDEX($S$9:$S$809,ROW()-8),"")</f>
        <v/>
      </c>
      <c r="C297">
        <f>IFERROR(INDEX($W$9:$W$809,ROW()-8),"")</f>
        <v/>
      </c>
      <c r="D297" s="26">
        <f>IF(COUNT(B296:B297)=2,LN(B297/B296),"")</f>
        <v/>
      </c>
      <c r="E297" s="27">
        <f>IF(COUNT(C296:C297)=2,(C297-C296)*100,"")</f>
        <v/>
      </c>
      <c r="F297" s="28">
        <f>IF(ROW()-8&lt;CorrWindow,"",IFERROR(CORREL(INDEX($D$9:$D$809,ROW()-8-CorrWindow+1):D297,INDEX($E$9:$E$809,ROW()-8-CorrWindow+1):E297),""))</f>
        <v/>
      </c>
      <c r="G297">
        <f>IF(A297="","",0)</f>
        <v/>
      </c>
    </row>
    <row r="298">
      <c r="A298" s="23">
        <f>IFERROR(INDEX($R$9:$R$809,ROW()-8),"")</f>
        <v/>
      </c>
      <c r="B298">
        <f>IFERROR(INDEX($S$9:$S$809,ROW()-8),"")</f>
        <v/>
      </c>
      <c r="C298">
        <f>IFERROR(INDEX($W$9:$W$809,ROW()-8),"")</f>
        <v/>
      </c>
      <c r="D298" s="26">
        <f>IF(COUNT(B297:B298)=2,LN(B298/B297),"")</f>
        <v/>
      </c>
      <c r="E298" s="27">
        <f>IF(COUNT(C297:C298)=2,(C298-C297)*100,"")</f>
        <v/>
      </c>
      <c r="F298" s="28">
        <f>IF(ROW()-8&lt;CorrWindow,"",IFERROR(CORREL(INDEX($D$9:$D$809,ROW()-8-CorrWindow+1):D298,INDEX($E$9:$E$809,ROW()-8-CorrWindow+1):E298),""))</f>
        <v/>
      </c>
      <c r="G298">
        <f>IF(A298="","",0)</f>
        <v/>
      </c>
    </row>
    <row r="299">
      <c r="A299" s="23">
        <f>IFERROR(INDEX($R$9:$R$809,ROW()-8),"")</f>
        <v/>
      </c>
      <c r="B299">
        <f>IFERROR(INDEX($S$9:$S$809,ROW()-8),"")</f>
        <v/>
      </c>
      <c r="C299">
        <f>IFERROR(INDEX($W$9:$W$809,ROW()-8),"")</f>
        <v/>
      </c>
      <c r="D299" s="26">
        <f>IF(COUNT(B298:B299)=2,LN(B299/B298),"")</f>
        <v/>
      </c>
      <c r="E299" s="27">
        <f>IF(COUNT(C298:C299)=2,(C299-C298)*100,"")</f>
        <v/>
      </c>
      <c r="F299" s="28">
        <f>IF(ROW()-8&lt;CorrWindow,"",IFERROR(CORREL(INDEX($D$9:$D$809,ROW()-8-CorrWindow+1):D299,INDEX($E$9:$E$809,ROW()-8-CorrWindow+1):E299),""))</f>
        <v/>
      </c>
      <c r="G299">
        <f>IF(A299="","",0)</f>
        <v/>
      </c>
    </row>
    <row r="300">
      <c r="A300" s="23">
        <f>IFERROR(INDEX($R$9:$R$809,ROW()-8),"")</f>
        <v/>
      </c>
      <c r="B300">
        <f>IFERROR(INDEX($S$9:$S$809,ROW()-8),"")</f>
        <v/>
      </c>
      <c r="C300">
        <f>IFERROR(INDEX($W$9:$W$809,ROW()-8),"")</f>
        <v/>
      </c>
      <c r="D300" s="26">
        <f>IF(COUNT(B299:B300)=2,LN(B300/B299),"")</f>
        <v/>
      </c>
      <c r="E300" s="27">
        <f>IF(COUNT(C299:C300)=2,(C300-C299)*100,"")</f>
        <v/>
      </c>
      <c r="F300" s="28">
        <f>IF(ROW()-8&lt;CorrWindow,"",IFERROR(CORREL(INDEX($D$9:$D$809,ROW()-8-CorrWindow+1):D300,INDEX($E$9:$E$809,ROW()-8-CorrWindow+1):E300),""))</f>
        <v/>
      </c>
      <c r="G300">
        <f>IF(A300="","",0)</f>
        <v/>
      </c>
    </row>
    <row r="301">
      <c r="A301" s="23">
        <f>IFERROR(INDEX($R$9:$R$809,ROW()-8),"")</f>
        <v/>
      </c>
      <c r="B301">
        <f>IFERROR(INDEX($S$9:$S$809,ROW()-8),"")</f>
        <v/>
      </c>
      <c r="C301">
        <f>IFERROR(INDEX($W$9:$W$809,ROW()-8),"")</f>
        <v/>
      </c>
      <c r="D301" s="26">
        <f>IF(COUNT(B300:B301)=2,LN(B301/B300),"")</f>
        <v/>
      </c>
      <c r="E301" s="27">
        <f>IF(COUNT(C300:C301)=2,(C301-C300)*100,"")</f>
        <v/>
      </c>
      <c r="F301" s="28">
        <f>IF(ROW()-8&lt;CorrWindow,"",IFERROR(CORREL(INDEX($D$9:$D$809,ROW()-8-CorrWindow+1):D301,INDEX($E$9:$E$809,ROW()-8-CorrWindow+1):E301),""))</f>
        <v/>
      </c>
      <c r="G301">
        <f>IF(A301="","",0)</f>
        <v/>
      </c>
    </row>
    <row r="302">
      <c r="A302" s="23">
        <f>IFERROR(INDEX($R$9:$R$809,ROW()-8),"")</f>
        <v/>
      </c>
      <c r="B302">
        <f>IFERROR(INDEX($S$9:$S$809,ROW()-8),"")</f>
        <v/>
      </c>
      <c r="C302">
        <f>IFERROR(INDEX($W$9:$W$809,ROW()-8),"")</f>
        <v/>
      </c>
      <c r="D302" s="26">
        <f>IF(COUNT(B301:B302)=2,LN(B302/B301),"")</f>
        <v/>
      </c>
      <c r="E302" s="27">
        <f>IF(COUNT(C301:C302)=2,(C302-C301)*100,"")</f>
        <v/>
      </c>
      <c r="F302" s="28">
        <f>IF(ROW()-8&lt;CorrWindow,"",IFERROR(CORREL(INDEX($D$9:$D$809,ROW()-8-CorrWindow+1):D302,INDEX($E$9:$E$809,ROW()-8-CorrWindow+1):E302),""))</f>
        <v/>
      </c>
      <c r="G302">
        <f>IF(A302="","",0)</f>
        <v/>
      </c>
    </row>
    <row r="303">
      <c r="A303" s="23">
        <f>IFERROR(INDEX($R$9:$R$809,ROW()-8),"")</f>
        <v/>
      </c>
      <c r="B303">
        <f>IFERROR(INDEX($S$9:$S$809,ROW()-8),"")</f>
        <v/>
      </c>
      <c r="C303">
        <f>IFERROR(INDEX($W$9:$W$809,ROW()-8),"")</f>
        <v/>
      </c>
      <c r="D303" s="26">
        <f>IF(COUNT(B302:B303)=2,LN(B303/B302),"")</f>
        <v/>
      </c>
      <c r="E303" s="27">
        <f>IF(COUNT(C302:C303)=2,(C303-C302)*100,"")</f>
        <v/>
      </c>
      <c r="F303" s="28">
        <f>IF(ROW()-8&lt;CorrWindow,"",IFERROR(CORREL(INDEX($D$9:$D$809,ROW()-8-CorrWindow+1):D303,INDEX($E$9:$E$809,ROW()-8-CorrWindow+1):E303),""))</f>
        <v/>
      </c>
      <c r="G303">
        <f>IF(A303="","",0)</f>
        <v/>
      </c>
    </row>
    <row r="304">
      <c r="A304" s="23">
        <f>IFERROR(INDEX($R$9:$R$809,ROW()-8),"")</f>
        <v/>
      </c>
      <c r="B304">
        <f>IFERROR(INDEX($S$9:$S$809,ROW()-8),"")</f>
        <v/>
      </c>
      <c r="C304">
        <f>IFERROR(INDEX($W$9:$W$809,ROW()-8),"")</f>
        <v/>
      </c>
      <c r="D304" s="26">
        <f>IF(COUNT(B303:B304)=2,LN(B304/B303),"")</f>
        <v/>
      </c>
      <c r="E304" s="27">
        <f>IF(COUNT(C303:C304)=2,(C304-C303)*100,"")</f>
        <v/>
      </c>
      <c r="F304" s="28">
        <f>IF(ROW()-8&lt;CorrWindow,"",IFERROR(CORREL(INDEX($D$9:$D$809,ROW()-8-CorrWindow+1):D304,INDEX($E$9:$E$809,ROW()-8-CorrWindow+1):E304),""))</f>
        <v/>
      </c>
      <c r="G304">
        <f>IF(A304="","",0)</f>
        <v/>
      </c>
    </row>
    <row r="305">
      <c r="A305" s="23">
        <f>IFERROR(INDEX($R$9:$R$809,ROW()-8),"")</f>
        <v/>
      </c>
      <c r="B305">
        <f>IFERROR(INDEX($S$9:$S$809,ROW()-8),"")</f>
        <v/>
      </c>
      <c r="C305">
        <f>IFERROR(INDEX($W$9:$W$809,ROW()-8),"")</f>
        <v/>
      </c>
      <c r="D305" s="26">
        <f>IF(COUNT(B304:B305)=2,LN(B305/B304),"")</f>
        <v/>
      </c>
      <c r="E305" s="27">
        <f>IF(COUNT(C304:C305)=2,(C305-C304)*100,"")</f>
        <v/>
      </c>
      <c r="F305" s="28">
        <f>IF(ROW()-8&lt;CorrWindow,"",IFERROR(CORREL(INDEX($D$9:$D$809,ROW()-8-CorrWindow+1):D305,INDEX($E$9:$E$809,ROW()-8-CorrWindow+1):E305),""))</f>
        <v/>
      </c>
      <c r="G305">
        <f>IF(A305="","",0)</f>
        <v/>
      </c>
    </row>
    <row r="306">
      <c r="A306" s="23">
        <f>IFERROR(INDEX($R$9:$R$809,ROW()-8),"")</f>
        <v/>
      </c>
      <c r="B306">
        <f>IFERROR(INDEX($S$9:$S$809,ROW()-8),"")</f>
        <v/>
      </c>
      <c r="C306">
        <f>IFERROR(INDEX($W$9:$W$809,ROW()-8),"")</f>
        <v/>
      </c>
      <c r="D306" s="26">
        <f>IF(COUNT(B305:B306)=2,LN(B306/B305),"")</f>
        <v/>
      </c>
      <c r="E306" s="27">
        <f>IF(COUNT(C305:C306)=2,(C306-C305)*100,"")</f>
        <v/>
      </c>
      <c r="F306" s="28">
        <f>IF(ROW()-8&lt;CorrWindow,"",IFERROR(CORREL(INDEX($D$9:$D$809,ROW()-8-CorrWindow+1):D306,INDEX($E$9:$E$809,ROW()-8-CorrWindow+1):E306),""))</f>
        <v/>
      </c>
      <c r="G306">
        <f>IF(A306="","",0)</f>
        <v/>
      </c>
    </row>
    <row r="307">
      <c r="A307" s="23">
        <f>IFERROR(INDEX($R$9:$R$809,ROW()-8),"")</f>
        <v/>
      </c>
      <c r="B307">
        <f>IFERROR(INDEX($S$9:$S$809,ROW()-8),"")</f>
        <v/>
      </c>
      <c r="C307">
        <f>IFERROR(INDEX($W$9:$W$809,ROW()-8),"")</f>
        <v/>
      </c>
      <c r="D307" s="26">
        <f>IF(COUNT(B306:B307)=2,LN(B307/B306),"")</f>
        <v/>
      </c>
      <c r="E307" s="27">
        <f>IF(COUNT(C306:C307)=2,(C307-C306)*100,"")</f>
        <v/>
      </c>
      <c r="F307" s="28">
        <f>IF(ROW()-8&lt;CorrWindow,"",IFERROR(CORREL(INDEX($D$9:$D$809,ROW()-8-CorrWindow+1):D307,INDEX($E$9:$E$809,ROW()-8-CorrWindow+1):E307),""))</f>
        <v/>
      </c>
      <c r="G307">
        <f>IF(A307="","",0)</f>
        <v/>
      </c>
    </row>
    <row r="308">
      <c r="A308" s="23">
        <f>IFERROR(INDEX($R$9:$R$809,ROW()-8),"")</f>
        <v/>
      </c>
      <c r="B308">
        <f>IFERROR(INDEX($S$9:$S$809,ROW()-8),"")</f>
        <v/>
      </c>
      <c r="C308">
        <f>IFERROR(INDEX($W$9:$W$809,ROW()-8),"")</f>
        <v/>
      </c>
      <c r="D308" s="26">
        <f>IF(COUNT(B307:B308)=2,LN(B308/B307),"")</f>
        <v/>
      </c>
      <c r="E308" s="27">
        <f>IF(COUNT(C307:C308)=2,(C308-C307)*100,"")</f>
        <v/>
      </c>
      <c r="F308" s="28">
        <f>IF(ROW()-8&lt;CorrWindow,"",IFERROR(CORREL(INDEX($D$9:$D$809,ROW()-8-CorrWindow+1):D308,INDEX($E$9:$E$809,ROW()-8-CorrWindow+1):E308),""))</f>
        <v/>
      </c>
      <c r="G308">
        <f>IF(A308="","",0)</f>
        <v/>
      </c>
    </row>
    <row r="309">
      <c r="A309" s="23">
        <f>IFERROR(INDEX($R$9:$R$809,ROW()-8),"")</f>
        <v/>
      </c>
      <c r="B309">
        <f>IFERROR(INDEX($S$9:$S$809,ROW()-8),"")</f>
        <v/>
      </c>
      <c r="C309">
        <f>IFERROR(INDEX($W$9:$W$809,ROW()-8),"")</f>
        <v/>
      </c>
      <c r="D309" s="26">
        <f>IF(COUNT(B308:B309)=2,LN(B309/B308),"")</f>
        <v/>
      </c>
      <c r="E309" s="27">
        <f>IF(COUNT(C308:C309)=2,(C309-C308)*100,"")</f>
        <v/>
      </c>
      <c r="F309" s="28">
        <f>IF(ROW()-8&lt;CorrWindow,"",IFERROR(CORREL(INDEX($D$9:$D$809,ROW()-8-CorrWindow+1):D309,INDEX($E$9:$E$809,ROW()-8-CorrWindow+1):E309),""))</f>
        <v/>
      </c>
      <c r="G309">
        <f>IF(A309="","",0)</f>
        <v/>
      </c>
    </row>
    <row r="310">
      <c r="A310" s="23">
        <f>IFERROR(INDEX($R$9:$R$809,ROW()-8),"")</f>
        <v/>
      </c>
      <c r="B310">
        <f>IFERROR(INDEX($S$9:$S$809,ROW()-8),"")</f>
        <v/>
      </c>
      <c r="C310">
        <f>IFERROR(INDEX($W$9:$W$809,ROW()-8),"")</f>
        <v/>
      </c>
      <c r="D310" s="26">
        <f>IF(COUNT(B309:B310)=2,LN(B310/B309),"")</f>
        <v/>
      </c>
      <c r="E310" s="27">
        <f>IF(COUNT(C309:C310)=2,(C310-C309)*100,"")</f>
        <v/>
      </c>
      <c r="F310" s="28">
        <f>IF(ROW()-8&lt;CorrWindow,"",IFERROR(CORREL(INDEX($D$9:$D$809,ROW()-8-CorrWindow+1):D310,INDEX($E$9:$E$809,ROW()-8-CorrWindow+1):E310),""))</f>
        <v/>
      </c>
      <c r="G310">
        <f>IF(A310="","",0)</f>
        <v/>
      </c>
    </row>
    <row r="311">
      <c r="A311" s="23">
        <f>IFERROR(INDEX($R$9:$R$809,ROW()-8),"")</f>
        <v/>
      </c>
      <c r="B311">
        <f>IFERROR(INDEX($S$9:$S$809,ROW()-8),"")</f>
        <v/>
      </c>
      <c r="C311">
        <f>IFERROR(INDEX($W$9:$W$809,ROW()-8),"")</f>
        <v/>
      </c>
      <c r="D311" s="26">
        <f>IF(COUNT(B310:B311)=2,LN(B311/B310),"")</f>
        <v/>
      </c>
      <c r="E311" s="27">
        <f>IF(COUNT(C310:C311)=2,(C311-C310)*100,"")</f>
        <v/>
      </c>
      <c r="F311" s="28">
        <f>IF(ROW()-8&lt;CorrWindow,"",IFERROR(CORREL(INDEX($D$9:$D$809,ROW()-8-CorrWindow+1):D311,INDEX($E$9:$E$809,ROW()-8-CorrWindow+1):E311),""))</f>
        <v/>
      </c>
      <c r="G311">
        <f>IF(A311="","",0)</f>
        <v/>
      </c>
    </row>
    <row r="312">
      <c r="A312" s="23">
        <f>IFERROR(INDEX($R$9:$R$809,ROW()-8),"")</f>
        <v/>
      </c>
      <c r="B312">
        <f>IFERROR(INDEX($S$9:$S$809,ROW()-8),"")</f>
        <v/>
      </c>
      <c r="C312">
        <f>IFERROR(INDEX($W$9:$W$809,ROW()-8),"")</f>
        <v/>
      </c>
      <c r="D312" s="26">
        <f>IF(COUNT(B311:B312)=2,LN(B312/B311),"")</f>
        <v/>
      </c>
      <c r="E312" s="27">
        <f>IF(COUNT(C311:C312)=2,(C312-C311)*100,"")</f>
        <v/>
      </c>
      <c r="F312" s="28">
        <f>IF(ROW()-8&lt;CorrWindow,"",IFERROR(CORREL(INDEX($D$9:$D$809,ROW()-8-CorrWindow+1):D312,INDEX($E$9:$E$809,ROW()-8-CorrWindow+1):E312),""))</f>
        <v/>
      </c>
      <c r="G312">
        <f>IF(A312="","",0)</f>
        <v/>
      </c>
    </row>
    <row r="313">
      <c r="A313" s="23">
        <f>IFERROR(INDEX($R$9:$R$809,ROW()-8),"")</f>
        <v/>
      </c>
      <c r="B313">
        <f>IFERROR(INDEX($S$9:$S$809,ROW()-8),"")</f>
        <v/>
      </c>
      <c r="C313">
        <f>IFERROR(INDEX($W$9:$W$809,ROW()-8),"")</f>
        <v/>
      </c>
      <c r="D313" s="26">
        <f>IF(COUNT(B312:B313)=2,LN(B313/B312),"")</f>
        <v/>
      </c>
      <c r="E313" s="27">
        <f>IF(COUNT(C312:C313)=2,(C313-C312)*100,"")</f>
        <v/>
      </c>
      <c r="F313" s="28">
        <f>IF(ROW()-8&lt;CorrWindow,"",IFERROR(CORREL(INDEX($D$9:$D$809,ROW()-8-CorrWindow+1):D313,INDEX($E$9:$E$809,ROW()-8-CorrWindow+1):E313),""))</f>
        <v/>
      </c>
      <c r="G313">
        <f>IF(A313="","",0)</f>
        <v/>
      </c>
    </row>
    <row r="314">
      <c r="A314" s="23">
        <f>IFERROR(INDEX($R$9:$R$809,ROW()-8),"")</f>
        <v/>
      </c>
      <c r="B314">
        <f>IFERROR(INDEX($S$9:$S$809,ROW()-8),"")</f>
        <v/>
      </c>
      <c r="C314">
        <f>IFERROR(INDEX($W$9:$W$809,ROW()-8),"")</f>
        <v/>
      </c>
      <c r="D314" s="26">
        <f>IF(COUNT(B313:B314)=2,LN(B314/B313),"")</f>
        <v/>
      </c>
      <c r="E314" s="27">
        <f>IF(COUNT(C313:C314)=2,(C314-C313)*100,"")</f>
        <v/>
      </c>
      <c r="F314" s="28">
        <f>IF(ROW()-8&lt;CorrWindow,"",IFERROR(CORREL(INDEX($D$9:$D$809,ROW()-8-CorrWindow+1):D314,INDEX($E$9:$E$809,ROW()-8-CorrWindow+1):E314),""))</f>
        <v/>
      </c>
      <c r="G314">
        <f>IF(A314="","",0)</f>
        <v/>
      </c>
    </row>
    <row r="315">
      <c r="A315" s="23">
        <f>IFERROR(INDEX($R$9:$R$809,ROW()-8),"")</f>
        <v/>
      </c>
      <c r="B315">
        <f>IFERROR(INDEX($S$9:$S$809,ROW()-8),"")</f>
        <v/>
      </c>
      <c r="C315">
        <f>IFERROR(INDEX($W$9:$W$809,ROW()-8),"")</f>
        <v/>
      </c>
      <c r="D315" s="26">
        <f>IF(COUNT(B314:B315)=2,LN(B315/B314),"")</f>
        <v/>
      </c>
      <c r="E315" s="27">
        <f>IF(COUNT(C314:C315)=2,(C315-C314)*100,"")</f>
        <v/>
      </c>
      <c r="F315" s="28">
        <f>IF(ROW()-8&lt;CorrWindow,"",IFERROR(CORREL(INDEX($D$9:$D$809,ROW()-8-CorrWindow+1):D315,INDEX($E$9:$E$809,ROW()-8-CorrWindow+1):E315),""))</f>
        <v/>
      </c>
      <c r="G315">
        <f>IF(A315="","",0)</f>
        <v/>
      </c>
    </row>
    <row r="316">
      <c r="A316" s="23">
        <f>IFERROR(INDEX($R$9:$R$809,ROW()-8),"")</f>
        <v/>
      </c>
      <c r="B316">
        <f>IFERROR(INDEX($S$9:$S$809,ROW()-8),"")</f>
        <v/>
      </c>
      <c r="C316">
        <f>IFERROR(INDEX($W$9:$W$809,ROW()-8),"")</f>
        <v/>
      </c>
      <c r="D316" s="26">
        <f>IF(COUNT(B315:B316)=2,LN(B316/B315),"")</f>
        <v/>
      </c>
      <c r="E316" s="27">
        <f>IF(COUNT(C315:C316)=2,(C316-C315)*100,"")</f>
        <v/>
      </c>
      <c r="F316" s="28">
        <f>IF(ROW()-8&lt;CorrWindow,"",IFERROR(CORREL(INDEX($D$9:$D$809,ROW()-8-CorrWindow+1):D316,INDEX($E$9:$E$809,ROW()-8-CorrWindow+1):E316),""))</f>
        <v/>
      </c>
      <c r="G316">
        <f>IF(A316="","",0)</f>
        <v/>
      </c>
    </row>
    <row r="317">
      <c r="A317" s="23">
        <f>IFERROR(INDEX($R$9:$R$809,ROW()-8),"")</f>
        <v/>
      </c>
      <c r="B317">
        <f>IFERROR(INDEX($S$9:$S$809,ROW()-8),"")</f>
        <v/>
      </c>
      <c r="C317">
        <f>IFERROR(INDEX($W$9:$W$809,ROW()-8),"")</f>
        <v/>
      </c>
      <c r="D317" s="26">
        <f>IF(COUNT(B316:B317)=2,LN(B317/B316),"")</f>
        <v/>
      </c>
      <c r="E317" s="27">
        <f>IF(COUNT(C316:C317)=2,(C317-C316)*100,"")</f>
        <v/>
      </c>
      <c r="F317" s="28">
        <f>IF(ROW()-8&lt;CorrWindow,"",IFERROR(CORREL(INDEX($D$9:$D$809,ROW()-8-CorrWindow+1):D317,INDEX($E$9:$E$809,ROW()-8-CorrWindow+1):E317),""))</f>
        <v/>
      </c>
      <c r="G317">
        <f>IF(A317="","",0)</f>
        <v/>
      </c>
    </row>
    <row r="318">
      <c r="A318" s="23">
        <f>IFERROR(INDEX($R$9:$R$809,ROW()-8),"")</f>
        <v/>
      </c>
      <c r="B318">
        <f>IFERROR(INDEX($S$9:$S$809,ROW()-8),"")</f>
        <v/>
      </c>
      <c r="C318">
        <f>IFERROR(INDEX($W$9:$W$809,ROW()-8),"")</f>
        <v/>
      </c>
      <c r="D318" s="26">
        <f>IF(COUNT(B317:B318)=2,LN(B318/B317),"")</f>
        <v/>
      </c>
      <c r="E318" s="27">
        <f>IF(COUNT(C317:C318)=2,(C318-C317)*100,"")</f>
        <v/>
      </c>
      <c r="F318" s="28">
        <f>IF(ROW()-8&lt;CorrWindow,"",IFERROR(CORREL(INDEX($D$9:$D$809,ROW()-8-CorrWindow+1):D318,INDEX($E$9:$E$809,ROW()-8-CorrWindow+1):E318),""))</f>
        <v/>
      </c>
      <c r="G318">
        <f>IF(A318="","",0)</f>
        <v/>
      </c>
    </row>
    <row r="319">
      <c r="A319" s="23">
        <f>IFERROR(INDEX($R$9:$R$809,ROW()-8),"")</f>
        <v/>
      </c>
      <c r="B319">
        <f>IFERROR(INDEX($S$9:$S$809,ROW()-8),"")</f>
        <v/>
      </c>
      <c r="C319">
        <f>IFERROR(INDEX($W$9:$W$809,ROW()-8),"")</f>
        <v/>
      </c>
      <c r="D319" s="26">
        <f>IF(COUNT(B318:B319)=2,LN(B319/B318),"")</f>
        <v/>
      </c>
      <c r="E319" s="27">
        <f>IF(COUNT(C318:C319)=2,(C319-C318)*100,"")</f>
        <v/>
      </c>
      <c r="F319" s="28">
        <f>IF(ROW()-8&lt;CorrWindow,"",IFERROR(CORREL(INDEX($D$9:$D$809,ROW()-8-CorrWindow+1):D319,INDEX($E$9:$E$809,ROW()-8-CorrWindow+1):E319),""))</f>
        <v/>
      </c>
      <c r="G319">
        <f>IF(A319="","",0)</f>
        <v/>
      </c>
    </row>
    <row r="320">
      <c r="A320" s="23">
        <f>IFERROR(INDEX($R$9:$R$809,ROW()-8),"")</f>
        <v/>
      </c>
      <c r="B320">
        <f>IFERROR(INDEX($S$9:$S$809,ROW()-8),"")</f>
        <v/>
      </c>
      <c r="C320">
        <f>IFERROR(INDEX($W$9:$W$809,ROW()-8),"")</f>
        <v/>
      </c>
      <c r="D320" s="26">
        <f>IF(COUNT(B319:B320)=2,LN(B320/B319),"")</f>
        <v/>
      </c>
      <c r="E320" s="27">
        <f>IF(COUNT(C319:C320)=2,(C320-C319)*100,"")</f>
        <v/>
      </c>
      <c r="F320" s="28">
        <f>IF(ROW()-8&lt;CorrWindow,"",IFERROR(CORREL(INDEX($D$9:$D$809,ROW()-8-CorrWindow+1):D320,INDEX($E$9:$E$809,ROW()-8-CorrWindow+1):E320),""))</f>
        <v/>
      </c>
      <c r="G320">
        <f>IF(A320="","",0)</f>
        <v/>
      </c>
    </row>
    <row r="321">
      <c r="A321" s="23">
        <f>IFERROR(INDEX($R$9:$R$809,ROW()-8),"")</f>
        <v/>
      </c>
      <c r="B321">
        <f>IFERROR(INDEX($S$9:$S$809,ROW()-8),"")</f>
        <v/>
      </c>
      <c r="C321">
        <f>IFERROR(INDEX($W$9:$W$809,ROW()-8),"")</f>
        <v/>
      </c>
      <c r="D321" s="26">
        <f>IF(COUNT(B320:B321)=2,LN(B321/B320),"")</f>
        <v/>
      </c>
      <c r="E321" s="27">
        <f>IF(COUNT(C320:C321)=2,(C321-C320)*100,"")</f>
        <v/>
      </c>
      <c r="F321" s="28">
        <f>IF(ROW()-8&lt;CorrWindow,"",IFERROR(CORREL(INDEX($D$9:$D$809,ROW()-8-CorrWindow+1):D321,INDEX($E$9:$E$809,ROW()-8-CorrWindow+1):E321),""))</f>
        <v/>
      </c>
      <c r="G321">
        <f>IF(A321="","",0)</f>
        <v/>
      </c>
    </row>
    <row r="322">
      <c r="A322" s="23">
        <f>IFERROR(INDEX($R$9:$R$809,ROW()-8),"")</f>
        <v/>
      </c>
      <c r="B322">
        <f>IFERROR(INDEX($S$9:$S$809,ROW()-8),"")</f>
        <v/>
      </c>
      <c r="C322">
        <f>IFERROR(INDEX($W$9:$W$809,ROW()-8),"")</f>
        <v/>
      </c>
      <c r="D322" s="26">
        <f>IF(COUNT(B321:B322)=2,LN(B322/B321),"")</f>
        <v/>
      </c>
      <c r="E322" s="27">
        <f>IF(COUNT(C321:C322)=2,(C322-C321)*100,"")</f>
        <v/>
      </c>
      <c r="F322" s="28">
        <f>IF(ROW()-8&lt;CorrWindow,"",IFERROR(CORREL(INDEX($D$9:$D$809,ROW()-8-CorrWindow+1):D322,INDEX($E$9:$E$809,ROW()-8-CorrWindow+1):E322),""))</f>
        <v/>
      </c>
      <c r="G322">
        <f>IF(A322="","",0)</f>
        <v/>
      </c>
    </row>
    <row r="323">
      <c r="A323" s="23">
        <f>IFERROR(INDEX($R$9:$R$809,ROW()-8),"")</f>
        <v/>
      </c>
      <c r="B323">
        <f>IFERROR(INDEX($S$9:$S$809,ROW()-8),"")</f>
        <v/>
      </c>
      <c r="C323">
        <f>IFERROR(INDEX($W$9:$W$809,ROW()-8),"")</f>
        <v/>
      </c>
      <c r="D323" s="26">
        <f>IF(COUNT(B322:B323)=2,LN(B323/B322),"")</f>
        <v/>
      </c>
      <c r="E323" s="27">
        <f>IF(COUNT(C322:C323)=2,(C323-C322)*100,"")</f>
        <v/>
      </c>
      <c r="F323" s="28">
        <f>IF(ROW()-8&lt;CorrWindow,"",IFERROR(CORREL(INDEX($D$9:$D$809,ROW()-8-CorrWindow+1):D323,INDEX($E$9:$E$809,ROW()-8-CorrWindow+1):E323),""))</f>
        <v/>
      </c>
      <c r="G323">
        <f>IF(A323="","",0)</f>
        <v/>
      </c>
    </row>
    <row r="324">
      <c r="A324" s="23">
        <f>IFERROR(INDEX($R$9:$R$809,ROW()-8),"")</f>
        <v/>
      </c>
      <c r="B324">
        <f>IFERROR(INDEX($S$9:$S$809,ROW()-8),"")</f>
        <v/>
      </c>
      <c r="C324">
        <f>IFERROR(INDEX($W$9:$W$809,ROW()-8),"")</f>
        <v/>
      </c>
      <c r="D324" s="26">
        <f>IF(COUNT(B323:B324)=2,LN(B324/B323),"")</f>
        <v/>
      </c>
      <c r="E324" s="27">
        <f>IF(COUNT(C323:C324)=2,(C324-C323)*100,"")</f>
        <v/>
      </c>
      <c r="F324" s="28">
        <f>IF(ROW()-8&lt;CorrWindow,"",IFERROR(CORREL(INDEX($D$9:$D$809,ROW()-8-CorrWindow+1):D324,INDEX($E$9:$E$809,ROW()-8-CorrWindow+1):E324),""))</f>
        <v/>
      </c>
      <c r="G324">
        <f>IF(A324="","",0)</f>
        <v/>
      </c>
    </row>
    <row r="325">
      <c r="A325" s="23">
        <f>IFERROR(INDEX($R$9:$R$809,ROW()-8),"")</f>
        <v/>
      </c>
      <c r="B325">
        <f>IFERROR(INDEX($S$9:$S$809,ROW()-8),"")</f>
        <v/>
      </c>
      <c r="C325">
        <f>IFERROR(INDEX($W$9:$W$809,ROW()-8),"")</f>
        <v/>
      </c>
      <c r="D325" s="26">
        <f>IF(COUNT(B324:B325)=2,LN(B325/B324),"")</f>
        <v/>
      </c>
      <c r="E325" s="27">
        <f>IF(COUNT(C324:C325)=2,(C325-C324)*100,"")</f>
        <v/>
      </c>
      <c r="F325" s="28">
        <f>IF(ROW()-8&lt;CorrWindow,"",IFERROR(CORREL(INDEX($D$9:$D$809,ROW()-8-CorrWindow+1):D325,INDEX($E$9:$E$809,ROW()-8-CorrWindow+1):E325),""))</f>
        <v/>
      </c>
      <c r="G325">
        <f>IF(A325="","",0)</f>
        <v/>
      </c>
    </row>
    <row r="326">
      <c r="A326" s="23">
        <f>IFERROR(INDEX($R$9:$R$809,ROW()-8),"")</f>
        <v/>
      </c>
      <c r="B326">
        <f>IFERROR(INDEX($S$9:$S$809,ROW()-8),"")</f>
        <v/>
      </c>
      <c r="C326">
        <f>IFERROR(INDEX($W$9:$W$809,ROW()-8),"")</f>
        <v/>
      </c>
      <c r="D326" s="26">
        <f>IF(COUNT(B325:B326)=2,LN(B326/B325),"")</f>
        <v/>
      </c>
      <c r="E326" s="27">
        <f>IF(COUNT(C325:C326)=2,(C326-C325)*100,"")</f>
        <v/>
      </c>
      <c r="F326" s="28">
        <f>IF(ROW()-8&lt;CorrWindow,"",IFERROR(CORREL(INDEX($D$9:$D$809,ROW()-8-CorrWindow+1):D326,INDEX($E$9:$E$809,ROW()-8-CorrWindow+1):E326),""))</f>
        <v/>
      </c>
      <c r="G326">
        <f>IF(A326="","",0)</f>
        <v/>
      </c>
    </row>
    <row r="327">
      <c r="A327" s="23">
        <f>IFERROR(INDEX($R$9:$R$809,ROW()-8),"")</f>
        <v/>
      </c>
      <c r="B327">
        <f>IFERROR(INDEX($S$9:$S$809,ROW()-8),"")</f>
        <v/>
      </c>
      <c r="C327">
        <f>IFERROR(INDEX($W$9:$W$809,ROW()-8),"")</f>
        <v/>
      </c>
      <c r="D327" s="26">
        <f>IF(COUNT(B326:B327)=2,LN(B327/B326),"")</f>
        <v/>
      </c>
      <c r="E327" s="27">
        <f>IF(COUNT(C326:C327)=2,(C327-C326)*100,"")</f>
        <v/>
      </c>
      <c r="F327" s="28">
        <f>IF(ROW()-8&lt;CorrWindow,"",IFERROR(CORREL(INDEX($D$9:$D$809,ROW()-8-CorrWindow+1):D327,INDEX($E$9:$E$809,ROW()-8-CorrWindow+1):E327),""))</f>
        <v/>
      </c>
      <c r="G327">
        <f>IF(A327="","",0)</f>
        <v/>
      </c>
    </row>
    <row r="328">
      <c r="A328" s="23">
        <f>IFERROR(INDEX($R$9:$R$809,ROW()-8),"")</f>
        <v/>
      </c>
      <c r="B328">
        <f>IFERROR(INDEX($S$9:$S$809,ROW()-8),"")</f>
        <v/>
      </c>
      <c r="C328">
        <f>IFERROR(INDEX($W$9:$W$809,ROW()-8),"")</f>
        <v/>
      </c>
      <c r="D328" s="26">
        <f>IF(COUNT(B327:B328)=2,LN(B328/B327),"")</f>
        <v/>
      </c>
      <c r="E328" s="27">
        <f>IF(COUNT(C327:C328)=2,(C328-C327)*100,"")</f>
        <v/>
      </c>
      <c r="F328" s="28">
        <f>IF(ROW()-8&lt;CorrWindow,"",IFERROR(CORREL(INDEX($D$9:$D$809,ROW()-8-CorrWindow+1):D328,INDEX($E$9:$E$809,ROW()-8-CorrWindow+1):E328),""))</f>
        <v/>
      </c>
      <c r="G328">
        <f>IF(A328="","",0)</f>
        <v/>
      </c>
    </row>
    <row r="329">
      <c r="A329" s="23">
        <f>IFERROR(INDEX($R$9:$R$809,ROW()-8),"")</f>
        <v/>
      </c>
      <c r="B329">
        <f>IFERROR(INDEX($S$9:$S$809,ROW()-8),"")</f>
        <v/>
      </c>
      <c r="C329">
        <f>IFERROR(INDEX($W$9:$W$809,ROW()-8),"")</f>
        <v/>
      </c>
      <c r="D329" s="26">
        <f>IF(COUNT(B328:B329)=2,LN(B329/B328),"")</f>
        <v/>
      </c>
      <c r="E329" s="27">
        <f>IF(COUNT(C328:C329)=2,(C329-C328)*100,"")</f>
        <v/>
      </c>
      <c r="F329" s="28">
        <f>IF(ROW()-8&lt;CorrWindow,"",IFERROR(CORREL(INDEX($D$9:$D$809,ROW()-8-CorrWindow+1):D329,INDEX($E$9:$E$809,ROW()-8-CorrWindow+1):E329),""))</f>
        <v/>
      </c>
      <c r="G329">
        <f>IF(A329="","",0)</f>
        <v/>
      </c>
    </row>
    <row r="330">
      <c r="A330" s="23">
        <f>IFERROR(INDEX($R$9:$R$809,ROW()-8),"")</f>
        <v/>
      </c>
      <c r="B330">
        <f>IFERROR(INDEX($S$9:$S$809,ROW()-8),"")</f>
        <v/>
      </c>
      <c r="C330">
        <f>IFERROR(INDEX($W$9:$W$809,ROW()-8),"")</f>
        <v/>
      </c>
      <c r="D330" s="26">
        <f>IF(COUNT(B329:B330)=2,LN(B330/B329),"")</f>
        <v/>
      </c>
      <c r="E330" s="27">
        <f>IF(COUNT(C329:C330)=2,(C330-C329)*100,"")</f>
        <v/>
      </c>
      <c r="F330" s="28">
        <f>IF(ROW()-8&lt;CorrWindow,"",IFERROR(CORREL(INDEX($D$9:$D$809,ROW()-8-CorrWindow+1):D330,INDEX($E$9:$E$809,ROW()-8-CorrWindow+1):E330),""))</f>
        <v/>
      </c>
      <c r="G330">
        <f>IF(A330="","",0)</f>
        <v/>
      </c>
    </row>
    <row r="331">
      <c r="A331" s="23">
        <f>IFERROR(INDEX($R$9:$R$809,ROW()-8),"")</f>
        <v/>
      </c>
      <c r="B331">
        <f>IFERROR(INDEX($S$9:$S$809,ROW()-8),"")</f>
        <v/>
      </c>
      <c r="C331">
        <f>IFERROR(INDEX($W$9:$W$809,ROW()-8),"")</f>
        <v/>
      </c>
      <c r="D331" s="26">
        <f>IF(COUNT(B330:B331)=2,LN(B331/B330),"")</f>
        <v/>
      </c>
      <c r="E331" s="27">
        <f>IF(COUNT(C330:C331)=2,(C331-C330)*100,"")</f>
        <v/>
      </c>
      <c r="F331" s="28">
        <f>IF(ROW()-8&lt;CorrWindow,"",IFERROR(CORREL(INDEX($D$9:$D$809,ROW()-8-CorrWindow+1):D331,INDEX($E$9:$E$809,ROW()-8-CorrWindow+1):E331),""))</f>
        <v/>
      </c>
      <c r="G331">
        <f>IF(A331="","",0)</f>
        <v/>
      </c>
    </row>
    <row r="332">
      <c r="A332" s="23">
        <f>IFERROR(INDEX($R$9:$R$809,ROW()-8),"")</f>
        <v/>
      </c>
      <c r="B332">
        <f>IFERROR(INDEX($S$9:$S$809,ROW()-8),"")</f>
        <v/>
      </c>
      <c r="C332">
        <f>IFERROR(INDEX($W$9:$W$809,ROW()-8),"")</f>
        <v/>
      </c>
      <c r="D332" s="26">
        <f>IF(COUNT(B331:B332)=2,LN(B332/B331),"")</f>
        <v/>
      </c>
      <c r="E332" s="27">
        <f>IF(COUNT(C331:C332)=2,(C332-C331)*100,"")</f>
        <v/>
      </c>
      <c r="F332" s="28">
        <f>IF(ROW()-8&lt;CorrWindow,"",IFERROR(CORREL(INDEX($D$9:$D$809,ROW()-8-CorrWindow+1):D332,INDEX($E$9:$E$809,ROW()-8-CorrWindow+1):E332),""))</f>
        <v/>
      </c>
      <c r="G332">
        <f>IF(A332="","",0)</f>
        <v/>
      </c>
    </row>
    <row r="333">
      <c r="A333" s="23">
        <f>IFERROR(INDEX($R$9:$R$809,ROW()-8),"")</f>
        <v/>
      </c>
      <c r="B333">
        <f>IFERROR(INDEX($S$9:$S$809,ROW()-8),"")</f>
        <v/>
      </c>
      <c r="C333">
        <f>IFERROR(INDEX($W$9:$W$809,ROW()-8),"")</f>
        <v/>
      </c>
      <c r="D333" s="26">
        <f>IF(COUNT(B332:B333)=2,LN(B333/B332),"")</f>
        <v/>
      </c>
      <c r="E333" s="27">
        <f>IF(COUNT(C332:C333)=2,(C333-C332)*100,"")</f>
        <v/>
      </c>
      <c r="F333" s="28">
        <f>IF(ROW()-8&lt;CorrWindow,"",IFERROR(CORREL(INDEX($D$9:$D$809,ROW()-8-CorrWindow+1):D333,INDEX($E$9:$E$809,ROW()-8-CorrWindow+1):E333),""))</f>
        <v/>
      </c>
      <c r="G333">
        <f>IF(A333="","",0)</f>
        <v/>
      </c>
    </row>
    <row r="334">
      <c r="A334" s="23">
        <f>IFERROR(INDEX($R$9:$R$809,ROW()-8),"")</f>
        <v/>
      </c>
      <c r="B334">
        <f>IFERROR(INDEX($S$9:$S$809,ROW()-8),"")</f>
        <v/>
      </c>
      <c r="C334">
        <f>IFERROR(INDEX($W$9:$W$809,ROW()-8),"")</f>
        <v/>
      </c>
      <c r="D334" s="26">
        <f>IF(COUNT(B333:B334)=2,LN(B334/B333),"")</f>
        <v/>
      </c>
      <c r="E334" s="27">
        <f>IF(COUNT(C333:C334)=2,(C334-C333)*100,"")</f>
        <v/>
      </c>
      <c r="F334" s="28">
        <f>IF(ROW()-8&lt;CorrWindow,"",IFERROR(CORREL(INDEX($D$9:$D$809,ROW()-8-CorrWindow+1):D334,INDEX($E$9:$E$809,ROW()-8-CorrWindow+1):E334),""))</f>
        <v/>
      </c>
      <c r="G334">
        <f>IF(A334="","",0)</f>
        <v/>
      </c>
    </row>
    <row r="335">
      <c r="A335" s="23">
        <f>IFERROR(INDEX($R$9:$R$809,ROW()-8),"")</f>
        <v/>
      </c>
      <c r="B335">
        <f>IFERROR(INDEX($S$9:$S$809,ROW()-8),"")</f>
        <v/>
      </c>
      <c r="C335">
        <f>IFERROR(INDEX($W$9:$W$809,ROW()-8),"")</f>
        <v/>
      </c>
      <c r="D335" s="26">
        <f>IF(COUNT(B334:B335)=2,LN(B335/B334),"")</f>
        <v/>
      </c>
      <c r="E335" s="27">
        <f>IF(COUNT(C334:C335)=2,(C335-C334)*100,"")</f>
        <v/>
      </c>
      <c r="F335" s="28">
        <f>IF(ROW()-8&lt;CorrWindow,"",IFERROR(CORREL(INDEX($D$9:$D$809,ROW()-8-CorrWindow+1):D335,INDEX($E$9:$E$809,ROW()-8-CorrWindow+1):E335),""))</f>
        <v/>
      </c>
      <c r="G335">
        <f>IF(A335="","",0)</f>
        <v/>
      </c>
    </row>
    <row r="336">
      <c r="A336" s="23">
        <f>IFERROR(INDEX($R$9:$R$809,ROW()-8),"")</f>
        <v/>
      </c>
      <c r="B336">
        <f>IFERROR(INDEX($S$9:$S$809,ROW()-8),"")</f>
        <v/>
      </c>
      <c r="C336">
        <f>IFERROR(INDEX($W$9:$W$809,ROW()-8),"")</f>
        <v/>
      </c>
      <c r="D336" s="26">
        <f>IF(COUNT(B335:B336)=2,LN(B336/B335),"")</f>
        <v/>
      </c>
      <c r="E336" s="27">
        <f>IF(COUNT(C335:C336)=2,(C336-C335)*100,"")</f>
        <v/>
      </c>
      <c r="F336" s="28">
        <f>IF(ROW()-8&lt;CorrWindow,"",IFERROR(CORREL(INDEX($D$9:$D$809,ROW()-8-CorrWindow+1):D336,INDEX($E$9:$E$809,ROW()-8-CorrWindow+1):E336),""))</f>
        <v/>
      </c>
      <c r="G336">
        <f>IF(A336="","",0)</f>
        <v/>
      </c>
    </row>
    <row r="337">
      <c r="A337" s="23">
        <f>IFERROR(INDEX($R$9:$R$809,ROW()-8),"")</f>
        <v/>
      </c>
      <c r="B337">
        <f>IFERROR(INDEX($S$9:$S$809,ROW()-8),"")</f>
        <v/>
      </c>
      <c r="C337">
        <f>IFERROR(INDEX($W$9:$W$809,ROW()-8),"")</f>
        <v/>
      </c>
      <c r="D337" s="26">
        <f>IF(COUNT(B336:B337)=2,LN(B337/B336),"")</f>
        <v/>
      </c>
      <c r="E337" s="27">
        <f>IF(COUNT(C336:C337)=2,(C337-C336)*100,"")</f>
        <v/>
      </c>
      <c r="F337" s="28">
        <f>IF(ROW()-8&lt;CorrWindow,"",IFERROR(CORREL(INDEX($D$9:$D$809,ROW()-8-CorrWindow+1):D337,INDEX($E$9:$E$809,ROW()-8-CorrWindow+1):E337),""))</f>
        <v/>
      </c>
      <c r="G337">
        <f>IF(A337="","",0)</f>
        <v/>
      </c>
    </row>
    <row r="338">
      <c r="A338" s="23">
        <f>IFERROR(INDEX($R$9:$R$809,ROW()-8),"")</f>
        <v/>
      </c>
      <c r="B338">
        <f>IFERROR(INDEX($S$9:$S$809,ROW()-8),"")</f>
        <v/>
      </c>
      <c r="C338">
        <f>IFERROR(INDEX($W$9:$W$809,ROW()-8),"")</f>
        <v/>
      </c>
      <c r="D338" s="26">
        <f>IF(COUNT(B337:B338)=2,LN(B338/B337),"")</f>
        <v/>
      </c>
      <c r="E338" s="27">
        <f>IF(COUNT(C337:C338)=2,(C338-C337)*100,"")</f>
        <v/>
      </c>
      <c r="F338" s="28">
        <f>IF(ROW()-8&lt;CorrWindow,"",IFERROR(CORREL(INDEX($D$9:$D$809,ROW()-8-CorrWindow+1):D338,INDEX($E$9:$E$809,ROW()-8-CorrWindow+1):E338),""))</f>
        <v/>
      </c>
      <c r="G338">
        <f>IF(A338="","",0)</f>
        <v/>
      </c>
    </row>
    <row r="339">
      <c r="A339" s="23">
        <f>IFERROR(INDEX($R$9:$R$809,ROW()-8),"")</f>
        <v/>
      </c>
      <c r="B339">
        <f>IFERROR(INDEX($S$9:$S$809,ROW()-8),"")</f>
        <v/>
      </c>
      <c r="C339">
        <f>IFERROR(INDEX($W$9:$W$809,ROW()-8),"")</f>
        <v/>
      </c>
      <c r="D339" s="26">
        <f>IF(COUNT(B338:B339)=2,LN(B339/B338),"")</f>
        <v/>
      </c>
      <c r="E339" s="27">
        <f>IF(COUNT(C338:C339)=2,(C339-C338)*100,"")</f>
        <v/>
      </c>
      <c r="F339" s="28">
        <f>IF(ROW()-8&lt;CorrWindow,"",IFERROR(CORREL(INDEX($D$9:$D$809,ROW()-8-CorrWindow+1):D339,INDEX($E$9:$E$809,ROW()-8-CorrWindow+1):E339),""))</f>
        <v/>
      </c>
      <c r="G339">
        <f>IF(A339="","",0)</f>
        <v/>
      </c>
    </row>
    <row r="340">
      <c r="A340" s="23">
        <f>IFERROR(INDEX($R$9:$R$809,ROW()-8),"")</f>
        <v/>
      </c>
      <c r="B340">
        <f>IFERROR(INDEX($S$9:$S$809,ROW()-8),"")</f>
        <v/>
      </c>
      <c r="C340">
        <f>IFERROR(INDEX($W$9:$W$809,ROW()-8),"")</f>
        <v/>
      </c>
      <c r="D340" s="26">
        <f>IF(COUNT(B339:B340)=2,LN(B340/B339),"")</f>
        <v/>
      </c>
      <c r="E340" s="27">
        <f>IF(COUNT(C339:C340)=2,(C340-C339)*100,"")</f>
        <v/>
      </c>
      <c r="F340" s="28">
        <f>IF(ROW()-8&lt;CorrWindow,"",IFERROR(CORREL(INDEX($D$9:$D$809,ROW()-8-CorrWindow+1):D340,INDEX($E$9:$E$809,ROW()-8-CorrWindow+1):E340),""))</f>
        <v/>
      </c>
      <c r="G340">
        <f>IF(A340="","",0)</f>
        <v/>
      </c>
    </row>
    <row r="341">
      <c r="A341" s="23">
        <f>IFERROR(INDEX($R$9:$R$809,ROW()-8),"")</f>
        <v/>
      </c>
      <c r="B341">
        <f>IFERROR(INDEX($S$9:$S$809,ROW()-8),"")</f>
        <v/>
      </c>
      <c r="C341">
        <f>IFERROR(INDEX($W$9:$W$809,ROW()-8),"")</f>
        <v/>
      </c>
      <c r="D341" s="26">
        <f>IF(COUNT(B340:B341)=2,LN(B341/B340),"")</f>
        <v/>
      </c>
      <c r="E341" s="27">
        <f>IF(COUNT(C340:C341)=2,(C341-C340)*100,"")</f>
        <v/>
      </c>
      <c r="F341" s="28">
        <f>IF(ROW()-8&lt;CorrWindow,"",IFERROR(CORREL(INDEX($D$9:$D$809,ROW()-8-CorrWindow+1):D341,INDEX($E$9:$E$809,ROW()-8-CorrWindow+1):E341),""))</f>
        <v/>
      </c>
      <c r="G341">
        <f>IF(A341="","",0)</f>
        <v/>
      </c>
    </row>
    <row r="342">
      <c r="A342" s="23">
        <f>IFERROR(INDEX($R$9:$R$809,ROW()-8),"")</f>
        <v/>
      </c>
      <c r="B342">
        <f>IFERROR(INDEX($S$9:$S$809,ROW()-8),"")</f>
        <v/>
      </c>
      <c r="C342">
        <f>IFERROR(INDEX($W$9:$W$809,ROW()-8),"")</f>
        <v/>
      </c>
      <c r="D342" s="26">
        <f>IF(COUNT(B341:B342)=2,LN(B342/B341),"")</f>
        <v/>
      </c>
      <c r="E342" s="27">
        <f>IF(COUNT(C341:C342)=2,(C342-C341)*100,"")</f>
        <v/>
      </c>
      <c r="F342" s="28">
        <f>IF(ROW()-8&lt;CorrWindow,"",IFERROR(CORREL(INDEX($D$9:$D$809,ROW()-8-CorrWindow+1):D342,INDEX($E$9:$E$809,ROW()-8-CorrWindow+1):E342),""))</f>
        <v/>
      </c>
      <c r="G342">
        <f>IF(A342="","",0)</f>
        <v/>
      </c>
    </row>
    <row r="343">
      <c r="A343" s="23">
        <f>IFERROR(INDEX($R$9:$R$809,ROW()-8),"")</f>
        <v/>
      </c>
      <c r="B343">
        <f>IFERROR(INDEX($S$9:$S$809,ROW()-8),"")</f>
        <v/>
      </c>
      <c r="C343">
        <f>IFERROR(INDEX($W$9:$W$809,ROW()-8),"")</f>
        <v/>
      </c>
      <c r="D343" s="26">
        <f>IF(COUNT(B342:B343)=2,LN(B343/B342),"")</f>
        <v/>
      </c>
      <c r="E343" s="27">
        <f>IF(COUNT(C342:C343)=2,(C343-C342)*100,"")</f>
        <v/>
      </c>
      <c r="F343" s="28">
        <f>IF(ROW()-8&lt;CorrWindow,"",IFERROR(CORREL(INDEX($D$9:$D$809,ROW()-8-CorrWindow+1):D343,INDEX($E$9:$E$809,ROW()-8-CorrWindow+1):E343),""))</f>
        <v/>
      </c>
      <c r="G343">
        <f>IF(A343="","",0)</f>
        <v/>
      </c>
    </row>
    <row r="344">
      <c r="A344" s="23">
        <f>IFERROR(INDEX($R$9:$R$809,ROW()-8),"")</f>
        <v/>
      </c>
      <c r="B344">
        <f>IFERROR(INDEX($S$9:$S$809,ROW()-8),"")</f>
        <v/>
      </c>
      <c r="C344">
        <f>IFERROR(INDEX($W$9:$W$809,ROW()-8),"")</f>
        <v/>
      </c>
      <c r="D344" s="26">
        <f>IF(COUNT(B343:B344)=2,LN(B344/B343),"")</f>
        <v/>
      </c>
      <c r="E344" s="27">
        <f>IF(COUNT(C343:C344)=2,(C344-C343)*100,"")</f>
        <v/>
      </c>
      <c r="F344" s="28">
        <f>IF(ROW()-8&lt;CorrWindow,"",IFERROR(CORREL(INDEX($D$9:$D$809,ROW()-8-CorrWindow+1):D344,INDEX($E$9:$E$809,ROW()-8-CorrWindow+1):E344),""))</f>
        <v/>
      </c>
      <c r="G344">
        <f>IF(A344="","",0)</f>
        <v/>
      </c>
    </row>
    <row r="345">
      <c r="A345" s="23">
        <f>IFERROR(INDEX($R$9:$R$809,ROW()-8),"")</f>
        <v/>
      </c>
      <c r="B345">
        <f>IFERROR(INDEX($S$9:$S$809,ROW()-8),"")</f>
        <v/>
      </c>
      <c r="C345">
        <f>IFERROR(INDEX($W$9:$W$809,ROW()-8),"")</f>
        <v/>
      </c>
      <c r="D345" s="26">
        <f>IF(COUNT(B344:B345)=2,LN(B345/B344),"")</f>
        <v/>
      </c>
      <c r="E345" s="27">
        <f>IF(COUNT(C344:C345)=2,(C345-C344)*100,"")</f>
        <v/>
      </c>
      <c r="F345" s="28">
        <f>IF(ROW()-8&lt;CorrWindow,"",IFERROR(CORREL(INDEX($D$9:$D$809,ROW()-8-CorrWindow+1):D345,INDEX($E$9:$E$809,ROW()-8-CorrWindow+1):E345),""))</f>
        <v/>
      </c>
      <c r="G345">
        <f>IF(A345="","",0)</f>
        <v/>
      </c>
    </row>
    <row r="346">
      <c r="A346" s="23">
        <f>IFERROR(INDEX($R$9:$R$809,ROW()-8),"")</f>
        <v/>
      </c>
      <c r="B346">
        <f>IFERROR(INDEX($S$9:$S$809,ROW()-8),"")</f>
        <v/>
      </c>
      <c r="C346">
        <f>IFERROR(INDEX($W$9:$W$809,ROW()-8),"")</f>
        <v/>
      </c>
      <c r="D346" s="26">
        <f>IF(COUNT(B345:B346)=2,LN(B346/B345),"")</f>
        <v/>
      </c>
      <c r="E346" s="27">
        <f>IF(COUNT(C345:C346)=2,(C346-C345)*100,"")</f>
        <v/>
      </c>
      <c r="F346" s="28">
        <f>IF(ROW()-8&lt;CorrWindow,"",IFERROR(CORREL(INDEX($D$9:$D$809,ROW()-8-CorrWindow+1):D346,INDEX($E$9:$E$809,ROW()-8-CorrWindow+1):E346),""))</f>
        <v/>
      </c>
      <c r="G346">
        <f>IF(A346="","",0)</f>
        <v/>
      </c>
    </row>
    <row r="347">
      <c r="A347" s="23">
        <f>IFERROR(INDEX($R$9:$R$809,ROW()-8),"")</f>
        <v/>
      </c>
      <c r="B347">
        <f>IFERROR(INDEX($S$9:$S$809,ROW()-8),"")</f>
        <v/>
      </c>
      <c r="C347">
        <f>IFERROR(INDEX($W$9:$W$809,ROW()-8),"")</f>
        <v/>
      </c>
      <c r="D347" s="26">
        <f>IF(COUNT(B346:B347)=2,LN(B347/B346),"")</f>
        <v/>
      </c>
      <c r="E347" s="27">
        <f>IF(COUNT(C346:C347)=2,(C347-C346)*100,"")</f>
        <v/>
      </c>
      <c r="F347" s="28">
        <f>IF(ROW()-8&lt;CorrWindow,"",IFERROR(CORREL(INDEX($D$9:$D$809,ROW()-8-CorrWindow+1):D347,INDEX($E$9:$E$809,ROW()-8-CorrWindow+1):E347),""))</f>
        <v/>
      </c>
      <c r="G347">
        <f>IF(A347="","",0)</f>
        <v/>
      </c>
    </row>
    <row r="348">
      <c r="A348" s="23">
        <f>IFERROR(INDEX($R$9:$R$809,ROW()-8),"")</f>
        <v/>
      </c>
      <c r="B348">
        <f>IFERROR(INDEX($S$9:$S$809,ROW()-8),"")</f>
        <v/>
      </c>
      <c r="C348">
        <f>IFERROR(INDEX($W$9:$W$809,ROW()-8),"")</f>
        <v/>
      </c>
      <c r="D348" s="26">
        <f>IF(COUNT(B347:B348)=2,LN(B348/B347),"")</f>
        <v/>
      </c>
      <c r="E348" s="27">
        <f>IF(COUNT(C347:C348)=2,(C348-C347)*100,"")</f>
        <v/>
      </c>
      <c r="F348" s="28">
        <f>IF(ROW()-8&lt;CorrWindow,"",IFERROR(CORREL(INDEX($D$9:$D$809,ROW()-8-CorrWindow+1):D348,INDEX($E$9:$E$809,ROW()-8-CorrWindow+1):E348),""))</f>
        <v/>
      </c>
      <c r="G348">
        <f>IF(A348="","",0)</f>
        <v/>
      </c>
    </row>
    <row r="349">
      <c r="A349" s="23">
        <f>IFERROR(INDEX($R$9:$R$809,ROW()-8),"")</f>
        <v/>
      </c>
      <c r="B349">
        <f>IFERROR(INDEX($S$9:$S$809,ROW()-8),"")</f>
        <v/>
      </c>
      <c r="C349">
        <f>IFERROR(INDEX($W$9:$W$809,ROW()-8),"")</f>
        <v/>
      </c>
      <c r="D349" s="26">
        <f>IF(COUNT(B348:B349)=2,LN(B349/B348),"")</f>
        <v/>
      </c>
      <c r="E349" s="27">
        <f>IF(COUNT(C348:C349)=2,(C349-C348)*100,"")</f>
        <v/>
      </c>
      <c r="F349" s="28">
        <f>IF(ROW()-8&lt;CorrWindow,"",IFERROR(CORREL(INDEX($D$9:$D$809,ROW()-8-CorrWindow+1):D349,INDEX($E$9:$E$809,ROW()-8-CorrWindow+1):E349),""))</f>
        <v/>
      </c>
      <c r="G349">
        <f>IF(A349="","",0)</f>
        <v/>
      </c>
    </row>
    <row r="350">
      <c r="A350" s="23">
        <f>IFERROR(INDEX($R$9:$R$809,ROW()-8),"")</f>
        <v/>
      </c>
      <c r="B350">
        <f>IFERROR(INDEX($S$9:$S$809,ROW()-8),"")</f>
        <v/>
      </c>
      <c r="C350">
        <f>IFERROR(INDEX($W$9:$W$809,ROW()-8),"")</f>
        <v/>
      </c>
      <c r="D350" s="26">
        <f>IF(COUNT(B349:B350)=2,LN(B350/B349),"")</f>
        <v/>
      </c>
      <c r="E350" s="27">
        <f>IF(COUNT(C349:C350)=2,(C350-C349)*100,"")</f>
        <v/>
      </c>
      <c r="F350" s="28">
        <f>IF(ROW()-8&lt;CorrWindow,"",IFERROR(CORREL(INDEX($D$9:$D$809,ROW()-8-CorrWindow+1):D350,INDEX($E$9:$E$809,ROW()-8-CorrWindow+1):E350),""))</f>
        <v/>
      </c>
      <c r="G350">
        <f>IF(A350="","",0)</f>
        <v/>
      </c>
    </row>
    <row r="351">
      <c r="A351" s="23">
        <f>IFERROR(INDEX($R$9:$R$809,ROW()-8),"")</f>
        <v/>
      </c>
      <c r="B351">
        <f>IFERROR(INDEX($S$9:$S$809,ROW()-8),"")</f>
        <v/>
      </c>
      <c r="C351">
        <f>IFERROR(INDEX($W$9:$W$809,ROW()-8),"")</f>
        <v/>
      </c>
      <c r="D351" s="26">
        <f>IF(COUNT(B350:B351)=2,LN(B351/B350),"")</f>
        <v/>
      </c>
      <c r="E351" s="27">
        <f>IF(COUNT(C350:C351)=2,(C351-C350)*100,"")</f>
        <v/>
      </c>
      <c r="F351" s="28">
        <f>IF(ROW()-8&lt;CorrWindow,"",IFERROR(CORREL(INDEX($D$9:$D$809,ROW()-8-CorrWindow+1):D351,INDEX($E$9:$E$809,ROW()-8-CorrWindow+1):E351),""))</f>
        <v/>
      </c>
      <c r="G351">
        <f>IF(A351="","",0)</f>
        <v/>
      </c>
    </row>
    <row r="352">
      <c r="A352" s="23">
        <f>IFERROR(INDEX($R$9:$R$809,ROW()-8),"")</f>
        <v/>
      </c>
      <c r="B352">
        <f>IFERROR(INDEX($S$9:$S$809,ROW()-8),"")</f>
        <v/>
      </c>
      <c r="C352">
        <f>IFERROR(INDEX($W$9:$W$809,ROW()-8),"")</f>
        <v/>
      </c>
      <c r="D352" s="26">
        <f>IF(COUNT(B351:B352)=2,LN(B352/B351),"")</f>
        <v/>
      </c>
      <c r="E352" s="27">
        <f>IF(COUNT(C351:C352)=2,(C352-C351)*100,"")</f>
        <v/>
      </c>
      <c r="F352" s="28">
        <f>IF(ROW()-8&lt;CorrWindow,"",IFERROR(CORREL(INDEX($D$9:$D$809,ROW()-8-CorrWindow+1):D352,INDEX($E$9:$E$809,ROW()-8-CorrWindow+1):E352),""))</f>
        <v/>
      </c>
      <c r="G352">
        <f>IF(A352="","",0)</f>
        <v/>
      </c>
    </row>
    <row r="353">
      <c r="A353" s="23">
        <f>IFERROR(INDEX($R$9:$R$809,ROW()-8),"")</f>
        <v/>
      </c>
      <c r="B353">
        <f>IFERROR(INDEX($S$9:$S$809,ROW()-8),"")</f>
        <v/>
      </c>
      <c r="C353">
        <f>IFERROR(INDEX($W$9:$W$809,ROW()-8),"")</f>
        <v/>
      </c>
      <c r="D353" s="26">
        <f>IF(COUNT(B352:B353)=2,LN(B353/B352),"")</f>
        <v/>
      </c>
      <c r="E353" s="27">
        <f>IF(COUNT(C352:C353)=2,(C353-C352)*100,"")</f>
        <v/>
      </c>
      <c r="F353" s="28">
        <f>IF(ROW()-8&lt;CorrWindow,"",IFERROR(CORREL(INDEX($D$9:$D$809,ROW()-8-CorrWindow+1):D353,INDEX($E$9:$E$809,ROW()-8-CorrWindow+1):E353),""))</f>
        <v/>
      </c>
      <c r="G353">
        <f>IF(A353="","",0)</f>
        <v/>
      </c>
    </row>
    <row r="354">
      <c r="A354" s="23">
        <f>IFERROR(INDEX($R$9:$R$809,ROW()-8),"")</f>
        <v/>
      </c>
      <c r="B354">
        <f>IFERROR(INDEX($S$9:$S$809,ROW()-8),"")</f>
        <v/>
      </c>
      <c r="C354">
        <f>IFERROR(INDEX($W$9:$W$809,ROW()-8),"")</f>
        <v/>
      </c>
      <c r="D354" s="26">
        <f>IF(COUNT(B353:B354)=2,LN(B354/B353),"")</f>
        <v/>
      </c>
      <c r="E354" s="27">
        <f>IF(COUNT(C353:C354)=2,(C354-C353)*100,"")</f>
        <v/>
      </c>
      <c r="F354" s="28">
        <f>IF(ROW()-8&lt;CorrWindow,"",IFERROR(CORREL(INDEX($D$9:$D$809,ROW()-8-CorrWindow+1):D354,INDEX($E$9:$E$809,ROW()-8-CorrWindow+1):E354),""))</f>
        <v/>
      </c>
      <c r="G354">
        <f>IF(A354="","",0)</f>
        <v/>
      </c>
    </row>
    <row r="355">
      <c r="A355" s="23">
        <f>IFERROR(INDEX($R$9:$R$809,ROW()-8),"")</f>
        <v/>
      </c>
      <c r="B355">
        <f>IFERROR(INDEX($S$9:$S$809,ROW()-8),"")</f>
        <v/>
      </c>
      <c r="C355">
        <f>IFERROR(INDEX($W$9:$W$809,ROW()-8),"")</f>
        <v/>
      </c>
      <c r="D355" s="26">
        <f>IF(COUNT(B354:B355)=2,LN(B355/B354),"")</f>
        <v/>
      </c>
      <c r="E355" s="27">
        <f>IF(COUNT(C354:C355)=2,(C355-C354)*100,"")</f>
        <v/>
      </c>
      <c r="F355" s="28">
        <f>IF(ROW()-8&lt;CorrWindow,"",IFERROR(CORREL(INDEX($D$9:$D$809,ROW()-8-CorrWindow+1):D355,INDEX($E$9:$E$809,ROW()-8-CorrWindow+1):E355),""))</f>
        <v/>
      </c>
      <c r="G355">
        <f>IF(A355="","",0)</f>
        <v/>
      </c>
    </row>
    <row r="356">
      <c r="A356" s="23">
        <f>IFERROR(INDEX($R$9:$R$809,ROW()-8),"")</f>
        <v/>
      </c>
      <c r="B356">
        <f>IFERROR(INDEX($S$9:$S$809,ROW()-8),"")</f>
        <v/>
      </c>
      <c r="C356">
        <f>IFERROR(INDEX($W$9:$W$809,ROW()-8),"")</f>
        <v/>
      </c>
      <c r="D356" s="26">
        <f>IF(COUNT(B355:B356)=2,LN(B356/B355),"")</f>
        <v/>
      </c>
      <c r="E356" s="27">
        <f>IF(COUNT(C355:C356)=2,(C356-C355)*100,"")</f>
        <v/>
      </c>
      <c r="F356" s="28">
        <f>IF(ROW()-8&lt;CorrWindow,"",IFERROR(CORREL(INDEX($D$9:$D$809,ROW()-8-CorrWindow+1):D356,INDEX($E$9:$E$809,ROW()-8-CorrWindow+1):E356),""))</f>
        <v/>
      </c>
      <c r="G356">
        <f>IF(A356="","",0)</f>
        <v/>
      </c>
    </row>
    <row r="357">
      <c r="A357" s="23">
        <f>IFERROR(INDEX($R$9:$R$809,ROW()-8),"")</f>
        <v/>
      </c>
      <c r="B357">
        <f>IFERROR(INDEX($S$9:$S$809,ROW()-8),"")</f>
        <v/>
      </c>
      <c r="C357">
        <f>IFERROR(INDEX($W$9:$W$809,ROW()-8),"")</f>
        <v/>
      </c>
      <c r="D357" s="26">
        <f>IF(COUNT(B356:B357)=2,LN(B357/B356),"")</f>
        <v/>
      </c>
      <c r="E357" s="27">
        <f>IF(COUNT(C356:C357)=2,(C357-C356)*100,"")</f>
        <v/>
      </c>
      <c r="F357" s="28">
        <f>IF(ROW()-8&lt;CorrWindow,"",IFERROR(CORREL(INDEX($D$9:$D$809,ROW()-8-CorrWindow+1):D357,INDEX($E$9:$E$809,ROW()-8-CorrWindow+1):E357),""))</f>
        <v/>
      </c>
      <c r="G357">
        <f>IF(A357="","",0)</f>
        <v/>
      </c>
    </row>
    <row r="358">
      <c r="A358" s="23">
        <f>IFERROR(INDEX($R$9:$R$809,ROW()-8),"")</f>
        <v/>
      </c>
      <c r="B358">
        <f>IFERROR(INDEX($S$9:$S$809,ROW()-8),"")</f>
        <v/>
      </c>
      <c r="C358">
        <f>IFERROR(INDEX($W$9:$W$809,ROW()-8),"")</f>
        <v/>
      </c>
      <c r="D358" s="26">
        <f>IF(COUNT(B357:B358)=2,LN(B358/B357),"")</f>
        <v/>
      </c>
      <c r="E358" s="27">
        <f>IF(COUNT(C357:C358)=2,(C358-C357)*100,"")</f>
        <v/>
      </c>
      <c r="F358" s="28">
        <f>IF(ROW()-8&lt;CorrWindow,"",IFERROR(CORREL(INDEX($D$9:$D$809,ROW()-8-CorrWindow+1):D358,INDEX($E$9:$E$809,ROW()-8-CorrWindow+1):E358),""))</f>
        <v/>
      </c>
      <c r="G358">
        <f>IF(A358="","",0)</f>
        <v/>
      </c>
    </row>
    <row r="359">
      <c r="A359" s="23">
        <f>IFERROR(INDEX($R$9:$R$809,ROW()-8),"")</f>
        <v/>
      </c>
      <c r="B359">
        <f>IFERROR(INDEX($S$9:$S$809,ROW()-8),"")</f>
        <v/>
      </c>
      <c r="C359">
        <f>IFERROR(INDEX($W$9:$W$809,ROW()-8),"")</f>
        <v/>
      </c>
      <c r="D359" s="26">
        <f>IF(COUNT(B358:B359)=2,LN(B359/B358),"")</f>
        <v/>
      </c>
      <c r="E359" s="27">
        <f>IF(COUNT(C358:C359)=2,(C359-C358)*100,"")</f>
        <v/>
      </c>
      <c r="F359" s="28">
        <f>IF(ROW()-8&lt;CorrWindow,"",IFERROR(CORREL(INDEX($D$9:$D$809,ROW()-8-CorrWindow+1):D359,INDEX($E$9:$E$809,ROW()-8-CorrWindow+1):E359),""))</f>
        <v/>
      </c>
      <c r="G359">
        <f>IF(A359="","",0)</f>
        <v/>
      </c>
    </row>
    <row r="360">
      <c r="A360" s="23">
        <f>IFERROR(INDEX($R$9:$R$809,ROW()-8),"")</f>
        <v/>
      </c>
      <c r="B360">
        <f>IFERROR(INDEX($S$9:$S$809,ROW()-8),"")</f>
        <v/>
      </c>
      <c r="C360">
        <f>IFERROR(INDEX($W$9:$W$809,ROW()-8),"")</f>
        <v/>
      </c>
      <c r="D360" s="26">
        <f>IF(COUNT(B359:B360)=2,LN(B360/B359),"")</f>
        <v/>
      </c>
      <c r="E360" s="27">
        <f>IF(COUNT(C359:C360)=2,(C360-C359)*100,"")</f>
        <v/>
      </c>
      <c r="F360" s="28">
        <f>IF(ROW()-8&lt;CorrWindow,"",IFERROR(CORREL(INDEX($D$9:$D$809,ROW()-8-CorrWindow+1):D360,INDEX($E$9:$E$809,ROW()-8-CorrWindow+1):E360),""))</f>
        <v/>
      </c>
      <c r="G360">
        <f>IF(A360="","",0)</f>
        <v/>
      </c>
    </row>
    <row r="361">
      <c r="A361" s="23">
        <f>IFERROR(INDEX($R$9:$R$809,ROW()-8),"")</f>
        <v/>
      </c>
      <c r="B361">
        <f>IFERROR(INDEX($S$9:$S$809,ROW()-8),"")</f>
        <v/>
      </c>
      <c r="C361">
        <f>IFERROR(INDEX($W$9:$W$809,ROW()-8),"")</f>
        <v/>
      </c>
      <c r="D361" s="26">
        <f>IF(COUNT(B360:B361)=2,LN(B361/B360),"")</f>
        <v/>
      </c>
      <c r="E361" s="27">
        <f>IF(COUNT(C360:C361)=2,(C361-C360)*100,"")</f>
        <v/>
      </c>
      <c r="F361" s="28">
        <f>IF(ROW()-8&lt;CorrWindow,"",IFERROR(CORREL(INDEX($D$9:$D$809,ROW()-8-CorrWindow+1):D361,INDEX($E$9:$E$809,ROW()-8-CorrWindow+1):E361),""))</f>
        <v/>
      </c>
      <c r="G361">
        <f>IF(A361="","",0)</f>
        <v/>
      </c>
    </row>
    <row r="362">
      <c r="A362" s="23">
        <f>IFERROR(INDEX($R$9:$R$809,ROW()-8),"")</f>
        <v/>
      </c>
      <c r="B362">
        <f>IFERROR(INDEX($S$9:$S$809,ROW()-8),"")</f>
        <v/>
      </c>
      <c r="C362">
        <f>IFERROR(INDEX($W$9:$W$809,ROW()-8),"")</f>
        <v/>
      </c>
      <c r="D362" s="26">
        <f>IF(COUNT(B361:B362)=2,LN(B362/B361),"")</f>
        <v/>
      </c>
      <c r="E362" s="27">
        <f>IF(COUNT(C361:C362)=2,(C362-C361)*100,"")</f>
        <v/>
      </c>
      <c r="F362" s="28">
        <f>IF(ROW()-8&lt;CorrWindow,"",IFERROR(CORREL(INDEX($D$9:$D$809,ROW()-8-CorrWindow+1):D362,INDEX($E$9:$E$809,ROW()-8-CorrWindow+1):E362),""))</f>
        <v/>
      </c>
      <c r="G362">
        <f>IF(A362="","",0)</f>
        <v/>
      </c>
    </row>
    <row r="363">
      <c r="A363" s="23">
        <f>IFERROR(INDEX($R$9:$R$809,ROW()-8),"")</f>
        <v/>
      </c>
      <c r="B363">
        <f>IFERROR(INDEX($S$9:$S$809,ROW()-8),"")</f>
        <v/>
      </c>
      <c r="C363">
        <f>IFERROR(INDEX($W$9:$W$809,ROW()-8),"")</f>
        <v/>
      </c>
      <c r="D363" s="26">
        <f>IF(COUNT(B362:B363)=2,LN(B363/B362),"")</f>
        <v/>
      </c>
      <c r="E363" s="27">
        <f>IF(COUNT(C362:C363)=2,(C363-C362)*100,"")</f>
        <v/>
      </c>
      <c r="F363" s="28">
        <f>IF(ROW()-8&lt;CorrWindow,"",IFERROR(CORREL(INDEX($D$9:$D$809,ROW()-8-CorrWindow+1):D363,INDEX($E$9:$E$809,ROW()-8-CorrWindow+1):E363),""))</f>
        <v/>
      </c>
      <c r="G363">
        <f>IF(A363="","",0)</f>
        <v/>
      </c>
    </row>
    <row r="364">
      <c r="A364" s="23">
        <f>IFERROR(INDEX($R$9:$R$809,ROW()-8),"")</f>
        <v/>
      </c>
      <c r="B364">
        <f>IFERROR(INDEX($S$9:$S$809,ROW()-8),"")</f>
        <v/>
      </c>
      <c r="C364">
        <f>IFERROR(INDEX($W$9:$W$809,ROW()-8),"")</f>
        <v/>
      </c>
      <c r="D364" s="26">
        <f>IF(COUNT(B363:B364)=2,LN(B364/B363),"")</f>
        <v/>
      </c>
      <c r="E364" s="27">
        <f>IF(COUNT(C363:C364)=2,(C364-C363)*100,"")</f>
        <v/>
      </c>
      <c r="F364" s="28">
        <f>IF(ROW()-8&lt;CorrWindow,"",IFERROR(CORREL(INDEX($D$9:$D$809,ROW()-8-CorrWindow+1):D364,INDEX($E$9:$E$809,ROW()-8-CorrWindow+1):E364),""))</f>
        <v/>
      </c>
      <c r="G364">
        <f>IF(A364="","",0)</f>
        <v/>
      </c>
    </row>
    <row r="365">
      <c r="A365" s="23">
        <f>IFERROR(INDEX($R$9:$R$809,ROW()-8),"")</f>
        <v/>
      </c>
      <c r="B365">
        <f>IFERROR(INDEX($S$9:$S$809,ROW()-8),"")</f>
        <v/>
      </c>
      <c r="C365">
        <f>IFERROR(INDEX($W$9:$W$809,ROW()-8),"")</f>
        <v/>
      </c>
      <c r="D365" s="26">
        <f>IF(COUNT(B364:B365)=2,LN(B365/B364),"")</f>
        <v/>
      </c>
      <c r="E365" s="27">
        <f>IF(COUNT(C364:C365)=2,(C365-C364)*100,"")</f>
        <v/>
      </c>
      <c r="F365" s="28">
        <f>IF(ROW()-8&lt;CorrWindow,"",IFERROR(CORREL(INDEX($D$9:$D$809,ROW()-8-CorrWindow+1):D365,INDEX($E$9:$E$809,ROW()-8-CorrWindow+1):E365),""))</f>
        <v/>
      </c>
      <c r="G365">
        <f>IF(A365="","",0)</f>
        <v/>
      </c>
    </row>
    <row r="366">
      <c r="A366" s="23">
        <f>IFERROR(INDEX($R$9:$R$809,ROW()-8),"")</f>
        <v/>
      </c>
      <c r="B366">
        <f>IFERROR(INDEX($S$9:$S$809,ROW()-8),"")</f>
        <v/>
      </c>
      <c r="C366">
        <f>IFERROR(INDEX($W$9:$W$809,ROW()-8),"")</f>
        <v/>
      </c>
      <c r="D366" s="26">
        <f>IF(COUNT(B365:B366)=2,LN(B366/B365),"")</f>
        <v/>
      </c>
      <c r="E366" s="27">
        <f>IF(COUNT(C365:C366)=2,(C366-C365)*100,"")</f>
        <v/>
      </c>
      <c r="F366" s="28">
        <f>IF(ROW()-8&lt;CorrWindow,"",IFERROR(CORREL(INDEX($D$9:$D$809,ROW()-8-CorrWindow+1):D366,INDEX($E$9:$E$809,ROW()-8-CorrWindow+1):E366),""))</f>
        <v/>
      </c>
      <c r="G366">
        <f>IF(A366="","",0)</f>
        <v/>
      </c>
    </row>
    <row r="367">
      <c r="A367" s="23">
        <f>IFERROR(INDEX($R$9:$R$809,ROW()-8),"")</f>
        <v/>
      </c>
      <c r="B367">
        <f>IFERROR(INDEX($S$9:$S$809,ROW()-8),"")</f>
        <v/>
      </c>
      <c r="C367">
        <f>IFERROR(INDEX($W$9:$W$809,ROW()-8),"")</f>
        <v/>
      </c>
      <c r="D367" s="26">
        <f>IF(COUNT(B366:B367)=2,LN(B367/B366),"")</f>
        <v/>
      </c>
      <c r="E367" s="27">
        <f>IF(COUNT(C366:C367)=2,(C367-C366)*100,"")</f>
        <v/>
      </c>
      <c r="F367" s="28">
        <f>IF(ROW()-8&lt;CorrWindow,"",IFERROR(CORREL(INDEX($D$9:$D$809,ROW()-8-CorrWindow+1):D367,INDEX($E$9:$E$809,ROW()-8-CorrWindow+1):E367),""))</f>
        <v/>
      </c>
      <c r="G367">
        <f>IF(A367="","",0)</f>
        <v/>
      </c>
    </row>
    <row r="368">
      <c r="A368" s="23">
        <f>IFERROR(INDEX($R$9:$R$809,ROW()-8),"")</f>
        <v/>
      </c>
      <c r="B368">
        <f>IFERROR(INDEX($S$9:$S$809,ROW()-8),"")</f>
        <v/>
      </c>
      <c r="C368">
        <f>IFERROR(INDEX($W$9:$W$809,ROW()-8),"")</f>
        <v/>
      </c>
      <c r="D368" s="26">
        <f>IF(COUNT(B367:B368)=2,LN(B368/B367),"")</f>
        <v/>
      </c>
      <c r="E368" s="27">
        <f>IF(COUNT(C367:C368)=2,(C368-C367)*100,"")</f>
        <v/>
      </c>
      <c r="F368" s="28">
        <f>IF(ROW()-8&lt;CorrWindow,"",IFERROR(CORREL(INDEX($D$9:$D$809,ROW()-8-CorrWindow+1):D368,INDEX($E$9:$E$809,ROW()-8-CorrWindow+1):E368),""))</f>
        <v/>
      </c>
      <c r="G368">
        <f>IF(A368="","",0)</f>
        <v/>
      </c>
    </row>
    <row r="369">
      <c r="A369" s="23">
        <f>IFERROR(INDEX($R$9:$R$809,ROW()-8),"")</f>
        <v/>
      </c>
      <c r="B369">
        <f>IFERROR(INDEX($S$9:$S$809,ROW()-8),"")</f>
        <v/>
      </c>
      <c r="C369">
        <f>IFERROR(INDEX($W$9:$W$809,ROW()-8),"")</f>
        <v/>
      </c>
      <c r="D369" s="26">
        <f>IF(COUNT(B368:B369)=2,LN(B369/B368),"")</f>
        <v/>
      </c>
      <c r="E369" s="27">
        <f>IF(COUNT(C368:C369)=2,(C369-C368)*100,"")</f>
        <v/>
      </c>
      <c r="F369" s="28">
        <f>IF(ROW()-8&lt;CorrWindow,"",IFERROR(CORREL(INDEX($D$9:$D$809,ROW()-8-CorrWindow+1):D369,INDEX($E$9:$E$809,ROW()-8-CorrWindow+1):E369),""))</f>
        <v/>
      </c>
      <c r="G369">
        <f>IF(A369="","",0)</f>
        <v/>
      </c>
    </row>
    <row r="370">
      <c r="A370" s="23">
        <f>IFERROR(INDEX($R$9:$R$809,ROW()-8),"")</f>
        <v/>
      </c>
      <c r="B370">
        <f>IFERROR(INDEX($S$9:$S$809,ROW()-8),"")</f>
        <v/>
      </c>
      <c r="C370">
        <f>IFERROR(INDEX($W$9:$W$809,ROW()-8),"")</f>
        <v/>
      </c>
      <c r="D370" s="26">
        <f>IF(COUNT(B369:B370)=2,LN(B370/B369),"")</f>
        <v/>
      </c>
      <c r="E370" s="27">
        <f>IF(COUNT(C369:C370)=2,(C370-C369)*100,"")</f>
        <v/>
      </c>
      <c r="F370" s="28">
        <f>IF(ROW()-8&lt;CorrWindow,"",IFERROR(CORREL(INDEX($D$9:$D$809,ROW()-8-CorrWindow+1):D370,INDEX($E$9:$E$809,ROW()-8-CorrWindow+1):E370),""))</f>
        <v/>
      </c>
      <c r="G370">
        <f>IF(A370="","",0)</f>
        <v/>
      </c>
    </row>
    <row r="371">
      <c r="A371" s="23">
        <f>IFERROR(INDEX($R$9:$R$809,ROW()-8),"")</f>
        <v/>
      </c>
      <c r="B371">
        <f>IFERROR(INDEX($S$9:$S$809,ROW()-8),"")</f>
        <v/>
      </c>
      <c r="C371">
        <f>IFERROR(INDEX($W$9:$W$809,ROW()-8),"")</f>
        <v/>
      </c>
      <c r="D371" s="26">
        <f>IF(COUNT(B370:B371)=2,LN(B371/B370),"")</f>
        <v/>
      </c>
      <c r="E371" s="27">
        <f>IF(COUNT(C370:C371)=2,(C371-C370)*100,"")</f>
        <v/>
      </c>
      <c r="F371" s="28">
        <f>IF(ROW()-8&lt;CorrWindow,"",IFERROR(CORREL(INDEX($D$9:$D$809,ROW()-8-CorrWindow+1):D371,INDEX($E$9:$E$809,ROW()-8-CorrWindow+1):E371),""))</f>
        <v/>
      </c>
      <c r="G371">
        <f>IF(A371="","",0)</f>
        <v/>
      </c>
    </row>
    <row r="372">
      <c r="A372" s="23">
        <f>IFERROR(INDEX($R$9:$R$809,ROW()-8),"")</f>
        <v/>
      </c>
      <c r="B372">
        <f>IFERROR(INDEX($S$9:$S$809,ROW()-8),"")</f>
        <v/>
      </c>
      <c r="C372">
        <f>IFERROR(INDEX($W$9:$W$809,ROW()-8),"")</f>
        <v/>
      </c>
      <c r="D372" s="26">
        <f>IF(COUNT(B371:B372)=2,LN(B372/B371),"")</f>
        <v/>
      </c>
      <c r="E372" s="27">
        <f>IF(COUNT(C371:C372)=2,(C372-C371)*100,"")</f>
        <v/>
      </c>
      <c r="F372" s="28">
        <f>IF(ROW()-8&lt;CorrWindow,"",IFERROR(CORREL(INDEX($D$9:$D$809,ROW()-8-CorrWindow+1):D372,INDEX($E$9:$E$809,ROW()-8-CorrWindow+1):E372),""))</f>
        <v/>
      </c>
      <c r="G372">
        <f>IF(A372="","",0)</f>
        <v/>
      </c>
    </row>
    <row r="373">
      <c r="A373" s="23">
        <f>IFERROR(INDEX($R$9:$R$809,ROW()-8),"")</f>
        <v/>
      </c>
      <c r="B373">
        <f>IFERROR(INDEX($S$9:$S$809,ROW()-8),"")</f>
        <v/>
      </c>
      <c r="C373">
        <f>IFERROR(INDEX($W$9:$W$809,ROW()-8),"")</f>
        <v/>
      </c>
      <c r="D373" s="26">
        <f>IF(COUNT(B372:B373)=2,LN(B373/B372),"")</f>
        <v/>
      </c>
      <c r="E373" s="27">
        <f>IF(COUNT(C372:C373)=2,(C373-C372)*100,"")</f>
        <v/>
      </c>
      <c r="F373" s="28">
        <f>IF(ROW()-8&lt;CorrWindow,"",IFERROR(CORREL(INDEX($D$9:$D$809,ROW()-8-CorrWindow+1):D373,INDEX($E$9:$E$809,ROW()-8-CorrWindow+1):E373),""))</f>
        <v/>
      </c>
      <c r="G373">
        <f>IF(A373="","",0)</f>
        <v/>
      </c>
    </row>
    <row r="374">
      <c r="A374" s="23">
        <f>IFERROR(INDEX($R$9:$R$809,ROW()-8),"")</f>
        <v/>
      </c>
      <c r="B374">
        <f>IFERROR(INDEX($S$9:$S$809,ROW()-8),"")</f>
        <v/>
      </c>
      <c r="C374">
        <f>IFERROR(INDEX($W$9:$W$809,ROW()-8),"")</f>
        <v/>
      </c>
      <c r="D374" s="26">
        <f>IF(COUNT(B373:B374)=2,LN(B374/B373),"")</f>
        <v/>
      </c>
      <c r="E374" s="27">
        <f>IF(COUNT(C373:C374)=2,(C374-C373)*100,"")</f>
        <v/>
      </c>
      <c r="F374" s="28">
        <f>IF(ROW()-8&lt;CorrWindow,"",IFERROR(CORREL(INDEX($D$9:$D$809,ROW()-8-CorrWindow+1):D374,INDEX($E$9:$E$809,ROW()-8-CorrWindow+1):E374),""))</f>
        <v/>
      </c>
      <c r="G374">
        <f>IF(A374="","",0)</f>
        <v/>
      </c>
    </row>
    <row r="375">
      <c r="A375" s="23">
        <f>IFERROR(INDEX($R$9:$R$809,ROW()-8),"")</f>
        <v/>
      </c>
      <c r="B375">
        <f>IFERROR(INDEX($S$9:$S$809,ROW()-8),"")</f>
        <v/>
      </c>
      <c r="C375">
        <f>IFERROR(INDEX($W$9:$W$809,ROW()-8),"")</f>
        <v/>
      </c>
      <c r="D375" s="26">
        <f>IF(COUNT(B374:B375)=2,LN(B375/B374),"")</f>
        <v/>
      </c>
      <c r="E375" s="27">
        <f>IF(COUNT(C374:C375)=2,(C375-C374)*100,"")</f>
        <v/>
      </c>
      <c r="F375" s="28">
        <f>IF(ROW()-8&lt;CorrWindow,"",IFERROR(CORREL(INDEX($D$9:$D$809,ROW()-8-CorrWindow+1):D375,INDEX($E$9:$E$809,ROW()-8-CorrWindow+1):E375),""))</f>
        <v/>
      </c>
      <c r="G375">
        <f>IF(A375="","",0)</f>
        <v/>
      </c>
    </row>
    <row r="376">
      <c r="A376" s="23">
        <f>IFERROR(INDEX($R$9:$R$809,ROW()-8),"")</f>
        <v/>
      </c>
      <c r="B376">
        <f>IFERROR(INDEX($S$9:$S$809,ROW()-8),"")</f>
        <v/>
      </c>
      <c r="C376">
        <f>IFERROR(INDEX($W$9:$W$809,ROW()-8),"")</f>
        <v/>
      </c>
      <c r="D376" s="26">
        <f>IF(COUNT(B375:B376)=2,LN(B376/B375),"")</f>
        <v/>
      </c>
      <c r="E376" s="27">
        <f>IF(COUNT(C375:C376)=2,(C376-C375)*100,"")</f>
        <v/>
      </c>
      <c r="F376" s="28">
        <f>IF(ROW()-8&lt;CorrWindow,"",IFERROR(CORREL(INDEX($D$9:$D$809,ROW()-8-CorrWindow+1):D376,INDEX($E$9:$E$809,ROW()-8-CorrWindow+1):E376),""))</f>
        <v/>
      </c>
      <c r="G376">
        <f>IF(A376="","",0)</f>
        <v/>
      </c>
    </row>
    <row r="377">
      <c r="A377" s="23">
        <f>IFERROR(INDEX($R$9:$R$809,ROW()-8),"")</f>
        <v/>
      </c>
      <c r="B377">
        <f>IFERROR(INDEX($S$9:$S$809,ROW()-8),"")</f>
        <v/>
      </c>
      <c r="C377">
        <f>IFERROR(INDEX($W$9:$W$809,ROW()-8),"")</f>
        <v/>
      </c>
      <c r="D377" s="26">
        <f>IF(COUNT(B376:B377)=2,LN(B377/B376),"")</f>
        <v/>
      </c>
      <c r="E377" s="27">
        <f>IF(COUNT(C376:C377)=2,(C377-C376)*100,"")</f>
        <v/>
      </c>
      <c r="F377" s="28">
        <f>IF(ROW()-8&lt;CorrWindow,"",IFERROR(CORREL(INDEX($D$9:$D$809,ROW()-8-CorrWindow+1):D377,INDEX($E$9:$E$809,ROW()-8-CorrWindow+1):E377),""))</f>
        <v/>
      </c>
      <c r="G377">
        <f>IF(A377="","",0)</f>
        <v/>
      </c>
    </row>
    <row r="378">
      <c r="A378" s="23">
        <f>IFERROR(INDEX($R$9:$R$809,ROW()-8),"")</f>
        <v/>
      </c>
      <c r="B378">
        <f>IFERROR(INDEX($S$9:$S$809,ROW()-8),"")</f>
        <v/>
      </c>
      <c r="C378">
        <f>IFERROR(INDEX($W$9:$W$809,ROW()-8),"")</f>
        <v/>
      </c>
      <c r="D378" s="26">
        <f>IF(COUNT(B377:B378)=2,LN(B378/B377),"")</f>
        <v/>
      </c>
      <c r="E378" s="27">
        <f>IF(COUNT(C377:C378)=2,(C378-C377)*100,"")</f>
        <v/>
      </c>
      <c r="F378" s="28">
        <f>IF(ROW()-8&lt;CorrWindow,"",IFERROR(CORREL(INDEX($D$9:$D$809,ROW()-8-CorrWindow+1):D378,INDEX($E$9:$E$809,ROW()-8-CorrWindow+1):E378),""))</f>
        <v/>
      </c>
      <c r="G378">
        <f>IF(A378="","",0)</f>
        <v/>
      </c>
    </row>
    <row r="379">
      <c r="A379" s="23">
        <f>IFERROR(INDEX($R$9:$R$809,ROW()-8),"")</f>
        <v/>
      </c>
      <c r="B379">
        <f>IFERROR(INDEX($S$9:$S$809,ROW()-8),"")</f>
        <v/>
      </c>
      <c r="C379">
        <f>IFERROR(INDEX($W$9:$W$809,ROW()-8),"")</f>
        <v/>
      </c>
      <c r="D379" s="26">
        <f>IF(COUNT(B378:B379)=2,LN(B379/B378),"")</f>
        <v/>
      </c>
      <c r="E379" s="27">
        <f>IF(COUNT(C378:C379)=2,(C379-C378)*100,"")</f>
        <v/>
      </c>
      <c r="F379" s="28">
        <f>IF(ROW()-8&lt;CorrWindow,"",IFERROR(CORREL(INDEX($D$9:$D$809,ROW()-8-CorrWindow+1):D379,INDEX($E$9:$E$809,ROW()-8-CorrWindow+1):E379),""))</f>
        <v/>
      </c>
      <c r="G379">
        <f>IF(A379="","",0)</f>
        <v/>
      </c>
    </row>
    <row r="380">
      <c r="A380" s="23">
        <f>IFERROR(INDEX($R$9:$R$809,ROW()-8),"")</f>
        <v/>
      </c>
      <c r="B380">
        <f>IFERROR(INDEX($S$9:$S$809,ROW()-8),"")</f>
        <v/>
      </c>
      <c r="C380">
        <f>IFERROR(INDEX($W$9:$W$809,ROW()-8),"")</f>
        <v/>
      </c>
      <c r="D380" s="26">
        <f>IF(COUNT(B379:B380)=2,LN(B380/B379),"")</f>
        <v/>
      </c>
      <c r="E380" s="27">
        <f>IF(COUNT(C379:C380)=2,(C380-C379)*100,"")</f>
        <v/>
      </c>
      <c r="F380" s="28">
        <f>IF(ROW()-8&lt;CorrWindow,"",IFERROR(CORREL(INDEX($D$9:$D$809,ROW()-8-CorrWindow+1):D380,INDEX($E$9:$E$809,ROW()-8-CorrWindow+1):E380),""))</f>
        <v/>
      </c>
      <c r="G380">
        <f>IF(A380="","",0)</f>
        <v/>
      </c>
    </row>
    <row r="381">
      <c r="A381" s="23">
        <f>IFERROR(INDEX($R$9:$R$809,ROW()-8),"")</f>
        <v/>
      </c>
      <c r="B381">
        <f>IFERROR(INDEX($S$9:$S$809,ROW()-8),"")</f>
        <v/>
      </c>
      <c r="C381">
        <f>IFERROR(INDEX($W$9:$W$809,ROW()-8),"")</f>
        <v/>
      </c>
      <c r="D381" s="26">
        <f>IF(COUNT(B380:B381)=2,LN(B381/B380),"")</f>
        <v/>
      </c>
      <c r="E381" s="27">
        <f>IF(COUNT(C380:C381)=2,(C381-C380)*100,"")</f>
        <v/>
      </c>
      <c r="F381" s="28">
        <f>IF(ROW()-8&lt;CorrWindow,"",IFERROR(CORREL(INDEX($D$9:$D$809,ROW()-8-CorrWindow+1):D381,INDEX($E$9:$E$809,ROW()-8-CorrWindow+1):E381),""))</f>
        <v/>
      </c>
      <c r="G381">
        <f>IF(A381="","",0)</f>
        <v/>
      </c>
    </row>
    <row r="382">
      <c r="A382" s="23">
        <f>IFERROR(INDEX($R$9:$R$809,ROW()-8),"")</f>
        <v/>
      </c>
      <c r="B382">
        <f>IFERROR(INDEX($S$9:$S$809,ROW()-8),"")</f>
        <v/>
      </c>
      <c r="C382">
        <f>IFERROR(INDEX($W$9:$W$809,ROW()-8),"")</f>
        <v/>
      </c>
      <c r="D382" s="26">
        <f>IF(COUNT(B381:B382)=2,LN(B382/B381),"")</f>
        <v/>
      </c>
      <c r="E382" s="27">
        <f>IF(COUNT(C381:C382)=2,(C382-C381)*100,"")</f>
        <v/>
      </c>
      <c r="F382" s="28">
        <f>IF(ROW()-8&lt;CorrWindow,"",IFERROR(CORREL(INDEX($D$9:$D$809,ROW()-8-CorrWindow+1):D382,INDEX($E$9:$E$809,ROW()-8-CorrWindow+1):E382),""))</f>
        <v/>
      </c>
      <c r="G382">
        <f>IF(A382="","",0)</f>
        <v/>
      </c>
    </row>
    <row r="383">
      <c r="A383" s="23">
        <f>IFERROR(INDEX($R$9:$R$809,ROW()-8),"")</f>
        <v/>
      </c>
      <c r="B383">
        <f>IFERROR(INDEX($S$9:$S$809,ROW()-8),"")</f>
        <v/>
      </c>
      <c r="C383">
        <f>IFERROR(INDEX($W$9:$W$809,ROW()-8),"")</f>
        <v/>
      </c>
      <c r="D383" s="26">
        <f>IF(COUNT(B382:B383)=2,LN(B383/B382),"")</f>
        <v/>
      </c>
      <c r="E383" s="27">
        <f>IF(COUNT(C382:C383)=2,(C383-C382)*100,"")</f>
        <v/>
      </c>
      <c r="F383" s="28">
        <f>IF(ROW()-8&lt;CorrWindow,"",IFERROR(CORREL(INDEX($D$9:$D$809,ROW()-8-CorrWindow+1):D383,INDEX($E$9:$E$809,ROW()-8-CorrWindow+1):E383),""))</f>
        <v/>
      </c>
      <c r="G383">
        <f>IF(A383="","",0)</f>
        <v/>
      </c>
    </row>
    <row r="384">
      <c r="A384" s="23">
        <f>IFERROR(INDEX($R$9:$R$809,ROW()-8),"")</f>
        <v/>
      </c>
      <c r="B384">
        <f>IFERROR(INDEX($S$9:$S$809,ROW()-8),"")</f>
        <v/>
      </c>
      <c r="C384">
        <f>IFERROR(INDEX($W$9:$W$809,ROW()-8),"")</f>
        <v/>
      </c>
      <c r="D384" s="26">
        <f>IF(COUNT(B383:B384)=2,LN(B384/B383),"")</f>
        <v/>
      </c>
      <c r="E384" s="27">
        <f>IF(COUNT(C383:C384)=2,(C384-C383)*100,"")</f>
        <v/>
      </c>
      <c r="F384" s="28">
        <f>IF(ROW()-8&lt;CorrWindow,"",IFERROR(CORREL(INDEX($D$9:$D$809,ROW()-8-CorrWindow+1):D384,INDEX($E$9:$E$809,ROW()-8-CorrWindow+1):E384),""))</f>
        <v/>
      </c>
      <c r="G384">
        <f>IF(A384="","",0)</f>
        <v/>
      </c>
    </row>
    <row r="385">
      <c r="A385" s="23">
        <f>IFERROR(INDEX($R$9:$R$809,ROW()-8),"")</f>
        <v/>
      </c>
      <c r="B385">
        <f>IFERROR(INDEX($S$9:$S$809,ROW()-8),"")</f>
        <v/>
      </c>
      <c r="C385">
        <f>IFERROR(INDEX($W$9:$W$809,ROW()-8),"")</f>
        <v/>
      </c>
      <c r="D385" s="26">
        <f>IF(COUNT(B384:B385)=2,LN(B385/B384),"")</f>
        <v/>
      </c>
      <c r="E385" s="27">
        <f>IF(COUNT(C384:C385)=2,(C385-C384)*100,"")</f>
        <v/>
      </c>
      <c r="F385" s="28">
        <f>IF(ROW()-8&lt;CorrWindow,"",IFERROR(CORREL(INDEX($D$9:$D$809,ROW()-8-CorrWindow+1):D385,INDEX($E$9:$E$809,ROW()-8-CorrWindow+1):E385),""))</f>
        <v/>
      </c>
      <c r="G385">
        <f>IF(A385="","",0)</f>
        <v/>
      </c>
    </row>
    <row r="386">
      <c r="A386" s="23">
        <f>IFERROR(INDEX($R$9:$R$809,ROW()-8),"")</f>
        <v/>
      </c>
      <c r="B386">
        <f>IFERROR(INDEX($S$9:$S$809,ROW()-8),"")</f>
        <v/>
      </c>
      <c r="C386">
        <f>IFERROR(INDEX($W$9:$W$809,ROW()-8),"")</f>
        <v/>
      </c>
      <c r="D386" s="26">
        <f>IF(COUNT(B385:B386)=2,LN(B386/B385),"")</f>
        <v/>
      </c>
      <c r="E386" s="27">
        <f>IF(COUNT(C385:C386)=2,(C386-C385)*100,"")</f>
        <v/>
      </c>
      <c r="F386" s="28">
        <f>IF(ROW()-8&lt;CorrWindow,"",IFERROR(CORREL(INDEX($D$9:$D$809,ROW()-8-CorrWindow+1):D386,INDEX($E$9:$E$809,ROW()-8-CorrWindow+1):E386),""))</f>
        <v/>
      </c>
      <c r="G386">
        <f>IF(A386="","",0)</f>
        <v/>
      </c>
    </row>
    <row r="387">
      <c r="A387" s="23">
        <f>IFERROR(INDEX($R$9:$R$809,ROW()-8),"")</f>
        <v/>
      </c>
      <c r="B387">
        <f>IFERROR(INDEX($S$9:$S$809,ROW()-8),"")</f>
        <v/>
      </c>
      <c r="C387">
        <f>IFERROR(INDEX($W$9:$W$809,ROW()-8),"")</f>
        <v/>
      </c>
      <c r="D387" s="26">
        <f>IF(COUNT(B386:B387)=2,LN(B387/B386),"")</f>
        <v/>
      </c>
      <c r="E387" s="27">
        <f>IF(COUNT(C386:C387)=2,(C387-C386)*100,"")</f>
        <v/>
      </c>
      <c r="F387" s="28">
        <f>IF(ROW()-8&lt;CorrWindow,"",IFERROR(CORREL(INDEX($D$9:$D$809,ROW()-8-CorrWindow+1):D387,INDEX($E$9:$E$809,ROW()-8-CorrWindow+1):E387),""))</f>
        <v/>
      </c>
      <c r="G387">
        <f>IF(A387="","",0)</f>
        <v/>
      </c>
    </row>
    <row r="388">
      <c r="A388" s="23">
        <f>IFERROR(INDEX($R$9:$R$809,ROW()-8),"")</f>
        <v/>
      </c>
      <c r="B388">
        <f>IFERROR(INDEX($S$9:$S$809,ROW()-8),"")</f>
        <v/>
      </c>
      <c r="C388">
        <f>IFERROR(INDEX($W$9:$W$809,ROW()-8),"")</f>
        <v/>
      </c>
      <c r="D388" s="26">
        <f>IF(COUNT(B387:B388)=2,LN(B388/B387),"")</f>
        <v/>
      </c>
      <c r="E388" s="27">
        <f>IF(COUNT(C387:C388)=2,(C388-C387)*100,"")</f>
        <v/>
      </c>
      <c r="F388" s="28">
        <f>IF(ROW()-8&lt;CorrWindow,"",IFERROR(CORREL(INDEX($D$9:$D$809,ROW()-8-CorrWindow+1):D388,INDEX($E$9:$E$809,ROW()-8-CorrWindow+1):E388),""))</f>
        <v/>
      </c>
      <c r="G388">
        <f>IF(A388="","",0)</f>
        <v/>
      </c>
    </row>
    <row r="389">
      <c r="A389" s="23">
        <f>IFERROR(INDEX($R$9:$R$809,ROW()-8),"")</f>
        <v/>
      </c>
      <c r="B389">
        <f>IFERROR(INDEX($S$9:$S$809,ROW()-8),"")</f>
        <v/>
      </c>
      <c r="C389">
        <f>IFERROR(INDEX($W$9:$W$809,ROW()-8),"")</f>
        <v/>
      </c>
      <c r="D389" s="26">
        <f>IF(COUNT(B388:B389)=2,LN(B389/B388),"")</f>
        <v/>
      </c>
      <c r="E389" s="27">
        <f>IF(COUNT(C388:C389)=2,(C389-C388)*100,"")</f>
        <v/>
      </c>
      <c r="F389" s="28">
        <f>IF(ROW()-8&lt;CorrWindow,"",IFERROR(CORREL(INDEX($D$9:$D$809,ROW()-8-CorrWindow+1):D389,INDEX($E$9:$E$809,ROW()-8-CorrWindow+1):E389),""))</f>
        <v/>
      </c>
      <c r="G389">
        <f>IF(A389="","",0)</f>
        <v/>
      </c>
    </row>
    <row r="390">
      <c r="A390" s="23">
        <f>IFERROR(INDEX($R$9:$R$809,ROW()-8),"")</f>
        <v/>
      </c>
      <c r="B390">
        <f>IFERROR(INDEX($S$9:$S$809,ROW()-8),"")</f>
        <v/>
      </c>
      <c r="C390">
        <f>IFERROR(INDEX($W$9:$W$809,ROW()-8),"")</f>
        <v/>
      </c>
      <c r="D390" s="26">
        <f>IF(COUNT(B389:B390)=2,LN(B390/B389),"")</f>
        <v/>
      </c>
      <c r="E390" s="27">
        <f>IF(COUNT(C389:C390)=2,(C390-C389)*100,"")</f>
        <v/>
      </c>
      <c r="F390" s="28">
        <f>IF(ROW()-8&lt;CorrWindow,"",IFERROR(CORREL(INDEX($D$9:$D$809,ROW()-8-CorrWindow+1):D390,INDEX($E$9:$E$809,ROW()-8-CorrWindow+1):E390),""))</f>
        <v/>
      </c>
      <c r="G390">
        <f>IF(A390="","",0)</f>
        <v/>
      </c>
    </row>
    <row r="391">
      <c r="A391" s="23">
        <f>IFERROR(INDEX($R$9:$R$809,ROW()-8),"")</f>
        <v/>
      </c>
      <c r="B391">
        <f>IFERROR(INDEX($S$9:$S$809,ROW()-8),"")</f>
        <v/>
      </c>
      <c r="C391">
        <f>IFERROR(INDEX($W$9:$W$809,ROW()-8),"")</f>
        <v/>
      </c>
      <c r="D391" s="26">
        <f>IF(COUNT(B390:B391)=2,LN(B391/B390),"")</f>
        <v/>
      </c>
      <c r="E391" s="27">
        <f>IF(COUNT(C390:C391)=2,(C391-C390)*100,"")</f>
        <v/>
      </c>
      <c r="F391" s="28">
        <f>IF(ROW()-8&lt;CorrWindow,"",IFERROR(CORREL(INDEX($D$9:$D$809,ROW()-8-CorrWindow+1):D391,INDEX($E$9:$E$809,ROW()-8-CorrWindow+1):E391),""))</f>
        <v/>
      </c>
      <c r="G391">
        <f>IF(A391="","",0)</f>
        <v/>
      </c>
    </row>
    <row r="392">
      <c r="A392" s="23">
        <f>IFERROR(INDEX($R$9:$R$809,ROW()-8),"")</f>
        <v/>
      </c>
      <c r="B392">
        <f>IFERROR(INDEX($S$9:$S$809,ROW()-8),"")</f>
        <v/>
      </c>
      <c r="C392">
        <f>IFERROR(INDEX($W$9:$W$809,ROW()-8),"")</f>
        <v/>
      </c>
      <c r="D392" s="26">
        <f>IF(COUNT(B391:B392)=2,LN(B392/B391),"")</f>
        <v/>
      </c>
      <c r="E392" s="27">
        <f>IF(COUNT(C391:C392)=2,(C392-C391)*100,"")</f>
        <v/>
      </c>
      <c r="F392" s="28">
        <f>IF(ROW()-8&lt;CorrWindow,"",IFERROR(CORREL(INDEX($D$9:$D$809,ROW()-8-CorrWindow+1):D392,INDEX($E$9:$E$809,ROW()-8-CorrWindow+1):E392),""))</f>
        <v/>
      </c>
      <c r="G392">
        <f>IF(A392="","",0)</f>
        <v/>
      </c>
    </row>
    <row r="393">
      <c r="A393" s="23">
        <f>IFERROR(INDEX($R$9:$R$809,ROW()-8),"")</f>
        <v/>
      </c>
      <c r="B393">
        <f>IFERROR(INDEX($S$9:$S$809,ROW()-8),"")</f>
        <v/>
      </c>
      <c r="C393">
        <f>IFERROR(INDEX($W$9:$W$809,ROW()-8),"")</f>
        <v/>
      </c>
      <c r="D393" s="26">
        <f>IF(COUNT(B392:B393)=2,LN(B393/B392),"")</f>
        <v/>
      </c>
      <c r="E393" s="27">
        <f>IF(COUNT(C392:C393)=2,(C393-C392)*100,"")</f>
        <v/>
      </c>
      <c r="F393" s="28">
        <f>IF(ROW()-8&lt;CorrWindow,"",IFERROR(CORREL(INDEX($D$9:$D$809,ROW()-8-CorrWindow+1):D393,INDEX($E$9:$E$809,ROW()-8-CorrWindow+1):E393),""))</f>
        <v/>
      </c>
      <c r="G393">
        <f>IF(A393="","",0)</f>
        <v/>
      </c>
    </row>
    <row r="394">
      <c r="A394" s="23">
        <f>IFERROR(INDEX($R$9:$R$809,ROW()-8),"")</f>
        <v/>
      </c>
      <c r="B394">
        <f>IFERROR(INDEX($S$9:$S$809,ROW()-8),"")</f>
        <v/>
      </c>
      <c r="C394">
        <f>IFERROR(INDEX($W$9:$W$809,ROW()-8),"")</f>
        <v/>
      </c>
      <c r="D394" s="26">
        <f>IF(COUNT(B393:B394)=2,LN(B394/B393),"")</f>
        <v/>
      </c>
      <c r="E394" s="27">
        <f>IF(COUNT(C393:C394)=2,(C394-C393)*100,"")</f>
        <v/>
      </c>
      <c r="F394" s="28">
        <f>IF(ROW()-8&lt;CorrWindow,"",IFERROR(CORREL(INDEX($D$9:$D$809,ROW()-8-CorrWindow+1):D394,INDEX($E$9:$E$809,ROW()-8-CorrWindow+1):E394),""))</f>
        <v/>
      </c>
      <c r="G394">
        <f>IF(A394="","",0)</f>
        <v/>
      </c>
    </row>
    <row r="395">
      <c r="A395" s="23">
        <f>IFERROR(INDEX($R$9:$R$809,ROW()-8),"")</f>
        <v/>
      </c>
      <c r="B395">
        <f>IFERROR(INDEX($S$9:$S$809,ROW()-8),"")</f>
        <v/>
      </c>
      <c r="C395">
        <f>IFERROR(INDEX($W$9:$W$809,ROW()-8),"")</f>
        <v/>
      </c>
      <c r="D395" s="26">
        <f>IF(COUNT(B394:B395)=2,LN(B395/B394),"")</f>
        <v/>
      </c>
      <c r="E395" s="27">
        <f>IF(COUNT(C394:C395)=2,(C395-C394)*100,"")</f>
        <v/>
      </c>
      <c r="F395" s="28">
        <f>IF(ROW()-8&lt;CorrWindow,"",IFERROR(CORREL(INDEX($D$9:$D$809,ROW()-8-CorrWindow+1):D395,INDEX($E$9:$E$809,ROW()-8-CorrWindow+1):E395),""))</f>
        <v/>
      </c>
      <c r="G395">
        <f>IF(A395="","",0)</f>
        <v/>
      </c>
    </row>
    <row r="396">
      <c r="A396" s="23">
        <f>IFERROR(INDEX($R$9:$R$809,ROW()-8),"")</f>
        <v/>
      </c>
      <c r="B396">
        <f>IFERROR(INDEX($S$9:$S$809,ROW()-8),"")</f>
        <v/>
      </c>
      <c r="C396">
        <f>IFERROR(INDEX($W$9:$W$809,ROW()-8),"")</f>
        <v/>
      </c>
      <c r="D396" s="26">
        <f>IF(COUNT(B395:B396)=2,LN(B396/B395),"")</f>
        <v/>
      </c>
      <c r="E396" s="27">
        <f>IF(COUNT(C395:C396)=2,(C396-C395)*100,"")</f>
        <v/>
      </c>
      <c r="F396" s="28">
        <f>IF(ROW()-8&lt;CorrWindow,"",IFERROR(CORREL(INDEX($D$9:$D$809,ROW()-8-CorrWindow+1):D396,INDEX($E$9:$E$809,ROW()-8-CorrWindow+1):E396),""))</f>
        <v/>
      </c>
      <c r="G396">
        <f>IF(A396="","",0)</f>
        <v/>
      </c>
    </row>
    <row r="397">
      <c r="A397" s="23">
        <f>IFERROR(INDEX($R$9:$R$809,ROW()-8),"")</f>
        <v/>
      </c>
      <c r="B397">
        <f>IFERROR(INDEX($S$9:$S$809,ROW()-8),"")</f>
        <v/>
      </c>
      <c r="C397">
        <f>IFERROR(INDEX($W$9:$W$809,ROW()-8),"")</f>
        <v/>
      </c>
      <c r="D397" s="26">
        <f>IF(COUNT(B396:B397)=2,LN(B397/B396),"")</f>
        <v/>
      </c>
      <c r="E397" s="27">
        <f>IF(COUNT(C396:C397)=2,(C397-C396)*100,"")</f>
        <v/>
      </c>
      <c r="F397" s="28">
        <f>IF(ROW()-8&lt;CorrWindow,"",IFERROR(CORREL(INDEX($D$9:$D$809,ROW()-8-CorrWindow+1):D397,INDEX($E$9:$E$809,ROW()-8-CorrWindow+1):E397),""))</f>
        <v/>
      </c>
      <c r="G397">
        <f>IF(A397="","",0)</f>
        <v/>
      </c>
    </row>
    <row r="398">
      <c r="A398" s="23">
        <f>IFERROR(INDEX($R$9:$R$809,ROW()-8),"")</f>
        <v/>
      </c>
      <c r="B398">
        <f>IFERROR(INDEX($S$9:$S$809,ROW()-8),"")</f>
        <v/>
      </c>
      <c r="C398">
        <f>IFERROR(INDEX($W$9:$W$809,ROW()-8),"")</f>
        <v/>
      </c>
      <c r="D398" s="26">
        <f>IF(COUNT(B397:B398)=2,LN(B398/B397),"")</f>
        <v/>
      </c>
      <c r="E398" s="27">
        <f>IF(COUNT(C397:C398)=2,(C398-C397)*100,"")</f>
        <v/>
      </c>
      <c r="F398" s="28">
        <f>IF(ROW()-8&lt;CorrWindow,"",IFERROR(CORREL(INDEX($D$9:$D$809,ROW()-8-CorrWindow+1):D398,INDEX($E$9:$E$809,ROW()-8-CorrWindow+1):E398),""))</f>
        <v/>
      </c>
      <c r="G398">
        <f>IF(A398="","",0)</f>
        <v/>
      </c>
    </row>
    <row r="399">
      <c r="A399" s="23">
        <f>IFERROR(INDEX($R$9:$R$809,ROW()-8),"")</f>
        <v/>
      </c>
      <c r="B399">
        <f>IFERROR(INDEX($S$9:$S$809,ROW()-8),"")</f>
        <v/>
      </c>
      <c r="C399">
        <f>IFERROR(INDEX($W$9:$W$809,ROW()-8),"")</f>
        <v/>
      </c>
      <c r="D399" s="26">
        <f>IF(COUNT(B398:B399)=2,LN(B399/B398),"")</f>
        <v/>
      </c>
      <c r="E399" s="27">
        <f>IF(COUNT(C398:C399)=2,(C399-C398)*100,"")</f>
        <v/>
      </c>
      <c r="F399" s="28">
        <f>IF(ROW()-8&lt;CorrWindow,"",IFERROR(CORREL(INDEX($D$9:$D$809,ROW()-8-CorrWindow+1):D399,INDEX($E$9:$E$809,ROW()-8-CorrWindow+1):E399),""))</f>
        <v/>
      </c>
      <c r="G399">
        <f>IF(A399="","",0)</f>
        <v/>
      </c>
    </row>
    <row r="400">
      <c r="A400" s="23">
        <f>IFERROR(INDEX($R$9:$R$809,ROW()-8),"")</f>
        <v/>
      </c>
      <c r="B400">
        <f>IFERROR(INDEX($S$9:$S$809,ROW()-8),"")</f>
        <v/>
      </c>
      <c r="C400">
        <f>IFERROR(INDEX($W$9:$W$809,ROW()-8),"")</f>
        <v/>
      </c>
      <c r="D400" s="26">
        <f>IF(COUNT(B399:B400)=2,LN(B400/B399),"")</f>
        <v/>
      </c>
      <c r="E400" s="27">
        <f>IF(COUNT(C399:C400)=2,(C400-C399)*100,"")</f>
        <v/>
      </c>
      <c r="F400" s="28">
        <f>IF(ROW()-8&lt;CorrWindow,"",IFERROR(CORREL(INDEX($D$9:$D$809,ROW()-8-CorrWindow+1):D400,INDEX($E$9:$E$809,ROW()-8-CorrWindow+1):E400),""))</f>
        <v/>
      </c>
      <c r="G400">
        <f>IF(A400="","",0)</f>
        <v/>
      </c>
    </row>
    <row r="401">
      <c r="A401" s="23">
        <f>IFERROR(INDEX($R$9:$R$809,ROW()-8),"")</f>
        <v/>
      </c>
      <c r="B401">
        <f>IFERROR(INDEX($S$9:$S$809,ROW()-8),"")</f>
        <v/>
      </c>
      <c r="C401">
        <f>IFERROR(INDEX($W$9:$W$809,ROW()-8),"")</f>
        <v/>
      </c>
      <c r="D401" s="26">
        <f>IF(COUNT(B400:B401)=2,LN(B401/B400),"")</f>
        <v/>
      </c>
      <c r="E401" s="27">
        <f>IF(COUNT(C400:C401)=2,(C401-C400)*100,"")</f>
        <v/>
      </c>
      <c r="F401" s="28">
        <f>IF(ROW()-8&lt;CorrWindow,"",IFERROR(CORREL(INDEX($D$9:$D$809,ROW()-8-CorrWindow+1):D401,INDEX($E$9:$E$809,ROW()-8-CorrWindow+1):E401),""))</f>
        <v/>
      </c>
      <c r="G401">
        <f>IF(A401="","",0)</f>
        <v/>
      </c>
    </row>
    <row r="402">
      <c r="A402" s="23">
        <f>IFERROR(INDEX($R$9:$R$809,ROW()-8),"")</f>
        <v/>
      </c>
      <c r="B402">
        <f>IFERROR(INDEX($S$9:$S$809,ROW()-8),"")</f>
        <v/>
      </c>
      <c r="C402">
        <f>IFERROR(INDEX($W$9:$W$809,ROW()-8),"")</f>
        <v/>
      </c>
      <c r="D402" s="26">
        <f>IF(COUNT(B401:B402)=2,LN(B402/B401),"")</f>
        <v/>
      </c>
      <c r="E402" s="27">
        <f>IF(COUNT(C401:C402)=2,(C402-C401)*100,"")</f>
        <v/>
      </c>
      <c r="F402" s="28">
        <f>IF(ROW()-8&lt;CorrWindow,"",IFERROR(CORREL(INDEX($D$9:$D$809,ROW()-8-CorrWindow+1):D402,INDEX($E$9:$E$809,ROW()-8-CorrWindow+1):E402),""))</f>
        <v/>
      </c>
      <c r="G402">
        <f>IF(A402="","",0)</f>
        <v/>
      </c>
    </row>
    <row r="403">
      <c r="A403" s="23">
        <f>IFERROR(INDEX($R$9:$R$809,ROW()-8),"")</f>
        <v/>
      </c>
      <c r="B403">
        <f>IFERROR(INDEX($S$9:$S$809,ROW()-8),"")</f>
        <v/>
      </c>
      <c r="C403">
        <f>IFERROR(INDEX($W$9:$W$809,ROW()-8),"")</f>
        <v/>
      </c>
      <c r="D403" s="26">
        <f>IF(COUNT(B402:B403)=2,LN(B403/B402),"")</f>
        <v/>
      </c>
      <c r="E403" s="27">
        <f>IF(COUNT(C402:C403)=2,(C403-C402)*100,"")</f>
        <v/>
      </c>
      <c r="F403" s="28">
        <f>IF(ROW()-8&lt;CorrWindow,"",IFERROR(CORREL(INDEX($D$9:$D$809,ROW()-8-CorrWindow+1):D403,INDEX($E$9:$E$809,ROW()-8-CorrWindow+1):E403),""))</f>
        <v/>
      </c>
      <c r="G403">
        <f>IF(A403="","",0)</f>
        <v/>
      </c>
    </row>
    <row r="404">
      <c r="A404" s="23">
        <f>IFERROR(INDEX($R$9:$R$809,ROW()-8),"")</f>
        <v/>
      </c>
      <c r="B404">
        <f>IFERROR(INDEX($S$9:$S$809,ROW()-8),"")</f>
        <v/>
      </c>
      <c r="C404">
        <f>IFERROR(INDEX($W$9:$W$809,ROW()-8),"")</f>
        <v/>
      </c>
      <c r="D404" s="26">
        <f>IF(COUNT(B403:B404)=2,LN(B404/B403),"")</f>
        <v/>
      </c>
      <c r="E404" s="27">
        <f>IF(COUNT(C403:C404)=2,(C404-C403)*100,"")</f>
        <v/>
      </c>
      <c r="F404" s="28">
        <f>IF(ROW()-8&lt;CorrWindow,"",IFERROR(CORREL(INDEX($D$9:$D$809,ROW()-8-CorrWindow+1):D404,INDEX($E$9:$E$809,ROW()-8-CorrWindow+1):E404),""))</f>
        <v/>
      </c>
      <c r="G404">
        <f>IF(A404="","",0)</f>
        <v/>
      </c>
    </row>
    <row r="405">
      <c r="A405" s="23">
        <f>IFERROR(INDEX($R$9:$R$809,ROW()-8),"")</f>
        <v/>
      </c>
      <c r="B405">
        <f>IFERROR(INDEX($S$9:$S$809,ROW()-8),"")</f>
        <v/>
      </c>
      <c r="C405">
        <f>IFERROR(INDEX($W$9:$W$809,ROW()-8),"")</f>
        <v/>
      </c>
      <c r="D405" s="26">
        <f>IF(COUNT(B404:B405)=2,LN(B405/B404),"")</f>
        <v/>
      </c>
      <c r="E405" s="27">
        <f>IF(COUNT(C404:C405)=2,(C405-C404)*100,"")</f>
        <v/>
      </c>
      <c r="F405" s="28">
        <f>IF(ROW()-8&lt;CorrWindow,"",IFERROR(CORREL(INDEX($D$9:$D$809,ROW()-8-CorrWindow+1):D405,INDEX($E$9:$E$809,ROW()-8-CorrWindow+1):E405),""))</f>
        <v/>
      </c>
      <c r="G405">
        <f>IF(A405="","",0)</f>
        <v/>
      </c>
    </row>
    <row r="406">
      <c r="A406" s="23">
        <f>IFERROR(INDEX($R$9:$R$809,ROW()-8),"")</f>
        <v/>
      </c>
      <c r="B406">
        <f>IFERROR(INDEX($S$9:$S$809,ROW()-8),"")</f>
        <v/>
      </c>
      <c r="C406">
        <f>IFERROR(INDEX($W$9:$W$809,ROW()-8),"")</f>
        <v/>
      </c>
      <c r="D406" s="26">
        <f>IF(COUNT(B405:B406)=2,LN(B406/B405),"")</f>
        <v/>
      </c>
      <c r="E406" s="27">
        <f>IF(COUNT(C405:C406)=2,(C406-C405)*100,"")</f>
        <v/>
      </c>
      <c r="F406" s="28">
        <f>IF(ROW()-8&lt;CorrWindow,"",IFERROR(CORREL(INDEX($D$9:$D$809,ROW()-8-CorrWindow+1):D406,INDEX($E$9:$E$809,ROW()-8-CorrWindow+1):E406),""))</f>
        <v/>
      </c>
      <c r="G406">
        <f>IF(A406="","",0)</f>
        <v/>
      </c>
    </row>
    <row r="407">
      <c r="A407" s="23">
        <f>IFERROR(INDEX($R$9:$R$809,ROW()-8),"")</f>
        <v/>
      </c>
      <c r="B407">
        <f>IFERROR(INDEX($S$9:$S$809,ROW()-8),"")</f>
        <v/>
      </c>
      <c r="C407">
        <f>IFERROR(INDEX($W$9:$W$809,ROW()-8),"")</f>
        <v/>
      </c>
      <c r="D407" s="26">
        <f>IF(COUNT(B406:B407)=2,LN(B407/B406),"")</f>
        <v/>
      </c>
      <c r="E407" s="27">
        <f>IF(COUNT(C406:C407)=2,(C407-C406)*100,"")</f>
        <v/>
      </c>
      <c r="F407" s="28">
        <f>IF(ROW()-8&lt;CorrWindow,"",IFERROR(CORREL(INDEX($D$9:$D$809,ROW()-8-CorrWindow+1):D407,INDEX($E$9:$E$809,ROW()-8-CorrWindow+1):E407),""))</f>
        <v/>
      </c>
      <c r="G407">
        <f>IF(A407="","",0)</f>
        <v/>
      </c>
    </row>
    <row r="408">
      <c r="A408" s="23">
        <f>IFERROR(INDEX($R$9:$R$809,ROW()-8),"")</f>
        <v/>
      </c>
      <c r="B408">
        <f>IFERROR(INDEX($S$9:$S$809,ROW()-8),"")</f>
        <v/>
      </c>
      <c r="C408">
        <f>IFERROR(INDEX($W$9:$W$809,ROW()-8),"")</f>
        <v/>
      </c>
      <c r="D408" s="26">
        <f>IF(COUNT(B407:B408)=2,LN(B408/B407),"")</f>
        <v/>
      </c>
      <c r="E408" s="27">
        <f>IF(COUNT(C407:C408)=2,(C408-C407)*100,"")</f>
        <v/>
      </c>
      <c r="F408" s="28">
        <f>IF(ROW()-8&lt;CorrWindow,"",IFERROR(CORREL(INDEX($D$9:$D$809,ROW()-8-CorrWindow+1):D408,INDEX($E$9:$E$809,ROW()-8-CorrWindow+1):E408),""))</f>
        <v/>
      </c>
      <c r="G408">
        <f>IF(A408="","",0)</f>
        <v/>
      </c>
    </row>
    <row r="409">
      <c r="A409" s="23">
        <f>IFERROR(INDEX($R$9:$R$809,ROW()-8),"")</f>
        <v/>
      </c>
      <c r="B409">
        <f>IFERROR(INDEX($S$9:$S$809,ROW()-8),"")</f>
        <v/>
      </c>
      <c r="C409">
        <f>IFERROR(INDEX($W$9:$W$809,ROW()-8),"")</f>
        <v/>
      </c>
      <c r="D409" s="26">
        <f>IF(COUNT(B408:B409)=2,LN(B409/B408),"")</f>
        <v/>
      </c>
      <c r="E409" s="27">
        <f>IF(COUNT(C408:C409)=2,(C409-C408)*100,"")</f>
        <v/>
      </c>
      <c r="F409" s="28">
        <f>IF(ROW()-8&lt;CorrWindow,"",IFERROR(CORREL(INDEX($D$9:$D$809,ROW()-8-CorrWindow+1):D409,INDEX($E$9:$E$809,ROW()-8-CorrWindow+1):E409),""))</f>
        <v/>
      </c>
      <c r="G409">
        <f>IF(A409="","",0)</f>
        <v/>
      </c>
    </row>
    <row r="410">
      <c r="A410" s="23">
        <f>IFERROR(INDEX($R$9:$R$809,ROW()-8),"")</f>
        <v/>
      </c>
      <c r="B410">
        <f>IFERROR(INDEX($S$9:$S$809,ROW()-8),"")</f>
        <v/>
      </c>
      <c r="C410">
        <f>IFERROR(INDEX($W$9:$W$809,ROW()-8),"")</f>
        <v/>
      </c>
      <c r="D410" s="26">
        <f>IF(COUNT(B409:B410)=2,LN(B410/B409),"")</f>
        <v/>
      </c>
      <c r="E410" s="27">
        <f>IF(COUNT(C409:C410)=2,(C410-C409)*100,"")</f>
        <v/>
      </c>
      <c r="F410" s="28">
        <f>IF(ROW()-8&lt;CorrWindow,"",IFERROR(CORREL(INDEX($D$9:$D$809,ROW()-8-CorrWindow+1):D410,INDEX($E$9:$E$809,ROW()-8-CorrWindow+1):E410),""))</f>
        <v/>
      </c>
      <c r="G410">
        <f>IF(A410="","",0)</f>
        <v/>
      </c>
    </row>
    <row r="411">
      <c r="A411" s="23">
        <f>IFERROR(INDEX($R$9:$R$809,ROW()-8),"")</f>
        <v/>
      </c>
      <c r="B411">
        <f>IFERROR(INDEX($S$9:$S$809,ROW()-8),"")</f>
        <v/>
      </c>
      <c r="C411">
        <f>IFERROR(INDEX($W$9:$W$809,ROW()-8),"")</f>
        <v/>
      </c>
      <c r="D411" s="26">
        <f>IF(COUNT(B410:B411)=2,LN(B411/B410),"")</f>
        <v/>
      </c>
      <c r="E411" s="27">
        <f>IF(COUNT(C410:C411)=2,(C411-C410)*100,"")</f>
        <v/>
      </c>
      <c r="F411" s="28">
        <f>IF(ROW()-8&lt;CorrWindow,"",IFERROR(CORREL(INDEX($D$9:$D$809,ROW()-8-CorrWindow+1):D411,INDEX($E$9:$E$809,ROW()-8-CorrWindow+1):E411),""))</f>
        <v/>
      </c>
      <c r="G411">
        <f>IF(A411="","",0)</f>
        <v/>
      </c>
    </row>
    <row r="412">
      <c r="A412" s="23">
        <f>IFERROR(INDEX($R$9:$R$809,ROW()-8),"")</f>
        <v/>
      </c>
      <c r="B412">
        <f>IFERROR(INDEX($S$9:$S$809,ROW()-8),"")</f>
        <v/>
      </c>
      <c r="C412">
        <f>IFERROR(INDEX($W$9:$W$809,ROW()-8),"")</f>
        <v/>
      </c>
      <c r="D412" s="26">
        <f>IF(COUNT(B411:B412)=2,LN(B412/B411),"")</f>
        <v/>
      </c>
      <c r="E412" s="27">
        <f>IF(COUNT(C411:C412)=2,(C412-C411)*100,"")</f>
        <v/>
      </c>
      <c r="F412" s="28">
        <f>IF(ROW()-8&lt;CorrWindow,"",IFERROR(CORREL(INDEX($D$9:$D$809,ROW()-8-CorrWindow+1):D412,INDEX($E$9:$E$809,ROW()-8-CorrWindow+1):E412),""))</f>
        <v/>
      </c>
      <c r="G412">
        <f>IF(A412="","",0)</f>
        <v/>
      </c>
    </row>
    <row r="413">
      <c r="A413" s="23">
        <f>IFERROR(INDEX($R$9:$R$809,ROW()-8),"")</f>
        <v/>
      </c>
      <c r="B413">
        <f>IFERROR(INDEX($S$9:$S$809,ROW()-8),"")</f>
        <v/>
      </c>
      <c r="C413">
        <f>IFERROR(INDEX($W$9:$W$809,ROW()-8),"")</f>
        <v/>
      </c>
      <c r="D413" s="26">
        <f>IF(COUNT(B412:B413)=2,LN(B413/B412),"")</f>
        <v/>
      </c>
      <c r="E413" s="27">
        <f>IF(COUNT(C412:C413)=2,(C413-C412)*100,"")</f>
        <v/>
      </c>
      <c r="F413" s="28">
        <f>IF(ROW()-8&lt;CorrWindow,"",IFERROR(CORREL(INDEX($D$9:$D$809,ROW()-8-CorrWindow+1):D413,INDEX($E$9:$E$809,ROW()-8-CorrWindow+1):E413),""))</f>
        <v/>
      </c>
      <c r="G413">
        <f>IF(A413="","",0)</f>
        <v/>
      </c>
    </row>
    <row r="414">
      <c r="A414" s="23">
        <f>IFERROR(INDEX($R$9:$R$809,ROW()-8),"")</f>
        <v/>
      </c>
      <c r="B414">
        <f>IFERROR(INDEX($S$9:$S$809,ROW()-8),"")</f>
        <v/>
      </c>
      <c r="C414">
        <f>IFERROR(INDEX($W$9:$W$809,ROW()-8),"")</f>
        <v/>
      </c>
      <c r="D414" s="26">
        <f>IF(COUNT(B413:B414)=2,LN(B414/B413),"")</f>
        <v/>
      </c>
      <c r="E414" s="27">
        <f>IF(COUNT(C413:C414)=2,(C414-C413)*100,"")</f>
        <v/>
      </c>
      <c r="F414" s="28">
        <f>IF(ROW()-8&lt;CorrWindow,"",IFERROR(CORREL(INDEX($D$9:$D$809,ROW()-8-CorrWindow+1):D414,INDEX($E$9:$E$809,ROW()-8-CorrWindow+1):E414),""))</f>
        <v/>
      </c>
      <c r="G414">
        <f>IF(A414="","",0)</f>
        <v/>
      </c>
    </row>
    <row r="415">
      <c r="A415" s="23">
        <f>IFERROR(INDEX($R$9:$R$809,ROW()-8),"")</f>
        <v/>
      </c>
      <c r="B415">
        <f>IFERROR(INDEX($S$9:$S$809,ROW()-8),"")</f>
        <v/>
      </c>
      <c r="C415">
        <f>IFERROR(INDEX($W$9:$W$809,ROW()-8),"")</f>
        <v/>
      </c>
      <c r="D415" s="26">
        <f>IF(COUNT(B414:B415)=2,LN(B415/B414),"")</f>
        <v/>
      </c>
      <c r="E415" s="27">
        <f>IF(COUNT(C414:C415)=2,(C415-C414)*100,"")</f>
        <v/>
      </c>
      <c r="F415" s="28">
        <f>IF(ROW()-8&lt;CorrWindow,"",IFERROR(CORREL(INDEX($D$9:$D$809,ROW()-8-CorrWindow+1):D415,INDEX($E$9:$E$809,ROW()-8-CorrWindow+1):E415),""))</f>
        <v/>
      </c>
      <c r="G415">
        <f>IF(A415="","",0)</f>
        <v/>
      </c>
    </row>
    <row r="416">
      <c r="A416" s="23">
        <f>IFERROR(INDEX($R$9:$R$809,ROW()-8),"")</f>
        <v/>
      </c>
      <c r="B416">
        <f>IFERROR(INDEX($S$9:$S$809,ROW()-8),"")</f>
        <v/>
      </c>
      <c r="C416">
        <f>IFERROR(INDEX($W$9:$W$809,ROW()-8),"")</f>
        <v/>
      </c>
      <c r="D416" s="26">
        <f>IF(COUNT(B415:B416)=2,LN(B416/B415),"")</f>
        <v/>
      </c>
      <c r="E416" s="27">
        <f>IF(COUNT(C415:C416)=2,(C416-C415)*100,"")</f>
        <v/>
      </c>
      <c r="F416" s="28">
        <f>IF(ROW()-8&lt;CorrWindow,"",IFERROR(CORREL(INDEX($D$9:$D$809,ROW()-8-CorrWindow+1):D416,INDEX($E$9:$E$809,ROW()-8-CorrWindow+1):E416),""))</f>
        <v/>
      </c>
      <c r="G416">
        <f>IF(A416="","",0)</f>
        <v/>
      </c>
    </row>
    <row r="417">
      <c r="A417" s="23">
        <f>IFERROR(INDEX($R$9:$R$809,ROW()-8),"")</f>
        <v/>
      </c>
      <c r="B417">
        <f>IFERROR(INDEX($S$9:$S$809,ROW()-8),"")</f>
        <v/>
      </c>
      <c r="C417">
        <f>IFERROR(INDEX($W$9:$W$809,ROW()-8),"")</f>
        <v/>
      </c>
      <c r="D417" s="26">
        <f>IF(COUNT(B416:B417)=2,LN(B417/B416),"")</f>
        <v/>
      </c>
      <c r="E417" s="27">
        <f>IF(COUNT(C416:C417)=2,(C417-C416)*100,"")</f>
        <v/>
      </c>
      <c r="F417" s="28">
        <f>IF(ROW()-8&lt;CorrWindow,"",IFERROR(CORREL(INDEX($D$9:$D$809,ROW()-8-CorrWindow+1):D417,INDEX($E$9:$E$809,ROW()-8-CorrWindow+1):E417),""))</f>
        <v/>
      </c>
      <c r="G417">
        <f>IF(A417="","",0)</f>
        <v/>
      </c>
    </row>
    <row r="418">
      <c r="A418" s="23">
        <f>IFERROR(INDEX($R$9:$R$809,ROW()-8),"")</f>
        <v/>
      </c>
      <c r="B418">
        <f>IFERROR(INDEX($S$9:$S$809,ROW()-8),"")</f>
        <v/>
      </c>
      <c r="C418">
        <f>IFERROR(INDEX($W$9:$W$809,ROW()-8),"")</f>
        <v/>
      </c>
      <c r="D418" s="26">
        <f>IF(COUNT(B417:B418)=2,LN(B418/B417),"")</f>
        <v/>
      </c>
      <c r="E418" s="27">
        <f>IF(COUNT(C417:C418)=2,(C418-C417)*100,"")</f>
        <v/>
      </c>
      <c r="F418" s="28">
        <f>IF(ROW()-8&lt;CorrWindow,"",IFERROR(CORREL(INDEX($D$9:$D$809,ROW()-8-CorrWindow+1):D418,INDEX($E$9:$E$809,ROW()-8-CorrWindow+1):E418),""))</f>
        <v/>
      </c>
      <c r="G418">
        <f>IF(A418="","",0)</f>
        <v/>
      </c>
    </row>
    <row r="419">
      <c r="A419" s="23">
        <f>IFERROR(INDEX($R$9:$R$809,ROW()-8),"")</f>
        <v/>
      </c>
      <c r="B419">
        <f>IFERROR(INDEX($S$9:$S$809,ROW()-8),"")</f>
        <v/>
      </c>
      <c r="C419">
        <f>IFERROR(INDEX($W$9:$W$809,ROW()-8),"")</f>
        <v/>
      </c>
      <c r="D419" s="26">
        <f>IF(COUNT(B418:B419)=2,LN(B419/B418),"")</f>
        <v/>
      </c>
      <c r="E419" s="27">
        <f>IF(COUNT(C418:C419)=2,(C419-C418)*100,"")</f>
        <v/>
      </c>
      <c r="F419" s="28">
        <f>IF(ROW()-8&lt;CorrWindow,"",IFERROR(CORREL(INDEX($D$9:$D$809,ROW()-8-CorrWindow+1):D419,INDEX($E$9:$E$809,ROW()-8-CorrWindow+1):E419),""))</f>
        <v/>
      </c>
      <c r="G419">
        <f>IF(A419="","",0)</f>
        <v/>
      </c>
    </row>
    <row r="420">
      <c r="A420" s="23">
        <f>IFERROR(INDEX($R$9:$R$809,ROW()-8),"")</f>
        <v/>
      </c>
      <c r="B420">
        <f>IFERROR(INDEX($S$9:$S$809,ROW()-8),"")</f>
        <v/>
      </c>
      <c r="C420">
        <f>IFERROR(INDEX($W$9:$W$809,ROW()-8),"")</f>
        <v/>
      </c>
      <c r="D420" s="26">
        <f>IF(COUNT(B419:B420)=2,LN(B420/B419),"")</f>
        <v/>
      </c>
      <c r="E420" s="27">
        <f>IF(COUNT(C419:C420)=2,(C420-C419)*100,"")</f>
        <v/>
      </c>
      <c r="F420" s="28">
        <f>IF(ROW()-8&lt;CorrWindow,"",IFERROR(CORREL(INDEX($D$9:$D$809,ROW()-8-CorrWindow+1):D420,INDEX($E$9:$E$809,ROW()-8-CorrWindow+1):E420),""))</f>
        <v/>
      </c>
      <c r="G420">
        <f>IF(A420="","",0)</f>
        <v/>
      </c>
    </row>
    <row r="421">
      <c r="A421" s="23">
        <f>IFERROR(INDEX($R$9:$R$809,ROW()-8),"")</f>
        <v/>
      </c>
      <c r="B421">
        <f>IFERROR(INDEX($S$9:$S$809,ROW()-8),"")</f>
        <v/>
      </c>
      <c r="C421">
        <f>IFERROR(INDEX($W$9:$W$809,ROW()-8),"")</f>
        <v/>
      </c>
      <c r="D421" s="26">
        <f>IF(COUNT(B420:B421)=2,LN(B421/B420),"")</f>
        <v/>
      </c>
      <c r="E421" s="27">
        <f>IF(COUNT(C420:C421)=2,(C421-C420)*100,"")</f>
        <v/>
      </c>
      <c r="F421" s="28">
        <f>IF(ROW()-8&lt;CorrWindow,"",IFERROR(CORREL(INDEX($D$9:$D$809,ROW()-8-CorrWindow+1):D421,INDEX($E$9:$E$809,ROW()-8-CorrWindow+1):E421),""))</f>
        <v/>
      </c>
      <c r="G421">
        <f>IF(A421="","",0)</f>
        <v/>
      </c>
    </row>
    <row r="422">
      <c r="A422" s="23">
        <f>IFERROR(INDEX($R$9:$R$809,ROW()-8),"")</f>
        <v/>
      </c>
      <c r="B422">
        <f>IFERROR(INDEX($S$9:$S$809,ROW()-8),"")</f>
        <v/>
      </c>
      <c r="C422">
        <f>IFERROR(INDEX($W$9:$W$809,ROW()-8),"")</f>
        <v/>
      </c>
      <c r="D422" s="26">
        <f>IF(COUNT(B421:B422)=2,LN(B422/B421),"")</f>
        <v/>
      </c>
      <c r="E422" s="27">
        <f>IF(COUNT(C421:C422)=2,(C422-C421)*100,"")</f>
        <v/>
      </c>
      <c r="F422" s="28">
        <f>IF(ROW()-8&lt;CorrWindow,"",IFERROR(CORREL(INDEX($D$9:$D$809,ROW()-8-CorrWindow+1):D422,INDEX($E$9:$E$809,ROW()-8-CorrWindow+1):E422),""))</f>
        <v/>
      </c>
      <c r="G422">
        <f>IF(A422="","",0)</f>
        <v/>
      </c>
    </row>
    <row r="423">
      <c r="A423" s="23">
        <f>IFERROR(INDEX($R$9:$R$809,ROW()-8),"")</f>
        <v/>
      </c>
      <c r="B423">
        <f>IFERROR(INDEX($S$9:$S$809,ROW()-8),"")</f>
        <v/>
      </c>
      <c r="C423">
        <f>IFERROR(INDEX($W$9:$W$809,ROW()-8),"")</f>
        <v/>
      </c>
      <c r="D423" s="26">
        <f>IF(COUNT(B422:B423)=2,LN(B423/B422),"")</f>
        <v/>
      </c>
      <c r="E423" s="27">
        <f>IF(COUNT(C422:C423)=2,(C423-C422)*100,"")</f>
        <v/>
      </c>
      <c r="F423" s="28">
        <f>IF(ROW()-8&lt;CorrWindow,"",IFERROR(CORREL(INDEX($D$9:$D$809,ROW()-8-CorrWindow+1):D423,INDEX($E$9:$E$809,ROW()-8-CorrWindow+1):E423),""))</f>
        <v/>
      </c>
      <c r="G423">
        <f>IF(A423="","",0)</f>
        <v/>
      </c>
    </row>
    <row r="424">
      <c r="A424" s="23">
        <f>IFERROR(INDEX($R$9:$R$809,ROW()-8),"")</f>
        <v/>
      </c>
      <c r="B424">
        <f>IFERROR(INDEX($S$9:$S$809,ROW()-8),"")</f>
        <v/>
      </c>
      <c r="C424">
        <f>IFERROR(INDEX($W$9:$W$809,ROW()-8),"")</f>
        <v/>
      </c>
      <c r="D424" s="26">
        <f>IF(COUNT(B423:B424)=2,LN(B424/B423),"")</f>
        <v/>
      </c>
      <c r="E424" s="27">
        <f>IF(COUNT(C423:C424)=2,(C424-C423)*100,"")</f>
        <v/>
      </c>
      <c r="F424" s="28">
        <f>IF(ROW()-8&lt;CorrWindow,"",IFERROR(CORREL(INDEX($D$9:$D$809,ROW()-8-CorrWindow+1):D424,INDEX($E$9:$E$809,ROW()-8-CorrWindow+1):E424),""))</f>
        <v/>
      </c>
      <c r="G424">
        <f>IF(A424="","",0)</f>
        <v/>
      </c>
    </row>
    <row r="425">
      <c r="A425" s="23">
        <f>IFERROR(INDEX($R$9:$R$809,ROW()-8),"")</f>
        <v/>
      </c>
      <c r="B425">
        <f>IFERROR(INDEX($S$9:$S$809,ROW()-8),"")</f>
        <v/>
      </c>
      <c r="C425">
        <f>IFERROR(INDEX($W$9:$W$809,ROW()-8),"")</f>
        <v/>
      </c>
      <c r="D425" s="26">
        <f>IF(COUNT(B424:B425)=2,LN(B425/B424),"")</f>
        <v/>
      </c>
      <c r="E425" s="27">
        <f>IF(COUNT(C424:C425)=2,(C425-C424)*100,"")</f>
        <v/>
      </c>
      <c r="F425" s="28">
        <f>IF(ROW()-8&lt;CorrWindow,"",IFERROR(CORREL(INDEX($D$9:$D$809,ROW()-8-CorrWindow+1):D425,INDEX($E$9:$E$809,ROW()-8-CorrWindow+1):E425),""))</f>
        <v/>
      </c>
      <c r="G425">
        <f>IF(A425="","",0)</f>
        <v/>
      </c>
    </row>
    <row r="426">
      <c r="A426" s="23">
        <f>IFERROR(INDEX($R$9:$R$809,ROW()-8),"")</f>
        <v/>
      </c>
      <c r="B426">
        <f>IFERROR(INDEX($S$9:$S$809,ROW()-8),"")</f>
        <v/>
      </c>
      <c r="C426">
        <f>IFERROR(INDEX($W$9:$W$809,ROW()-8),"")</f>
        <v/>
      </c>
      <c r="D426" s="26">
        <f>IF(COUNT(B425:B426)=2,LN(B426/B425),"")</f>
        <v/>
      </c>
      <c r="E426" s="27">
        <f>IF(COUNT(C425:C426)=2,(C426-C425)*100,"")</f>
        <v/>
      </c>
      <c r="F426" s="28">
        <f>IF(ROW()-8&lt;CorrWindow,"",IFERROR(CORREL(INDEX($D$9:$D$809,ROW()-8-CorrWindow+1):D426,INDEX($E$9:$E$809,ROW()-8-CorrWindow+1):E426),""))</f>
        <v/>
      </c>
      <c r="G426">
        <f>IF(A426="","",0)</f>
        <v/>
      </c>
    </row>
    <row r="427">
      <c r="A427" s="23">
        <f>IFERROR(INDEX($R$9:$R$809,ROW()-8),"")</f>
        <v/>
      </c>
      <c r="B427">
        <f>IFERROR(INDEX($S$9:$S$809,ROW()-8),"")</f>
        <v/>
      </c>
      <c r="C427">
        <f>IFERROR(INDEX($W$9:$W$809,ROW()-8),"")</f>
        <v/>
      </c>
      <c r="D427" s="26">
        <f>IF(COUNT(B426:B427)=2,LN(B427/B426),"")</f>
        <v/>
      </c>
      <c r="E427" s="27">
        <f>IF(COUNT(C426:C427)=2,(C427-C426)*100,"")</f>
        <v/>
      </c>
      <c r="F427" s="28">
        <f>IF(ROW()-8&lt;CorrWindow,"",IFERROR(CORREL(INDEX($D$9:$D$809,ROW()-8-CorrWindow+1):D427,INDEX($E$9:$E$809,ROW()-8-CorrWindow+1):E427),""))</f>
        <v/>
      </c>
      <c r="G427">
        <f>IF(A427="","",0)</f>
        <v/>
      </c>
    </row>
    <row r="428">
      <c r="A428" s="23">
        <f>IFERROR(INDEX($R$9:$R$809,ROW()-8),"")</f>
        <v/>
      </c>
      <c r="B428">
        <f>IFERROR(INDEX($S$9:$S$809,ROW()-8),"")</f>
        <v/>
      </c>
      <c r="C428">
        <f>IFERROR(INDEX($W$9:$W$809,ROW()-8),"")</f>
        <v/>
      </c>
      <c r="D428" s="26">
        <f>IF(COUNT(B427:B428)=2,LN(B428/B427),"")</f>
        <v/>
      </c>
      <c r="E428" s="27">
        <f>IF(COUNT(C427:C428)=2,(C428-C427)*100,"")</f>
        <v/>
      </c>
      <c r="F428" s="28">
        <f>IF(ROW()-8&lt;CorrWindow,"",IFERROR(CORREL(INDEX($D$9:$D$809,ROW()-8-CorrWindow+1):D428,INDEX($E$9:$E$809,ROW()-8-CorrWindow+1):E428),""))</f>
        <v/>
      </c>
      <c r="G428">
        <f>IF(A428="","",0)</f>
        <v/>
      </c>
    </row>
    <row r="429">
      <c r="A429" s="23">
        <f>IFERROR(INDEX($R$9:$R$809,ROW()-8),"")</f>
        <v/>
      </c>
      <c r="B429">
        <f>IFERROR(INDEX($S$9:$S$809,ROW()-8),"")</f>
        <v/>
      </c>
      <c r="C429">
        <f>IFERROR(INDEX($W$9:$W$809,ROW()-8),"")</f>
        <v/>
      </c>
      <c r="D429" s="26">
        <f>IF(COUNT(B428:B429)=2,LN(B429/B428),"")</f>
        <v/>
      </c>
      <c r="E429" s="27">
        <f>IF(COUNT(C428:C429)=2,(C429-C428)*100,"")</f>
        <v/>
      </c>
      <c r="F429" s="28">
        <f>IF(ROW()-8&lt;CorrWindow,"",IFERROR(CORREL(INDEX($D$9:$D$809,ROW()-8-CorrWindow+1):D429,INDEX($E$9:$E$809,ROW()-8-CorrWindow+1):E429),""))</f>
        <v/>
      </c>
      <c r="G429">
        <f>IF(A429="","",0)</f>
        <v/>
      </c>
    </row>
    <row r="430">
      <c r="A430" s="23">
        <f>IFERROR(INDEX($R$9:$R$809,ROW()-8),"")</f>
        <v/>
      </c>
      <c r="B430">
        <f>IFERROR(INDEX($S$9:$S$809,ROW()-8),"")</f>
        <v/>
      </c>
      <c r="C430">
        <f>IFERROR(INDEX($W$9:$W$809,ROW()-8),"")</f>
        <v/>
      </c>
      <c r="D430" s="26">
        <f>IF(COUNT(B429:B430)=2,LN(B430/B429),"")</f>
        <v/>
      </c>
      <c r="E430" s="27">
        <f>IF(COUNT(C429:C430)=2,(C430-C429)*100,"")</f>
        <v/>
      </c>
      <c r="F430" s="28">
        <f>IF(ROW()-8&lt;CorrWindow,"",IFERROR(CORREL(INDEX($D$9:$D$809,ROW()-8-CorrWindow+1):D430,INDEX($E$9:$E$809,ROW()-8-CorrWindow+1):E430),""))</f>
        <v/>
      </c>
      <c r="G430">
        <f>IF(A430="","",0)</f>
        <v/>
      </c>
    </row>
    <row r="431">
      <c r="A431" s="23">
        <f>IFERROR(INDEX($R$9:$R$809,ROW()-8),"")</f>
        <v/>
      </c>
      <c r="B431">
        <f>IFERROR(INDEX($S$9:$S$809,ROW()-8),"")</f>
        <v/>
      </c>
      <c r="C431">
        <f>IFERROR(INDEX($W$9:$W$809,ROW()-8),"")</f>
        <v/>
      </c>
      <c r="D431" s="26">
        <f>IF(COUNT(B430:B431)=2,LN(B431/B430),"")</f>
        <v/>
      </c>
      <c r="E431" s="27">
        <f>IF(COUNT(C430:C431)=2,(C431-C430)*100,"")</f>
        <v/>
      </c>
      <c r="F431" s="28">
        <f>IF(ROW()-8&lt;CorrWindow,"",IFERROR(CORREL(INDEX($D$9:$D$809,ROW()-8-CorrWindow+1):D431,INDEX($E$9:$E$809,ROW()-8-CorrWindow+1):E431),""))</f>
        <v/>
      </c>
      <c r="G431">
        <f>IF(A431="","",0)</f>
        <v/>
      </c>
    </row>
    <row r="432">
      <c r="A432" s="23">
        <f>IFERROR(INDEX($R$9:$R$809,ROW()-8),"")</f>
        <v/>
      </c>
      <c r="B432">
        <f>IFERROR(INDEX($S$9:$S$809,ROW()-8),"")</f>
        <v/>
      </c>
      <c r="C432">
        <f>IFERROR(INDEX($W$9:$W$809,ROW()-8),"")</f>
        <v/>
      </c>
      <c r="D432" s="26">
        <f>IF(COUNT(B431:B432)=2,LN(B432/B431),"")</f>
        <v/>
      </c>
      <c r="E432" s="27">
        <f>IF(COUNT(C431:C432)=2,(C432-C431)*100,"")</f>
        <v/>
      </c>
      <c r="F432" s="28">
        <f>IF(ROW()-8&lt;CorrWindow,"",IFERROR(CORREL(INDEX($D$9:$D$809,ROW()-8-CorrWindow+1):D432,INDEX($E$9:$E$809,ROW()-8-CorrWindow+1):E432),""))</f>
        <v/>
      </c>
      <c r="G432">
        <f>IF(A432="","",0)</f>
        <v/>
      </c>
    </row>
    <row r="433">
      <c r="A433" s="23">
        <f>IFERROR(INDEX($R$9:$R$809,ROW()-8),"")</f>
        <v/>
      </c>
      <c r="B433">
        <f>IFERROR(INDEX($S$9:$S$809,ROW()-8),"")</f>
        <v/>
      </c>
      <c r="C433">
        <f>IFERROR(INDEX($W$9:$W$809,ROW()-8),"")</f>
        <v/>
      </c>
      <c r="D433" s="26">
        <f>IF(COUNT(B432:B433)=2,LN(B433/B432),"")</f>
        <v/>
      </c>
      <c r="E433" s="27">
        <f>IF(COUNT(C432:C433)=2,(C433-C432)*100,"")</f>
        <v/>
      </c>
      <c r="F433" s="28">
        <f>IF(ROW()-8&lt;CorrWindow,"",IFERROR(CORREL(INDEX($D$9:$D$809,ROW()-8-CorrWindow+1):D433,INDEX($E$9:$E$809,ROW()-8-CorrWindow+1):E433),""))</f>
        <v/>
      </c>
      <c r="G433">
        <f>IF(A433="","",0)</f>
        <v/>
      </c>
    </row>
    <row r="434">
      <c r="A434" s="23">
        <f>IFERROR(INDEX($R$9:$R$809,ROW()-8),"")</f>
        <v/>
      </c>
      <c r="B434">
        <f>IFERROR(INDEX($S$9:$S$809,ROW()-8),"")</f>
        <v/>
      </c>
      <c r="C434">
        <f>IFERROR(INDEX($W$9:$W$809,ROW()-8),"")</f>
        <v/>
      </c>
      <c r="D434" s="26">
        <f>IF(COUNT(B433:B434)=2,LN(B434/B433),"")</f>
        <v/>
      </c>
      <c r="E434" s="27">
        <f>IF(COUNT(C433:C434)=2,(C434-C433)*100,"")</f>
        <v/>
      </c>
      <c r="F434" s="28">
        <f>IF(ROW()-8&lt;CorrWindow,"",IFERROR(CORREL(INDEX($D$9:$D$809,ROW()-8-CorrWindow+1):D434,INDEX($E$9:$E$809,ROW()-8-CorrWindow+1):E434),""))</f>
        <v/>
      </c>
      <c r="G434">
        <f>IF(A434="","",0)</f>
        <v/>
      </c>
    </row>
    <row r="435">
      <c r="A435" s="23">
        <f>IFERROR(INDEX($R$9:$R$809,ROW()-8),"")</f>
        <v/>
      </c>
      <c r="B435">
        <f>IFERROR(INDEX($S$9:$S$809,ROW()-8),"")</f>
        <v/>
      </c>
      <c r="C435">
        <f>IFERROR(INDEX($W$9:$W$809,ROW()-8),"")</f>
        <v/>
      </c>
      <c r="D435" s="26">
        <f>IF(COUNT(B434:B435)=2,LN(B435/B434),"")</f>
        <v/>
      </c>
      <c r="E435" s="27">
        <f>IF(COUNT(C434:C435)=2,(C435-C434)*100,"")</f>
        <v/>
      </c>
      <c r="F435" s="28">
        <f>IF(ROW()-8&lt;CorrWindow,"",IFERROR(CORREL(INDEX($D$9:$D$809,ROW()-8-CorrWindow+1):D435,INDEX($E$9:$E$809,ROW()-8-CorrWindow+1):E435),""))</f>
        <v/>
      </c>
      <c r="G435">
        <f>IF(A435="","",0)</f>
        <v/>
      </c>
    </row>
    <row r="436">
      <c r="A436" s="23">
        <f>IFERROR(INDEX($R$9:$R$809,ROW()-8),"")</f>
        <v/>
      </c>
      <c r="B436">
        <f>IFERROR(INDEX($S$9:$S$809,ROW()-8),"")</f>
        <v/>
      </c>
      <c r="C436">
        <f>IFERROR(INDEX($W$9:$W$809,ROW()-8),"")</f>
        <v/>
      </c>
      <c r="D436" s="26">
        <f>IF(COUNT(B435:B436)=2,LN(B436/B435),"")</f>
        <v/>
      </c>
      <c r="E436" s="27">
        <f>IF(COUNT(C435:C436)=2,(C436-C435)*100,"")</f>
        <v/>
      </c>
      <c r="F436" s="28">
        <f>IF(ROW()-8&lt;CorrWindow,"",IFERROR(CORREL(INDEX($D$9:$D$809,ROW()-8-CorrWindow+1):D436,INDEX($E$9:$E$809,ROW()-8-CorrWindow+1):E436),""))</f>
        <v/>
      </c>
      <c r="G436">
        <f>IF(A436="","",0)</f>
        <v/>
      </c>
    </row>
    <row r="437">
      <c r="A437" s="23">
        <f>IFERROR(INDEX($R$9:$R$809,ROW()-8),"")</f>
        <v/>
      </c>
      <c r="B437">
        <f>IFERROR(INDEX($S$9:$S$809,ROW()-8),"")</f>
        <v/>
      </c>
      <c r="C437">
        <f>IFERROR(INDEX($W$9:$W$809,ROW()-8),"")</f>
        <v/>
      </c>
      <c r="D437" s="26">
        <f>IF(COUNT(B436:B437)=2,LN(B437/B436),"")</f>
        <v/>
      </c>
      <c r="E437" s="27">
        <f>IF(COUNT(C436:C437)=2,(C437-C436)*100,"")</f>
        <v/>
      </c>
      <c r="F437" s="28">
        <f>IF(ROW()-8&lt;CorrWindow,"",IFERROR(CORREL(INDEX($D$9:$D$809,ROW()-8-CorrWindow+1):D437,INDEX($E$9:$E$809,ROW()-8-CorrWindow+1):E437),""))</f>
        <v/>
      </c>
      <c r="G437">
        <f>IF(A437="","",0)</f>
        <v/>
      </c>
    </row>
    <row r="438">
      <c r="A438" s="23">
        <f>IFERROR(INDEX($R$9:$R$809,ROW()-8),"")</f>
        <v/>
      </c>
      <c r="B438">
        <f>IFERROR(INDEX($S$9:$S$809,ROW()-8),"")</f>
        <v/>
      </c>
      <c r="C438">
        <f>IFERROR(INDEX($W$9:$W$809,ROW()-8),"")</f>
        <v/>
      </c>
      <c r="D438" s="26">
        <f>IF(COUNT(B437:B438)=2,LN(B438/B437),"")</f>
        <v/>
      </c>
      <c r="E438" s="27">
        <f>IF(COUNT(C437:C438)=2,(C438-C437)*100,"")</f>
        <v/>
      </c>
      <c r="F438" s="28">
        <f>IF(ROW()-8&lt;CorrWindow,"",IFERROR(CORREL(INDEX($D$9:$D$809,ROW()-8-CorrWindow+1):D438,INDEX($E$9:$E$809,ROW()-8-CorrWindow+1):E438),""))</f>
        <v/>
      </c>
      <c r="G438">
        <f>IF(A438="","",0)</f>
        <v/>
      </c>
    </row>
    <row r="439">
      <c r="A439" s="23">
        <f>IFERROR(INDEX($R$9:$R$809,ROW()-8),"")</f>
        <v/>
      </c>
      <c r="B439">
        <f>IFERROR(INDEX($S$9:$S$809,ROW()-8),"")</f>
        <v/>
      </c>
      <c r="C439">
        <f>IFERROR(INDEX($W$9:$W$809,ROW()-8),"")</f>
        <v/>
      </c>
      <c r="D439" s="26">
        <f>IF(COUNT(B438:B439)=2,LN(B439/B438),"")</f>
        <v/>
      </c>
      <c r="E439" s="27">
        <f>IF(COUNT(C438:C439)=2,(C439-C438)*100,"")</f>
        <v/>
      </c>
      <c r="F439" s="28">
        <f>IF(ROW()-8&lt;CorrWindow,"",IFERROR(CORREL(INDEX($D$9:$D$809,ROW()-8-CorrWindow+1):D439,INDEX($E$9:$E$809,ROW()-8-CorrWindow+1):E439),""))</f>
        <v/>
      </c>
      <c r="G439">
        <f>IF(A439="","",0)</f>
        <v/>
      </c>
    </row>
    <row r="440">
      <c r="A440" s="23">
        <f>IFERROR(INDEX($R$9:$R$809,ROW()-8),"")</f>
        <v/>
      </c>
      <c r="B440">
        <f>IFERROR(INDEX($S$9:$S$809,ROW()-8),"")</f>
        <v/>
      </c>
      <c r="C440">
        <f>IFERROR(INDEX($W$9:$W$809,ROW()-8),"")</f>
        <v/>
      </c>
      <c r="D440" s="26">
        <f>IF(COUNT(B439:B440)=2,LN(B440/B439),"")</f>
        <v/>
      </c>
      <c r="E440" s="27">
        <f>IF(COUNT(C439:C440)=2,(C440-C439)*100,"")</f>
        <v/>
      </c>
      <c r="F440" s="28">
        <f>IF(ROW()-8&lt;CorrWindow,"",IFERROR(CORREL(INDEX($D$9:$D$809,ROW()-8-CorrWindow+1):D440,INDEX($E$9:$E$809,ROW()-8-CorrWindow+1):E440),""))</f>
        <v/>
      </c>
      <c r="G440">
        <f>IF(A440="","",0)</f>
        <v/>
      </c>
    </row>
    <row r="441">
      <c r="A441" s="23">
        <f>IFERROR(INDEX($R$9:$R$809,ROW()-8),"")</f>
        <v/>
      </c>
      <c r="B441">
        <f>IFERROR(INDEX($S$9:$S$809,ROW()-8),"")</f>
        <v/>
      </c>
      <c r="C441">
        <f>IFERROR(INDEX($W$9:$W$809,ROW()-8),"")</f>
        <v/>
      </c>
      <c r="D441" s="26">
        <f>IF(COUNT(B440:B441)=2,LN(B441/B440),"")</f>
        <v/>
      </c>
      <c r="E441" s="27">
        <f>IF(COUNT(C440:C441)=2,(C441-C440)*100,"")</f>
        <v/>
      </c>
      <c r="F441" s="28">
        <f>IF(ROW()-8&lt;CorrWindow,"",IFERROR(CORREL(INDEX($D$9:$D$809,ROW()-8-CorrWindow+1):D441,INDEX($E$9:$E$809,ROW()-8-CorrWindow+1):E441),""))</f>
        <v/>
      </c>
      <c r="G441">
        <f>IF(A441="","",0)</f>
        <v/>
      </c>
    </row>
    <row r="442">
      <c r="A442" s="23">
        <f>IFERROR(INDEX($R$9:$R$809,ROW()-8),"")</f>
        <v/>
      </c>
      <c r="B442">
        <f>IFERROR(INDEX($S$9:$S$809,ROW()-8),"")</f>
        <v/>
      </c>
      <c r="C442">
        <f>IFERROR(INDEX($W$9:$W$809,ROW()-8),"")</f>
        <v/>
      </c>
      <c r="D442" s="26">
        <f>IF(COUNT(B441:B442)=2,LN(B442/B441),"")</f>
        <v/>
      </c>
      <c r="E442" s="27">
        <f>IF(COUNT(C441:C442)=2,(C442-C441)*100,"")</f>
        <v/>
      </c>
      <c r="F442" s="28">
        <f>IF(ROW()-8&lt;CorrWindow,"",IFERROR(CORREL(INDEX($D$9:$D$809,ROW()-8-CorrWindow+1):D442,INDEX($E$9:$E$809,ROW()-8-CorrWindow+1):E442),""))</f>
        <v/>
      </c>
      <c r="G442">
        <f>IF(A442="","",0)</f>
        <v/>
      </c>
    </row>
    <row r="443">
      <c r="A443" s="23">
        <f>IFERROR(INDEX($R$9:$R$809,ROW()-8),"")</f>
        <v/>
      </c>
      <c r="B443">
        <f>IFERROR(INDEX($S$9:$S$809,ROW()-8),"")</f>
        <v/>
      </c>
      <c r="C443">
        <f>IFERROR(INDEX($W$9:$W$809,ROW()-8),"")</f>
        <v/>
      </c>
      <c r="D443" s="26">
        <f>IF(COUNT(B442:B443)=2,LN(B443/B442),"")</f>
        <v/>
      </c>
      <c r="E443" s="27">
        <f>IF(COUNT(C442:C443)=2,(C443-C442)*100,"")</f>
        <v/>
      </c>
      <c r="F443" s="28">
        <f>IF(ROW()-8&lt;CorrWindow,"",IFERROR(CORREL(INDEX($D$9:$D$809,ROW()-8-CorrWindow+1):D443,INDEX($E$9:$E$809,ROW()-8-CorrWindow+1):E443),""))</f>
        <v/>
      </c>
      <c r="G443">
        <f>IF(A443="","",0)</f>
        <v/>
      </c>
    </row>
    <row r="444">
      <c r="A444" s="23">
        <f>IFERROR(INDEX($R$9:$R$809,ROW()-8),"")</f>
        <v/>
      </c>
      <c r="B444">
        <f>IFERROR(INDEX($S$9:$S$809,ROW()-8),"")</f>
        <v/>
      </c>
      <c r="C444">
        <f>IFERROR(INDEX($W$9:$W$809,ROW()-8),"")</f>
        <v/>
      </c>
      <c r="D444" s="26">
        <f>IF(COUNT(B443:B444)=2,LN(B444/B443),"")</f>
        <v/>
      </c>
      <c r="E444" s="27">
        <f>IF(COUNT(C443:C444)=2,(C444-C443)*100,"")</f>
        <v/>
      </c>
      <c r="F444" s="28">
        <f>IF(ROW()-8&lt;CorrWindow,"",IFERROR(CORREL(INDEX($D$9:$D$809,ROW()-8-CorrWindow+1):D444,INDEX($E$9:$E$809,ROW()-8-CorrWindow+1):E444),""))</f>
        <v/>
      </c>
      <c r="G444">
        <f>IF(A444="","",0)</f>
        <v/>
      </c>
    </row>
    <row r="445">
      <c r="A445" s="23">
        <f>IFERROR(INDEX($R$9:$R$809,ROW()-8),"")</f>
        <v/>
      </c>
      <c r="B445">
        <f>IFERROR(INDEX($S$9:$S$809,ROW()-8),"")</f>
        <v/>
      </c>
      <c r="C445">
        <f>IFERROR(INDEX($W$9:$W$809,ROW()-8),"")</f>
        <v/>
      </c>
      <c r="D445" s="26">
        <f>IF(COUNT(B444:B445)=2,LN(B445/B444),"")</f>
        <v/>
      </c>
      <c r="E445" s="27">
        <f>IF(COUNT(C444:C445)=2,(C445-C444)*100,"")</f>
        <v/>
      </c>
      <c r="F445" s="28">
        <f>IF(ROW()-8&lt;CorrWindow,"",IFERROR(CORREL(INDEX($D$9:$D$809,ROW()-8-CorrWindow+1):D445,INDEX($E$9:$E$809,ROW()-8-CorrWindow+1):E445),""))</f>
        <v/>
      </c>
      <c r="G445">
        <f>IF(A445="","",0)</f>
        <v/>
      </c>
    </row>
    <row r="446">
      <c r="A446" s="23">
        <f>IFERROR(INDEX($R$9:$R$809,ROW()-8),"")</f>
        <v/>
      </c>
      <c r="B446">
        <f>IFERROR(INDEX($S$9:$S$809,ROW()-8),"")</f>
        <v/>
      </c>
      <c r="C446">
        <f>IFERROR(INDEX($W$9:$W$809,ROW()-8),"")</f>
        <v/>
      </c>
      <c r="D446" s="26">
        <f>IF(COUNT(B445:B446)=2,LN(B446/B445),"")</f>
        <v/>
      </c>
      <c r="E446" s="27">
        <f>IF(COUNT(C445:C446)=2,(C446-C445)*100,"")</f>
        <v/>
      </c>
      <c r="F446" s="28">
        <f>IF(ROW()-8&lt;CorrWindow,"",IFERROR(CORREL(INDEX($D$9:$D$809,ROW()-8-CorrWindow+1):D446,INDEX($E$9:$E$809,ROW()-8-CorrWindow+1):E446),""))</f>
        <v/>
      </c>
      <c r="G446">
        <f>IF(A446="","",0)</f>
        <v/>
      </c>
    </row>
    <row r="447">
      <c r="A447" s="23">
        <f>IFERROR(INDEX($R$9:$R$809,ROW()-8),"")</f>
        <v/>
      </c>
      <c r="B447">
        <f>IFERROR(INDEX($S$9:$S$809,ROW()-8),"")</f>
        <v/>
      </c>
      <c r="C447">
        <f>IFERROR(INDEX($W$9:$W$809,ROW()-8),"")</f>
        <v/>
      </c>
      <c r="D447" s="26">
        <f>IF(COUNT(B446:B447)=2,LN(B447/B446),"")</f>
        <v/>
      </c>
      <c r="E447" s="27">
        <f>IF(COUNT(C446:C447)=2,(C447-C446)*100,"")</f>
        <v/>
      </c>
      <c r="F447" s="28">
        <f>IF(ROW()-8&lt;CorrWindow,"",IFERROR(CORREL(INDEX($D$9:$D$809,ROW()-8-CorrWindow+1):D447,INDEX($E$9:$E$809,ROW()-8-CorrWindow+1):E447),""))</f>
        <v/>
      </c>
      <c r="G447">
        <f>IF(A447="","",0)</f>
        <v/>
      </c>
    </row>
    <row r="448">
      <c r="A448" s="23">
        <f>IFERROR(INDEX($R$9:$R$809,ROW()-8),"")</f>
        <v/>
      </c>
      <c r="B448">
        <f>IFERROR(INDEX($S$9:$S$809,ROW()-8),"")</f>
        <v/>
      </c>
      <c r="C448">
        <f>IFERROR(INDEX($W$9:$W$809,ROW()-8),"")</f>
        <v/>
      </c>
      <c r="D448" s="26">
        <f>IF(COUNT(B447:B448)=2,LN(B448/B447),"")</f>
        <v/>
      </c>
      <c r="E448" s="27">
        <f>IF(COUNT(C447:C448)=2,(C448-C447)*100,"")</f>
        <v/>
      </c>
      <c r="F448" s="28">
        <f>IF(ROW()-8&lt;CorrWindow,"",IFERROR(CORREL(INDEX($D$9:$D$809,ROW()-8-CorrWindow+1):D448,INDEX($E$9:$E$809,ROW()-8-CorrWindow+1):E448),""))</f>
        <v/>
      </c>
      <c r="G448">
        <f>IF(A448="","",0)</f>
        <v/>
      </c>
    </row>
    <row r="449">
      <c r="A449" s="23">
        <f>IFERROR(INDEX($R$9:$R$809,ROW()-8),"")</f>
        <v/>
      </c>
      <c r="B449">
        <f>IFERROR(INDEX($S$9:$S$809,ROW()-8),"")</f>
        <v/>
      </c>
      <c r="C449">
        <f>IFERROR(INDEX($W$9:$W$809,ROW()-8),"")</f>
        <v/>
      </c>
      <c r="D449" s="26">
        <f>IF(COUNT(B448:B449)=2,LN(B449/B448),"")</f>
        <v/>
      </c>
      <c r="E449" s="27">
        <f>IF(COUNT(C448:C449)=2,(C449-C448)*100,"")</f>
        <v/>
      </c>
      <c r="F449" s="28">
        <f>IF(ROW()-8&lt;CorrWindow,"",IFERROR(CORREL(INDEX($D$9:$D$809,ROW()-8-CorrWindow+1):D449,INDEX($E$9:$E$809,ROW()-8-CorrWindow+1):E449),""))</f>
        <v/>
      </c>
      <c r="G449">
        <f>IF(A449="","",0)</f>
        <v/>
      </c>
    </row>
    <row r="450">
      <c r="A450" s="23">
        <f>IFERROR(INDEX($R$9:$R$809,ROW()-8),"")</f>
        <v/>
      </c>
      <c r="B450">
        <f>IFERROR(INDEX($S$9:$S$809,ROW()-8),"")</f>
        <v/>
      </c>
      <c r="C450">
        <f>IFERROR(INDEX($W$9:$W$809,ROW()-8),"")</f>
        <v/>
      </c>
      <c r="D450" s="26">
        <f>IF(COUNT(B449:B450)=2,LN(B450/B449),"")</f>
        <v/>
      </c>
      <c r="E450" s="27">
        <f>IF(COUNT(C449:C450)=2,(C450-C449)*100,"")</f>
        <v/>
      </c>
      <c r="F450" s="28">
        <f>IF(ROW()-8&lt;CorrWindow,"",IFERROR(CORREL(INDEX($D$9:$D$809,ROW()-8-CorrWindow+1):D450,INDEX($E$9:$E$809,ROW()-8-CorrWindow+1):E450),""))</f>
        <v/>
      </c>
      <c r="G450">
        <f>IF(A450="","",0)</f>
        <v/>
      </c>
    </row>
    <row r="451">
      <c r="A451" s="23">
        <f>IFERROR(INDEX($R$9:$R$809,ROW()-8),"")</f>
        <v/>
      </c>
      <c r="B451">
        <f>IFERROR(INDEX($S$9:$S$809,ROW()-8),"")</f>
        <v/>
      </c>
      <c r="C451">
        <f>IFERROR(INDEX($W$9:$W$809,ROW()-8),"")</f>
        <v/>
      </c>
      <c r="D451" s="26">
        <f>IF(COUNT(B450:B451)=2,LN(B451/B450),"")</f>
        <v/>
      </c>
      <c r="E451" s="27">
        <f>IF(COUNT(C450:C451)=2,(C451-C450)*100,"")</f>
        <v/>
      </c>
      <c r="F451" s="28">
        <f>IF(ROW()-8&lt;CorrWindow,"",IFERROR(CORREL(INDEX($D$9:$D$809,ROW()-8-CorrWindow+1):D451,INDEX($E$9:$E$809,ROW()-8-CorrWindow+1):E451),""))</f>
        <v/>
      </c>
      <c r="G451">
        <f>IF(A451="","",0)</f>
        <v/>
      </c>
    </row>
    <row r="452">
      <c r="A452" s="23">
        <f>IFERROR(INDEX($R$9:$R$809,ROW()-8),"")</f>
        <v/>
      </c>
      <c r="B452">
        <f>IFERROR(INDEX($S$9:$S$809,ROW()-8),"")</f>
        <v/>
      </c>
      <c r="C452">
        <f>IFERROR(INDEX($W$9:$W$809,ROW()-8),"")</f>
        <v/>
      </c>
      <c r="D452" s="26">
        <f>IF(COUNT(B451:B452)=2,LN(B452/B451),"")</f>
        <v/>
      </c>
      <c r="E452" s="27">
        <f>IF(COUNT(C451:C452)=2,(C452-C451)*100,"")</f>
        <v/>
      </c>
      <c r="F452" s="28">
        <f>IF(ROW()-8&lt;CorrWindow,"",IFERROR(CORREL(INDEX($D$9:$D$809,ROW()-8-CorrWindow+1):D452,INDEX($E$9:$E$809,ROW()-8-CorrWindow+1):E452),""))</f>
        <v/>
      </c>
      <c r="G452">
        <f>IF(A452="","",0)</f>
        <v/>
      </c>
    </row>
    <row r="453">
      <c r="A453" s="23">
        <f>IFERROR(INDEX($R$9:$R$809,ROW()-8),"")</f>
        <v/>
      </c>
      <c r="B453">
        <f>IFERROR(INDEX($S$9:$S$809,ROW()-8),"")</f>
        <v/>
      </c>
      <c r="C453">
        <f>IFERROR(INDEX($W$9:$W$809,ROW()-8),"")</f>
        <v/>
      </c>
      <c r="D453" s="26">
        <f>IF(COUNT(B452:B453)=2,LN(B453/B452),"")</f>
        <v/>
      </c>
      <c r="E453" s="27">
        <f>IF(COUNT(C452:C453)=2,(C453-C452)*100,"")</f>
        <v/>
      </c>
      <c r="F453" s="28">
        <f>IF(ROW()-8&lt;CorrWindow,"",IFERROR(CORREL(INDEX($D$9:$D$809,ROW()-8-CorrWindow+1):D453,INDEX($E$9:$E$809,ROW()-8-CorrWindow+1):E453),""))</f>
        <v/>
      </c>
      <c r="G453">
        <f>IF(A453="","",0)</f>
        <v/>
      </c>
    </row>
    <row r="454">
      <c r="A454" s="23">
        <f>IFERROR(INDEX($R$9:$R$809,ROW()-8),"")</f>
        <v/>
      </c>
      <c r="B454">
        <f>IFERROR(INDEX($S$9:$S$809,ROW()-8),"")</f>
        <v/>
      </c>
      <c r="C454">
        <f>IFERROR(INDEX($W$9:$W$809,ROW()-8),"")</f>
        <v/>
      </c>
      <c r="D454" s="26">
        <f>IF(COUNT(B453:B454)=2,LN(B454/B453),"")</f>
        <v/>
      </c>
      <c r="E454" s="27">
        <f>IF(COUNT(C453:C454)=2,(C454-C453)*100,"")</f>
        <v/>
      </c>
      <c r="F454" s="28">
        <f>IF(ROW()-8&lt;CorrWindow,"",IFERROR(CORREL(INDEX($D$9:$D$809,ROW()-8-CorrWindow+1):D454,INDEX($E$9:$E$809,ROW()-8-CorrWindow+1):E454),""))</f>
        <v/>
      </c>
      <c r="G454">
        <f>IF(A454="","",0)</f>
        <v/>
      </c>
    </row>
    <row r="455">
      <c r="A455" s="23">
        <f>IFERROR(INDEX($R$9:$R$809,ROW()-8),"")</f>
        <v/>
      </c>
      <c r="B455">
        <f>IFERROR(INDEX($S$9:$S$809,ROW()-8),"")</f>
        <v/>
      </c>
      <c r="C455">
        <f>IFERROR(INDEX($W$9:$W$809,ROW()-8),"")</f>
        <v/>
      </c>
      <c r="D455" s="26">
        <f>IF(COUNT(B454:B455)=2,LN(B455/B454),"")</f>
        <v/>
      </c>
      <c r="E455" s="27">
        <f>IF(COUNT(C454:C455)=2,(C455-C454)*100,"")</f>
        <v/>
      </c>
      <c r="F455" s="28">
        <f>IF(ROW()-8&lt;CorrWindow,"",IFERROR(CORREL(INDEX($D$9:$D$809,ROW()-8-CorrWindow+1):D455,INDEX($E$9:$E$809,ROW()-8-CorrWindow+1):E455),""))</f>
        <v/>
      </c>
      <c r="G455">
        <f>IF(A455="","",0)</f>
        <v/>
      </c>
    </row>
    <row r="456">
      <c r="A456" s="23">
        <f>IFERROR(INDEX($R$9:$R$809,ROW()-8),"")</f>
        <v/>
      </c>
      <c r="B456">
        <f>IFERROR(INDEX($S$9:$S$809,ROW()-8),"")</f>
        <v/>
      </c>
      <c r="C456">
        <f>IFERROR(INDEX($W$9:$W$809,ROW()-8),"")</f>
        <v/>
      </c>
      <c r="D456" s="26">
        <f>IF(COUNT(B455:B456)=2,LN(B456/B455),"")</f>
        <v/>
      </c>
      <c r="E456" s="27">
        <f>IF(COUNT(C455:C456)=2,(C456-C455)*100,"")</f>
        <v/>
      </c>
      <c r="F456" s="28">
        <f>IF(ROW()-8&lt;CorrWindow,"",IFERROR(CORREL(INDEX($D$9:$D$809,ROW()-8-CorrWindow+1):D456,INDEX($E$9:$E$809,ROW()-8-CorrWindow+1):E456),""))</f>
        <v/>
      </c>
      <c r="G456">
        <f>IF(A456="","",0)</f>
        <v/>
      </c>
    </row>
    <row r="457">
      <c r="A457" s="23">
        <f>IFERROR(INDEX($R$9:$R$809,ROW()-8),"")</f>
        <v/>
      </c>
      <c r="B457">
        <f>IFERROR(INDEX($S$9:$S$809,ROW()-8),"")</f>
        <v/>
      </c>
      <c r="C457">
        <f>IFERROR(INDEX($W$9:$W$809,ROW()-8),"")</f>
        <v/>
      </c>
      <c r="D457" s="26">
        <f>IF(COUNT(B456:B457)=2,LN(B457/B456),"")</f>
        <v/>
      </c>
      <c r="E457" s="27">
        <f>IF(COUNT(C456:C457)=2,(C457-C456)*100,"")</f>
        <v/>
      </c>
      <c r="F457" s="28">
        <f>IF(ROW()-8&lt;CorrWindow,"",IFERROR(CORREL(INDEX($D$9:$D$809,ROW()-8-CorrWindow+1):D457,INDEX($E$9:$E$809,ROW()-8-CorrWindow+1):E457),""))</f>
        <v/>
      </c>
      <c r="G457">
        <f>IF(A457="","",0)</f>
        <v/>
      </c>
    </row>
    <row r="458">
      <c r="A458" s="23">
        <f>IFERROR(INDEX($R$9:$R$809,ROW()-8),"")</f>
        <v/>
      </c>
      <c r="B458">
        <f>IFERROR(INDEX($S$9:$S$809,ROW()-8),"")</f>
        <v/>
      </c>
      <c r="C458">
        <f>IFERROR(INDEX($W$9:$W$809,ROW()-8),"")</f>
        <v/>
      </c>
      <c r="D458" s="26">
        <f>IF(COUNT(B457:B458)=2,LN(B458/B457),"")</f>
        <v/>
      </c>
      <c r="E458" s="27">
        <f>IF(COUNT(C457:C458)=2,(C458-C457)*100,"")</f>
        <v/>
      </c>
      <c r="F458" s="28">
        <f>IF(ROW()-8&lt;CorrWindow,"",IFERROR(CORREL(INDEX($D$9:$D$809,ROW()-8-CorrWindow+1):D458,INDEX($E$9:$E$809,ROW()-8-CorrWindow+1):E458),""))</f>
        <v/>
      </c>
      <c r="G458">
        <f>IF(A458="","",0)</f>
        <v/>
      </c>
    </row>
    <row r="459">
      <c r="A459" s="23">
        <f>IFERROR(INDEX($R$9:$R$809,ROW()-8),"")</f>
        <v/>
      </c>
      <c r="B459">
        <f>IFERROR(INDEX($S$9:$S$809,ROW()-8),"")</f>
        <v/>
      </c>
      <c r="C459">
        <f>IFERROR(INDEX($W$9:$W$809,ROW()-8),"")</f>
        <v/>
      </c>
      <c r="D459" s="26">
        <f>IF(COUNT(B458:B459)=2,LN(B459/B458),"")</f>
        <v/>
      </c>
      <c r="E459" s="27">
        <f>IF(COUNT(C458:C459)=2,(C459-C458)*100,"")</f>
        <v/>
      </c>
      <c r="F459" s="28">
        <f>IF(ROW()-8&lt;CorrWindow,"",IFERROR(CORREL(INDEX($D$9:$D$809,ROW()-8-CorrWindow+1):D459,INDEX($E$9:$E$809,ROW()-8-CorrWindow+1):E459),""))</f>
        <v/>
      </c>
      <c r="G459">
        <f>IF(A459="","",0)</f>
        <v/>
      </c>
    </row>
    <row r="460">
      <c r="A460" s="23">
        <f>IFERROR(INDEX($R$9:$R$809,ROW()-8),"")</f>
        <v/>
      </c>
      <c r="B460">
        <f>IFERROR(INDEX($S$9:$S$809,ROW()-8),"")</f>
        <v/>
      </c>
      <c r="C460">
        <f>IFERROR(INDEX($W$9:$W$809,ROW()-8),"")</f>
        <v/>
      </c>
      <c r="D460" s="26">
        <f>IF(COUNT(B459:B460)=2,LN(B460/B459),"")</f>
        <v/>
      </c>
      <c r="E460" s="27">
        <f>IF(COUNT(C459:C460)=2,(C460-C459)*100,"")</f>
        <v/>
      </c>
      <c r="F460" s="28">
        <f>IF(ROW()-8&lt;CorrWindow,"",IFERROR(CORREL(INDEX($D$9:$D$809,ROW()-8-CorrWindow+1):D460,INDEX($E$9:$E$809,ROW()-8-CorrWindow+1):E460),""))</f>
        <v/>
      </c>
      <c r="G460">
        <f>IF(A460="","",0)</f>
        <v/>
      </c>
    </row>
    <row r="461">
      <c r="A461" s="23">
        <f>IFERROR(INDEX($R$9:$R$809,ROW()-8),"")</f>
        <v/>
      </c>
      <c r="B461">
        <f>IFERROR(INDEX($S$9:$S$809,ROW()-8),"")</f>
        <v/>
      </c>
      <c r="C461">
        <f>IFERROR(INDEX($W$9:$W$809,ROW()-8),"")</f>
        <v/>
      </c>
      <c r="D461" s="26">
        <f>IF(COUNT(B460:B461)=2,LN(B461/B460),"")</f>
        <v/>
      </c>
      <c r="E461" s="27">
        <f>IF(COUNT(C460:C461)=2,(C461-C460)*100,"")</f>
        <v/>
      </c>
      <c r="F461" s="28">
        <f>IF(ROW()-8&lt;CorrWindow,"",IFERROR(CORREL(INDEX($D$9:$D$809,ROW()-8-CorrWindow+1):D461,INDEX($E$9:$E$809,ROW()-8-CorrWindow+1):E461),""))</f>
        <v/>
      </c>
      <c r="G461">
        <f>IF(A461="","",0)</f>
        <v/>
      </c>
    </row>
    <row r="462">
      <c r="A462" s="23">
        <f>IFERROR(INDEX($R$9:$R$809,ROW()-8),"")</f>
        <v/>
      </c>
      <c r="B462">
        <f>IFERROR(INDEX($S$9:$S$809,ROW()-8),"")</f>
        <v/>
      </c>
      <c r="C462">
        <f>IFERROR(INDEX($W$9:$W$809,ROW()-8),"")</f>
        <v/>
      </c>
      <c r="D462" s="26">
        <f>IF(COUNT(B461:B462)=2,LN(B462/B461),"")</f>
        <v/>
      </c>
      <c r="E462" s="27">
        <f>IF(COUNT(C461:C462)=2,(C462-C461)*100,"")</f>
        <v/>
      </c>
      <c r="F462" s="28">
        <f>IF(ROW()-8&lt;CorrWindow,"",IFERROR(CORREL(INDEX($D$9:$D$809,ROW()-8-CorrWindow+1):D462,INDEX($E$9:$E$809,ROW()-8-CorrWindow+1):E462),""))</f>
        <v/>
      </c>
      <c r="G462">
        <f>IF(A462="","",0)</f>
        <v/>
      </c>
    </row>
    <row r="463">
      <c r="A463" s="23">
        <f>IFERROR(INDEX($R$9:$R$809,ROW()-8),"")</f>
        <v/>
      </c>
      <c r="B463">
        <f>IFERROR(INDEX($S$9:$S$809,ROW()-8),"")</f>
        <v/>
      </c>
      <c r="C463">
        <f>IFERROR(INDEX($W$9:$W$809,ROW()-8),"")</f>
        <v/>
      </c>
      <c r="D463" s="26">
        <f>IF(COUNT(B462:B463)=2,LN(B463/B462),"")</f>
        <v/>
      </c>
      <c r="E463" s="27">
        <f>IF(COUNT(C462:C463)=2,(C463-C462)*100,"")</f>
        <v/>
      </c>
      <c r="F463" s="28">
        <f>IF(ROW()-8&lt;CorrWindow,"",IFERROR(CORREL(INDEX($D$9:$D$809,ROW()-8-CorrWindow+1):D463,INDEX($E$9:$E$809,ROW()-8-CorrWindow+1):E463),""))</f>
        <v/>
      </c>
      <c r="G463">
        <f>IF(A463="","",0)</f>
        <v/>
      </c>
    </row>
    <row r="464">
      <c r="A464" s="23">
        <f>IFERROR(INDEX($R$9:$R$809,ROW()-8),"")</f>
        <v/>
      </c>
      <c r="B464">
        <f>IFERROR(INDEX($S$9:$S$809,ROW()-8),"")</f>
        <v/>
      </c>
      <c r="C464">
        <f>IFERROR(INDEX($W$9:$W$809,ROW()-8),"")</f>
        <v/>
      </c>
      <c r="D464" s="26">
        <f>IF(COUNT(B463:B464)=2,LN(B464/B463),"")</f>
        <v/>
      </c>
      <c r="E464" s="27">
        <f>IF(COUNT(C463:C464)=2,(C464-C463)*100,"")</f>
        <v/>
      </c>
      <c r="F464" s="28">
        <f>IF(ROW()-8&lt;CorrWindow,"",IFERROR(CORREL(INDEX($D$9:$D$809,ROW()-8-CorrWindow+1):D464,INDEX($E$9:$E$809,ROW()-8-CorrWindow+1):E464),""))</f>
        <v/>
      </c>
      <c r="G464">
        <f>IF(A464="","",0)</f>
        <v/>
      </c>
    </row>
    <row r="465">
      <c r="A465" s="23">
        <f>IFERROR(INDEX($R$9:$R$809,ROW()-8),"")</f>
        <v/>
      </c>
      <c r="B465">
        <f>IFERROR(INDEX($S$9:$S$809,ROW()-8),"")</f>
        <v/>
      </c>
      <c r="C465">
        <f>IFERROR(INDEX($W$9:$W$809,ROW()-8),"")</f>
        <v/>
      </c>
      <c r="D465" s="26">
        <f>IF(COUNT(B464:B465)=2,LN(B465/B464),"")</f>
        <v/>
      </c>
      <c r="E465" s="27">
        <f>IF(COUNT(C464:C465)=2,(C465-C464)*100,"")</f>
        <v/>
      </c>
      <c r="F465" s="28">
        <f>IF(ROW()-8&lt;CorrWindow,"",IFERROR(CORREL(INDEX($D$9:$D$809,ROW()-8-CorrWindow+1):D465,INDEX($E$9:$E$809,ROW()-8-CorrWindow+1):E465),""))</f>
        <v/>
      </c>
      <c r="G465">
        <f>IF(A465="","",0)</f>
        <v/>
      </c>
    </row>
    <row r="466">
      <c r="A466" s="23">
        <f>IFERROR(INDEX($R$9:$R$809,ROW()-8),"")</f>
        <v/>
      </c>
      <c r="B466">
        <f>IFERROR(INDEX($S$9:$S$809,ROW()-8),"")</f>
        <v/>
      </c>
      <c r="C466">
        <f>IFERROR(INDEX($W$9:$W$809,ROW()-8),"")</f>
        <v/>
      </c>
      <c r="D466" s="26">
        <f>IF(COUNT(B465:B466)=2,LN(B466/B465),"")</f>
        <v/>
      </c>
      <c r="E466" s="27">
        <f>IF(COUNT(C465:C466)=2,(C466-C465)*100,"")</f>
        <v/>
      </c>
      <c r="F466" s="28">
        <f>IF(ROW()-8&lt;CorrWindow,"",IFERROR(CORREL(INDEX($D$9:$D$809,ROW()-8-CorrWindow+1):D466,INDEX($E$9:$E$809,ROW()-8-CorrWindow+1):E466),""))</f>
        <v/>
      </c>
      <c r="G466">
        <f>IF(A466="","",0)</f>
        <v/>
      </c>
    </row>
    <row r="467">
      <c r="A467" s="23">
        <f>IFERROR(INDEX($R$9:$R$809,ROW()-8),"")</f>
        <v/>
      </c>
      <c r="B467">
        <f>IFERROR(INDEX($S$9:$S$809,ROW()-8),"")</f>
        <v/>
      </c>
      <c r="C467">
        <f>IFERROR(INDEX($W$9:$W$809,ROW()-8),"")</f>
        <v/>
      </c>
      <c r="D467" s="26">
        <f>IF(COUNT(B466:B467)=2,LN(B467/B466),"")</f>
        <v/>
      </c>
      <c r="E467" s="27">
        <f>IF(COUNT(C466:C467)=2,(C467-C466)*100,"")</f>
        <v/>
      </c>
      <c r="F467" s="28">
        <f>IF(ROW()-8&lt;CorrWindow,"",IFERROR(CORREL(INDEX($D$9:$D$809,ROW()-8-CorrWindow+1):D467,INDEX($E$9:$E$809,ROW()-8-CorrWindow+1):E467),""))</f>
        <v/>
      </c>
      <c r="G467">
        <f>IF(A467="","",0)</f>
        <v/>
      </c>
    </row>
    <row r="468">
      <c r="A468" s="23">
        <f>IFERROR(INDEX($R$9:$R$809,ROW()-8),"")</f>
        <v/>
      </c>
      <c r="B468">
        <f>IFERROR(INDEX($S$9:$S$809,ROW()-8),"")</f>
        <v/>
      </c>
      <c r="C468">
        <f>IFERROR(INDEX($W$9:$W$809,ROW()-8),"")</f>
        <v/>
      </c>
      <c r="D468" s="26">
        <f>IF(COUNT(B467:B468)=2,LN(B468/B467),"")</f>
        <v/>
      </c>
      <c r="E468" s="27">
        <f>IF(COUNT(C467:C468)=2,(C468-C467)*100,"")</f>
        <v/>
      </c>
      <c r="F468" s="28">
        <f>IF(ROW()-8&lt;CorrWindow,"",IFERROR(CORREL(INDEX($D$9:$D$809,ROW()-8-CorrWindow+1):D468,INDEX($E$9:$E$809,ROW()-8-CorrWindow+1):E468),""))</f>
        <v/>
      </c>
      <c r="G468">
        <f>IF(A468="","",0)</f>
        <v/>
      </c>
    </row>
    <row r="469">
      <c r="A469" s="23">
        <f>IFERROR(INDEX($R$9:$R$809,ROW()-8),"")</f>
        <v/>
      </c>
      <c r="B469">
        <f>IFERROR(INDEX($S$9:$S$809,ROW()-8),"")</f>
        <v/>
      </c>
      <c r="C469">
        <f>IFERROR(INDEX($W$9:$W$809,ROW()-8),"")</f>
        <v/>
      </c>
      <c r="D469" s="26">
        <f>IF(COUNT(B468:B469)=2,LN(B469/B468),"")</f>
        <v/>
      </c>
      <c r="E469" s="27">
        <f>IF(COUNT(C468:C469)=2,(C469-C468)*100,"")</f>
        <v/>
      </c>
      <c r="F469" s="28">
        <f>IF(ROW()-8&lt;CorrWindow,"",IFERROR(CORREL(INDEX($D$9:$D$809,ROW()-8-CorrWindow+1):D469,INDEX($E$9:$E$809,ROW()-8-CorrWindow+1):E469),""))</f>
        <v/>
      </c>
      <c r="G469">
        <f>IF(A469="","",0)</f>
        <v/>
      </c>
    </row>
    <row r="470">
      <c r="A470" s="23">
        <f>IFERROR(INDEX($R$9:$R$809,ROW()-8),"")</f>
        <v/>
      </c>
      <c r="B470">
        <f>IFERROR(INDEX($S$9:$S$809,ROW()-8),"")</f>
        <v/>
      </c>
      <c r="C470">
        <f>IFERROR(INDEX($W$9:$W$809,ROW()-8),"")</f>
        <v/>
      </c>
      <c r="D470" s="26">
        <f>IF(COUNT(B469:B470)=2,LN(B470/B469),"")</f>
        <v/>
      </c>
      <c r="E470" s="27">
        <f>IF(COUNT(C469:C470)=2,(C470-C469)*100,"")</f>
        <v/>
      </c>
      <c r="F470" s="28">
        <f>IF(ROW()-8&lt;CorrWindow,"",IFERROR(CORREL(INDEX($D$9:$D$809,ROW()-8-CorrWindow+1):D470,INDEX($E$9:$E$809,ROW()-8-CorrWindow+1):E470),""))</f>
        <v/>
      </c>
      <c r="G470">
        <f>IF(A470="","",0)</f>
        <v/>
      </c>
    </row>
    <row r="471">
      <c r="A471" s="23">
        <f>IFERROR(INDEX($R$9:$R$809,ROW()-8),"")</f>
        <v/>
      </c>
      <c r="B471">
        <f>IFERROR(INDEX($S$9:$S$809,ROW()-8),"")</f>
        <v/>
      </c>
      <c r="C471">
        <f>IFERROR(INDEX($W$9:$W$809,ROW()-8),"")</f>
        <v/>
      </c>
      <c r="D471" s="26">
        <f>IF(COUNT(B470:B471)=2,LN(B471/B470),"")</f>
        <v/>
      </c>
      <c r="E471" s="27">
        <f>IF(COUNT(C470:C471)=2,(C471-C470)*100,"")</f>
        <v/>
      </c>
      <c r="F471" s="28">
        <f>IF(ROW()-8&lt;CorrWindow,"",IFERROR(CORREL(INDEX($D$9:$D$809,ROW()-8-CorrWindow+1):D471,INDEX($E$9:$E$809,ROW()-8-CorrWindow+1):E471),""))</f>
        <v/>
      </c>
      <c r="G471">
        <f>IF(A471="","",0)</f>
        <v/>
      </c>
    </row>
    <row r="472">
      <c r="A472" s="23">
        <f>IFERROR(INDEX($R$9:$R$809,ROW()-8),"")</f>
        <v/>
      </c>
      <c r="B472">
        <f>IFERROR(INDEX($S$9:$S$809,ROW()-8),"")</f>
        <v/>
      </c>
      <c r="C472">
        <f>IFERROR(INDEX($W$9:$W$809,ROW()-8),"")</f>
        <v/>
      </c>
      <c r="D472" s="26">
        <f>IF(COUNT(B471:B472)=2,LN(B472/B471),"")</f>
        <v/>
      </c>
      <c r="E472" s="27">
        <f>IF(COUNT(C471:C472)=2,(C472-C471)*100,"")</f>
        <v/>
      </c>
      <c r="F472" s="28">
        <f>IF(ROW()-8&lt;CorrWindow,"",IFERROR(CORREL(INDEX($D$9:$D$809,ROW()-8-CorrWindow+1):D472,INDEX($E$9:$E$809,ROW()-8-CorrWindow+1):E472),""))</f>
        <v/>
      </c>
      <c r="G472">
        <f>IF(A472="","",0)</f>
        <v/>
      </c>
    </row>
    <row r="473">
      <c r="A473" s="23">
        <f>IFERROR(INDEX($R$9:$R$809,ROW()-8),"")</f>
        <v/>
      </c>
      <c r="B473">
        <f>IFERROR(INDEX($S$9:$S$809,ROW()-8),"")</f>
        <v/>
      </c>
      <c r="C473">
        <f>IFERROR(INDEX($W$9:$W$809,ROW()-8),"")</f>
        <v/>
      </c>
      <c r="D473" s="26">
        <f>IF(COUNT(B472:B473)=2,LN(B473/B472),"")</f>
        <v/>
      </c>
      <c r="E473" s="27">
        <f>IF(COUNT(C472:C473)=2,(C473-C472)*100,"")</f>
        <v/>
      </c>
      <c r="F473" s="28">
        <f>IF(ROW()-8&lt;CorrWindow,"",IFERROR(CORREL(INDEX($D$9:$D$809,ROW()-8-CorrWindow+1):D473,INDEX($E$9:$E$809,ROW()-8-CorrWindow+1):E473),""))</f>
        <v/>
      </c>
      <c r="G473">
        <f>IF(A473="","",0)</f>
        <v/>
      </c>
    </row>
    <row r="474">
      <c r="A474" s="23">
        <f>IFERROR(INDEX($R$9:$R$809,ROW()-8),"")</f>
        <v/>
      </c>
      <c r="B474">
        <f>IFERROR(INDEX($S$9:$S$809,ROW()-8),"")</f>
        <v/>
      </c>
      <c r="C474">
        <f>IFERROR(INDEX($W$9:$W$809,ROW()-8),"")</f>
        <v/>
      </c>
      <c r="D474" s="26">
        <f>IF(COUNT(B473:B474)=2,LN(B474/B473),"")</f>
        <v/>
      </c>
      <c r="E474" s="27">
        <f>IF(COUNT(C473:C474)=2,(C474-C473)*100,"")</f>
        <v/>
      </c>
      <c r="F474" s="28">
        <f>IF(ROW()-8&lt;CorrWindow,"",IFERROR(CORREL(INDEX($D$9:$D$809,ROW()-8-CorrWindow+1):D474,INDEX($E$9:$E$809,ROW()-8-CorrWindow+1):E474),""))</f>
        <v/>
      </c>
      <c r="G474">
        <f>IF(A474="","",0)</f>
        <v/>
      </c>
    </row>
    <row r="475">
      <c r="A475" s="23">
        <f>IFERROR(INDEX($R$9:$R$809,ROW()-8),"")</f>
        <v/>
      </c>
      <c r="B475">
        <f>IFERROR(INDEX($S$9:$S$809,ROW()-8),"")</f>
        <v/>
      </c>
      <c r="C475">
        <f>IFERROR(INDEX($W$9:$W$809,ROW()-8),"")</f>
        <v/>
      </c>
      <c r="D475" s="26">
        <f>IF(COUNT(B474:B475)=2,LN(B475/B474),"")</f>
        <v/>
      </c>
      <c r="E475" s="27">
        <f>IF(COUNT(C474:C475)=2,(C475-C474)*100,"")</f>
        <v/>
      </c>
      <c r="F475" s="28">
        <f>IF(ROW()-8&lt;CorrWindow,"",IFERROR(CORREL(INDEX($D$9:$D$809,ROW()-8-CorrWindow+1):D475,INDEX($E$9:$E$809,ROW()-8-CorrWindow+1):E475),""))</f>
        <v/>
      </c>
      <c r="G475">
        <f>IF(A475="","",0)</f>
        <v/>
      </c>
    </row>
    <row r="476">
      <c r="A476" s="23">
        <f>IFERROR(INDEX($R$9:$R$809,ROW()-8),"")</f>
        <v/>
      </c>
      <c r="B476">
        <f>IFERROR(INDEX($S$9:$S$809,ROW()-8),"")</f>
        <v/>
      </c>
      <c r="C476">
        <f>IFERROR(INDEX($W$9:$W$809,ROW()-8),"")</f>
        <v/>
      </c>
      <c r="D476" s="26">
        <f>IF(COUNT(B475:B476)=2,LN(B476/B475),"")</f>
        <v/>
      </c>
      <c r="E476" s="27">
        <f>IF(COUNT(C475:C476)=2,(C476-C475)*100,"")</f>
        <v/>
      </c>
      <c r="F476" s="28">
        <f>IF(ROW()-8&lt;CorrWindow,"",IFERROR(CORREL(INDEX($D$9:$D$809,ROW()-8-CorrWindow+1):D476,INDEX($E$9:$E$809,ROW()-8-CorrWindow+1):E476),""))</f>
        <v/>
      </c>
      <c r="G476">
        <f>IF(A476="","",0)</f>
        <v/>
      </c>
    </row>
    <row r="477">
      <c r="A477" s="23">
        <f>IFERROR(INDEX($R$9:$R$809,ROW()-8),"")</f>
        <v/>
      </c>
      <c r="B477">
        <f>IFERROR(INDEX($S$9:$S$809,ROW()-8),"")</f>
        <v/>
      </c>
      <c r="C477">
        <f>IFERROR(INDEX($W$9:$W$809,ROW()-8),"")</f>
        <v/>
      </c>
      <c r="D477" s="26">
        <f>IF(COUNT(B476:B477)=2,LN(B477/B476),"")</f>
        <v/>
      </c>
      <c r="E477" s="27">
        <f>IF(COUNT(C476:C477)=2,(C477-C476)*100,"")</f>
        <v/>
      </c>
      <c r="F477" s="28">
        <f>IF(ROW()-8&lt;CorrWindow,"",IFERROR(CORREL(INDEX($D$9:$D$809,ROW()-8-CorrWindow+1):D477,INDEX($E$9:$E$809,ROW()-8-CorrWindow+1):E477),""))</f>
        <v/>
      </c>
      <c r="G477">
        <f>IF(A477="","",0)</f>
        <v/>
      </c>
    </row>
    <row r="478">
      <c r="A478" s="23">
        <f>IFERROR(INDEX($R$9:$R$809,ROW()-8),"")</f>
        <v/>
      </c>
      <c r="B478">
        <f>IFERROR(INDEX($S$9:$S$809,ROW()-8),"")</f>
        <v/>
      </c>
      <c r="C478">
        <f>IFERROR(INDEX($W$9:$W$809,ROW()-8),"")</f>
        <v/>
      </c>
      <c r="D478" s="26">
        <f>IF(COUNT(B477:B478)=2,LN(B478/B477),"")</f>
        <v/>
      </c>
      <c r="E478" s="27">
        <f>IF(COUNT(C477:C478)=2,(C478-C477)*100,"")</f>
        <v/>
      </c>
      <c r="F478" s="28">
        <f>IF(ROW()-8&lt;CorrWindow,"",IFERROR(CORREL(INDEX($D$9:$D$809,ROW()-8-CorrWindow+1):D478,INDEX($E$9:$E$809,ROW()-8-CorrWindow+1):E478),""))</f>
        <v/>
      </c>
      <c r="G478">
        <f>IF(A478="","",0)</f>
        <v/>
      </c>
    </row>
    <row r="479">
      <c r="A479" s="23">
        <f>IFERROR(INDEX($R$9:$R$809,ROW()-8),"")</f>
        <v/>
      </c>
      <c r="B479">
        <f>IFERROR(INDEX($S$9:$S$809,ROW()-8),"")</f>
        <v/>
      </c>
      <c r="C479">
        <f>IFERROR(INDEX($W$9:$W$809,ROW()-8),"")</f>
        <v/>
      </c>
      <c r="D479" s="26">
        <f>IF(COUNT(B478:B479)=2,LN(B479/B478),"")</f>
        <v/>
      </c>
      <c r="E479" s="27">
        <f>IF(COUNT(C478:C479)=2,(C479-C478)*100,"")</f>
        <v/>
      </c>
      <c r="F479" s="28">
        <f>IF(ROW()-8&lt;CorrWindow,"",IFERROR(CORREL(INDEX($D$9:$D$809,ROW()-8-CorrWindow+1):D479,INDEX($E$9:$E$809,ROW()-8-CorrWindow+1):E479),""))</f>
        <v/>
      </c>
      <c r="G479">
        <f>IF(A479="","",0)</f>
        <v/>
      </c>
    </row>
    <row r="480">
      <c r="A480" s="23">
        <f>IFERROR(INDEX($R$9:$R$809,ROW()-8),"")</f>
        <v/>
      </c>
      <c r="B480">
        <f>IFERROR(INDEX($S$9:$S$809,ROW()-8),"")</f>
        <v/>
      </c>
      <c r="C480">
        <f>IFERROR(INDEX($W$9:$W$809,ROW()-8),"")</f>
        <v/>
      </c>
      <c r="D480" s="26">
        <f>IF(COUNT(B479:B480)=2,LN(B480/B479),"")</f>
        <v/>
      </c>
      <c r="E480" s="27">
        <f>IF(COUNT(C479:C480)=2,(C480-C479)*100,"")</f>
        <v/>
      </c>
      <c r="F480" s="28">
        <f>IF(ROW()-8&lt;CorrWindow,"",IFERROR(CORREL(INDEX($D$9:$D$809,ROW()-8-CorrWindow+1):D480,INDEX($E$9:$E$809,ROW()-8-CorrWindow+1):E480),""))</f>
        <v/>
      </c>
      <c r="G480">
        <f>IF(A480="","",0)</f>
        <v/>
      </c>
    </row>
    <row r="481">
      <c r="A481" s="23">
        <f>IFERROR(INDEX($R$9:$R$809,ROW()-8),"")</f>
        <v/>
      </c>
      <c r="B481">
        <f>IFERROR(INDEX($S$9:$S$809,ROW()-8),"")</f>
        <v/>
      </c>
      <c r="C481">
        <f>IFERROR(INDEX($W$9:$W$809,ROW()-8),"")</f>
        <v/>
      </c>
      <c r="D481" s="26">
        <f>IF(COUNT(B480:B481)=2,LN(B481/B480),"")</f>
        <v/>
      </c>
      <c r="E481" s="27">
        <f>IF(COUNT(C480:C481)=2,(C481-C480)*100,"")</f>
        <v/>
      </c>
      <c r="F481" s="28">
        <f>IF(ROW()-8&lt;CorrWindow,"",IFERROR(CORREL(INDEX($D$9:$D$809,ROW()-8-CorrWindow+1):D481,INDEX($E$9:$E$809,ROW()-8-CorrWindow+1):E481),""))</f>
        <v/>
      </c>
      <c r="G481">
        <f>IF(A481="","",0)</f>
        <v/>
      </c>
    </row>
    <row r="482">
      <c r="A482" s="23">
        <f>IFERROR(INDEX($R$9:$R$809,ROW()-8),"")</f>
        <v/>
      </c>
      <c r="B482">
        <f>IFERROR(INDEX($S$9:$S$809,ROW()-8),"")</f>
        <v/>
      </c>
      <c r="C482">
        <f>IFERROR(INDEX($W$9:$W$809,ROW()-8),"")</f>
        <v/>
      </c>
      <c r="D482" s="26">
        <f>IF(COUNT(B481:B482)=2,LN(B482/B481),"")</f>
        <v/>
      </c>
      <c r="E482" s="27">
        <f>IF(COUNT(C481:C482)=2,(C482-C481)*100,"")</f>
        <v/>
      </c>
      <c r="F482" s="28">
        <f>IF(ROW()-8&lt;CorrWindow,"",IFERROR(CORREL(INDEX($D$9:$D$809,ROW()-8-CorrWindow+1):D482,INDEX($E$9:$E$809,ROW()-8-CorrWindow+1):E482),""))</f>
        <v/>
      </c>
      <c r="G482">
        <f>IF(A482="","",0)</f>
        <v/>
      </c>
    </row>
    <row r="483">
      <c r="A483" s="23">
        <f>IFERROR(INDEX($R$9:$R$809,ROW()-8),"")</f>
        <v/>
      </c>
      <c r="B483">
        <f>IFERROR(INDEX($S$9:$S$809,ROW()-8),"")</f>
        <v/>
      </c>
      <c r="C483">
        <f>IFERROR(INDEX($W$9:$W$809,ROW()-8),"")</f>
        <v/>
      </c>
      <c r="D483" s="26">
        <f>IF(COUNT(B482:B483)=2,LN(B483/B482),"")</f>
        <v/>
      </c>
      <c r="E483" s="27">
        <f>IF(COUNT(C482:C483)=2,(C483-C482)*100,"")</f>
        <v/>
      </c>
      <c r="F483" s="28">
        <f>IF(ROW()-8&lt;CorrWindow,"",IFERROR(CORREL(INDEX($D$9:$D$809,ROW()-8-CorrWindow+1):D483,INDEX($E$9:$E$809,ROW()-8-CorrWindow+1):E483),""))</f>
        <v/>
      </c>
      <c r="G483">
        <f>IF(A483="","",0)</f>
        <v/>
      </c>
    </row>
    <row r="484">
      <c r="A484" s="23">
        <f>IFERROR(INDEX($R$9:$R$809,ROW()-8),"")</f>
        <v/>
      </c>
      <c r="B484">
        <f>IFERROR(INDEX($S$9:$S$809,ROW()-8),"")</f>
        <v/>
      </c>
      <c r="C484">
        <f>IFERROR(INDEX($W$9:$W$809,ROW()-8),"")</f>
        <v/>
      </c>
      <c r="D484" s="26">
        <f>IF(COUNT(B483:B484)=2,LN(B484/B483),"")</f>
        <v/>
      </c>
      <c r="E484" s="27">
        <f>IF(COUNT(C483:C484)=2,(C484-C483)*100,"")</f>
        <v/>
      </c>
      <c r="F484" s="28">
        <f>IF(ROW()-8&lt;CorrWindow,"",IFERROR(CORREL(INDEX($D$9:$D$809,ROW()-8-CorrWindow+1):D484,INDEX($E$9:$E$809,ROW()-8-CorrWindow+1):E484),""))</f>
        <v/>
      </c>
      <c r="G484">
        <f>IF(A484="","",0)</f>
        <v/>
      </c>
    </row>
    <row r="485">
      <c r="A485" s="23">
        <f>IFERROR(INDEX($R$9:$R$809,ROW()-8),"")</f>
        <v/>
      </c>
      <c r="B485">
        <f>IFERROR(INDEX($S$9:$S$809,ROW()-8),"")</f>
        <v/>
      </c>
      <c r="C485">
        <f>IFERROR(INDEX($W$9:$W$809,ROW()-8),"")</f>
        <v/>
      </c>
      <c r="D485" s="26">
        <f>IF(COUNT(B484:B485)=2,LN(B485/B484),"")</f>
        <v/>
      </c>
      <c r="E485" s="27">
        <f>IF(COUNT(C484:C485)=2,(C485-C484)*100,"")</f>
        <v/>
      </c>
      <c r="F485" s="28">
        <f>IF(ROW()-8&lt;CorrWindow,"",IFERROR(CORREL(INDEX($D$9:$D$809,ROW()-8-CorrWindow+1):D485,INDEX($E$9:$E$809,ROW()-8-CorrWindow+1):E485),""))</f>
        <v/>
      </c>
      <c r="G485">
        <f>IF(A485="","",0)</f>
        <v/>
      </c>
    </row>
    <row r="486">
      <c r="A486" s="23">
        <f>IFERROR(INDEX($R$9:$R$809,ROW()-8),"")</f>
        <v/>
      </c>
      <c r="B486">
        <f>IFERROR(INDEX($S$9:$S$809,ROW()-8),"")</f>
        <v/>
      </c>
      <c r="C486">
        <f>IFERROR(INDEX($W$9:$W$809,ROW()-8),"")</f>
        <v/>
      </c>
      <c r="D486" s="26">
        <f>IF(COUNT(B485:B486)=2,LN(B486/B485),"")</f>
        <v/>
      </c>
      <c r="E486" s="27">
        <f>IF(COUNT(C485:C486)=2,(C486-C485)*100,"")</f>
        <v/>
      </c>
      <c r="F486" s="28">
        <f>IF(ROW()-8&lt;CorrWindow,"",IFERROR(CORREL(INDEX($D$9:$D$809,ROW()-8-CorrWindow+1):D486,INDEX($E$9:$E$809,ROW()-8-CorrWindow+1):E486),""))</f>
        <v/>
      </c>
      <c r="G486">
        <f>IF(A486="","",0)</f>
        <v/>
      </c>
    </row>
    <row r="487">
      <c r="A487" s="23">
        <f>IFERROR(INDEX($R$9:$R$809,ROW()-8),"")</f>
        <v/>
      </c>
      <c r="B487">
        <f>IFERROR(INDEX($S$9:$S$809,ROW()-8),"")</f>
        <v/>
      </c>
      <c r="C487">
        <f>IFERROR(INDEX($W$9:$W$809,ROW()-8),"")</f>
        <v/>
      </c>
      <c r="D487" s="26">
        <f>IF(COUNT(B486:B487)=2,LN(B487/B486),"")</f>
        <v/>
      </c>
      <c r="E487" s="27">
        <f>IF(COUNT(C486:C487)=2,(C487-C486)*100,"")</f>
        <v/>
      </c>
      <c r="F487" s="28">
        <f>IF(ROW()-8&lt;CorrWindow,"",IFERROR(CORREL(INDEX($D$9:$D$809,ROW()-8-CorrWindow+1):D487,INDEX($E$9:$E$809,ROW()-8-CorrWindow+1):E487),""))</f>
        <v/>
      </c>
      <c r="G487">
        <f>IF(A487="","",0)</f>
        <v/>
      </c>
    </row>
    <row r="488">
      <c r="A488" s="23">
        <f>IFERROR(INDEX($R$9:$R$809,ROW()-8),"")</f>
        <v/>
      </c>
      <c r="B488">
        <f>IFERROR(INDEX($S$9:$S$809,ROW()-8),"")</f>
        <v/>
      </c>
      <c r="C488">
        <f>IFERROR(INDEX($W$9:$W$809,ROW()-8),"")</f>
        <v/>
      </c>
      <c r="D488" s="26">
        <f>IF(COUNT(B487:B488)=2,LN(B488/B487),"")</f>
        <v/>
      </c>
      <c r="E488" s="27">
        <f>IF(COUNT(C487:C488)=2,(C488-C487)*100,"")</f>
        <v/>
      </c>
      <c r="F488" s="28">
        <f>IF(ROW()-8&lt;CorrWindow,"",IFERROR(CORREL(INDEX($D$9:$D$809,ROW()-8-CorrWindow+1):D488,INDEX($E$9:$E$809,ROW()-8-CorrWindow+1):E488),""))</f>
        <v/>
      </c>
      <c r="G488">
        <f>IF(A488="","",0)</f>
        <v/>
      </c>
    </row>
    <row r="489">
      <c r="A489" s="23">
        <f>IFERROR(INDEX($R$9:$R$809,ROW()-8),"")</f>
        <v/>
      </c>
      <c r="B489">
        <f>IFERROR(INDEX($S$9:$S$809,ROW()-8),"")</f>
        <v/>
      </c>
      <c r="C489">
        <f>IFERROR(INDEX($W$9:$W$809,ROW()-8),"")</f>
        <v/>
      </c>
      <c r="D489" s="26">
        <f>IF(COUNT(B488:B489)=2,LN(B489/B488),"")</f>
        <v/>
      </c>
      <c r="E489" s="27">
        <f>IF(COUNT(C488:C489)=2,(C489-C488)*100,"")</f>
        <v/>
      </c>
      <c r="F489" s="28">
        <f>IF(ROW()-8&lt;CorrWindow,"",IFERROR(CORREL(INDEX($D$9:$D$809,ROW()-8-CorrWindow+1):D489,INDEX($E$9:$E$809,ROW()-8-CorrWindow+1):E489),""))</f>
        <v/>
      </c>
      <c r="G489">
        <f>IF(A489="","",0)</f>
        <v/>
      </c>
    </row>
    <row r="490">
      <c r="A490" s="23">
        <f>IFERROR(INDEX($R$9:$R$809,ROW()-8),"")</f>
        <v/>
      </c>
      <c r="B490">
        <f>IFERROR(INDEX($S$9:$S$809,ROW()-8),"")</f>
        <v/>
      </c>
      <c r="C490">
        <f>IFERROR(INDEX($W$9:$W$809,ROW()-8),"")</f>
        <v/>
      </c>
      <c r="D490" s="26">
        <f>IF(COUNT(B489:B490)=2,LN(B490/B489),"")</f>
        <v/>
      </c>
      <c r="E490" s="27">
        <f>IF(COUNT(C489:C490)=2,(C490-C489)*100,"")</f>
        <v/>
      </c>
      <c r="F490" s="28">
        <f>IF(ROW()-8&lt;CorrWindow,"",IFERROR(CORREL(INDEX($D$9:$D$809,ROW()-8-CorrWindow+1):D490,INDEX($E$9:$E$809,ROW()-8-CorrWindow+1):E490),""))</f>
        <v/>
      </c>
      <c r="G490">
        <f>IF(A490="","",0)</f>
        <v/>
      </c>
    </row>
    <row r="491">
      <c r="A491" s="23">
        <f>IFERROR(INDEX($R$9:$R$809,ROW()-8),"")</f>
        <v/>
      </c>
      <c r="B491">
        <f>IFERROR(INDEX($S$9:$S$809,ROW()-8),"")</f>
        <v/>
      </c>
      <c r="C491">
        <f>IFERROR(INDEX($W$9:$W$809,ROW()-8),"")</f>
        <v/>
      </c>
      <c r="D491" s="26">
        <f>IF(COUNT(B490:B491)=2,LN(B491/B490),"")</f>
        <v/>
      </c>
      <c r="E491" s="27">
        <f>IF(COUNT(C490:C491)=2,(C491-C490)*100,"")</f>
        <v/>
      </c>
      <c r="F491" s="28">
        <f>IF(ROW()-8&lt;CorrWindow,"",IFERROR(CORREL(INDEX($D$9:$D$809,ROW()-8-CorrWindow+1):D491,INDEX($E$9:$E$809,ROW()-8-CorrWindow+1):E491),""))</f>
        <v/>
      </c>
      <c r="G491">
        <f>IF(A491="","",0)</f>
        <v/>
      </c>
    </row>
    <row r="492">
      <c r="A492" s="23">
        <f>IFERROR(INDEX($R$9:$R$809,ROW()-8),"")</f>
        <v/>
      </c>
      <c r="B492">
        <f>IFERROR(INDEX($S$9:$S$809,ROW()-8),"")</f>
        <v/>
      </c>
      <c r="C492">
        <f>IFERROR(INDEX($W$9:$W$809,ROW()-8),"")</f>
        <v/>
      </c>
      <c r="D492" s="26">
        <f>IF(COUNT(B491:B492)=2,LN(B492/B491),"")</f>
        <v/>
      </c>
      <c r="E492" s="27">
        <f>IF(COUNT(C491:C492)=2,(C492-C491)*100,"")</f>
        <v/>
      </c>
      <c r="F492" s="28">
        <f>IF(ROW()-8&lt;CorrWindow,"",IFERROR(CORREL(INDEX($D$9:$D$809,ROW()-8-CorrWindow+1):D492,INDEX($E$9:$E$809,ROW()-8-CorrWindow+1):E492),""))</f>
        <v/>
      </c>
      <c r="G492">
        <f>IF(A492="","",0)</f>
        <v/>
      </c>
    </row>
    <row r="493">
      <c r="A493" s="23">
        <f>IFERROR(INDEX($R$9:$R$809,ROW()-8),"")</f>
        <v/>
      </c>
      <c r="B493">
        <f>IFERROR(INDEX($S$9:$S$809,ROW()-8),"")</f>
        <v/>
      </c>
      <c r="C493">
        <f>IFERROR(INDEX($W$9:$W$809,ROW()-8),"")</f>
        <v/>
      </c>
      <c r="D493" s="26">
        <f>IF(COUNT(B492:B493)=2,LN(B493/B492),"")</f>
        <v/>
      </c>
      <c r="E493" s="27">
        <f>IF(COUNT(C492:C493)=2,(C493-C492)*100,"")</f>
        <v/>
      </c>
      <c r="F493" s="28">
        <f>IF(ROW()-8&lt;CorrWindow,"",IFERROR(CORREL(INDEX($D$9:$D$809,ROW()-8-CorrWindow+1):D493,INDEX($E$9:$E$809,ROW()-8-CorrWindow+1):E493),""))</f>
        <v/>
      </c>
      <c r="G493">
        <f>IF(A493="","",0)</f>
        <v/>
      </c>
    </row>
    <row r="494">
      <c r="A494" s="23">
        <f>IFERROR(INDEX($R$9:$R$809,ROW()-8),"")</f>
        <v/>
      </c>
      <c r="B494">
        <f>IFERROR(INDEX($S$9:$S$809,ROW()-8),"")</f>
        <v/>
      </c>
      <c r="C494">
        <f>IFERROR(INDEX($W$9:$W$809,ROW()-8),"")</f>
        <v/>
      </c>
      <c r="D494" s="26">
        <f>IF(COUNT(B493:B494)=2,LN(B494/B493),"")</f>
        <v/>
      </c>
      <c r="E494" s="27">
        <f>IF(COUNT(C493:C494)=2,(C494-C493)*100,"")</f>
        <v/>
      </c>
      <c r="F494" s="28">
        <f>IF(ROW()-8&lt;CorrWindow,"",IFERROR(CORREL(INDEX($D$9:$D$809,ROW()-8-CorrWindow+1):D494,INDEX($E$9:$E$809,ROW()-8-CorrWindow+1):E494),""))</f>
        <v/>
      </c>
      <c r="G494">
        <f>IF(A494="","",0)</f>
        <v/>
      </c>
    </row>
    <row r="495">
      <c r="A495" s="23">
        <f>IFERROR(INDEX($R$9:$R$809,ROW()-8),"")</f>
        <v/>
      </c>
      <c r="B495">
        <f>IFERROR(INDEX($S$9:$S$809,ROW()-8),"")</f>
        <v/>
      </c>
      <c r="C495">
        <f>IFERROR(INDEX($W$9:$W$809,ROW()-8),"")</f>
        <v/>
      </c>
      <c r="D495" s="26">
        <f>IF(COUNT(B494:B495)=2,LN(B495/B494),"")</f>
        <v/>
      </c>
      <c r="E495" s="27">
        <f>IF(COUNT(C494:C495)=2,(C495-C494)*100,"")</f>
        <v/>
      </c>
      <c r="F495" s="28">
        <f>IF(ROW()-8&lt;CorrWindow,"",IFERROR(CORREL(INDEX($D$9:$D$809,ROW()-8-CorrWindow+1):D495,INDEX($E$9:$E$809,ROW()-8-CorrWindow+1):E495),""))</f>
        <v/>
      </c>
      <c r="G495">
        <f>IF(A495="","",0)</f>
        <v/>
      </c>
    </row>
    <row r="496">
      <c r="A496" s="23">
        <f>IFERROR(INDEX($R$9:$R$809,ROW()-8),"")</f>
        <v/>
      </c>
      <c r="B496">
        <f>IFERROR(INDEX($S$9:$S$809,ROW()-8),"")</f>
        <v/>
      </c>
      <c r="C496">
        <f>IFERROR(INDEX($W$9:$W$809,ROW()-8),"")</f>
        <v/>
      </c>
      <c r="D496" s="26">
        <f>IF(COUNT(B495:B496)=2,LN(B496/B495),"")</f>
        <v/>
      </c>
      <c r="E496" s="27">
        <f>IF(COUNT(C495:C496)=2,(C496-C495)*100,"")</f>
        <v/>
      </c>
      <c r="F496" s="28">
        <f>IF(ROW()-8&lt;CorrWindow,"",IFERROR(CORREL(INDEX($D$9:$D$809,ROW()-8-CorrWindow+1):D496,INDEX($E$9:$E$809,ROW()-8-CorrWindow+1):E496),""))</f>
        <v/>
      </c>
      <c r="G496">
        <f>IF(A496="","",0)</f>
        <v/>
      </c>
    </row>
    <row r="497">
      <c r="A497" s="23">
        <f>IFERROR(INDEX($R$9:$R$809,ROW()-8),"")</f>
        <v/>
      </c>
      <c r="B497">
        <f>IFERROR(INDEX($S$9:$S$809,ROW()-8),"")</f>
        <v/>
      </c>
      <c r="C497">
        <f>IFERROR(INDEX($W$9:$W$809,ROW()-8),"")</f>
        <v/>
      </c>
      <c r="D497" s="26">
        <f>IF(COUNT(B496:B497)=2,LN(B497/B496),"")</f>
        <v/>
      </c>
      <c r="E497" s="27">
        <f>IF(COUNT(C496:C497)=2,(C497-C496)*100,"")</f>
        <v/>
      </c>
      <c r="F497" s="28">
        <f>IF(ROW()-8&lt;CorrWindow,"",IFERROR(CORREL(INDEX($D$9:$D$809,ROW()-8-CorrWindow+1):D497,INDEX($E$9:$E$809,ROW()-8-CorrWindow+1):E497),""))</f>
        <v/>
      </c>
      <c r="G497">
        <f>IF(A497="","",0)</f>
        <v/>
      </c>
    </row>
    <row r="498">
      <c r="A498" s="23">
        <f>IFERROR(INDEX($R$9:$R$809,ROW()-8),"")</f>
        <v/>
      </c>
      <c r="B498">
        <f>IFERROR(INDEX($S$9:$S$809,ROW()-8),"")</f>
        <v/>
      </c>
      <c r="C498">
        <f>IFERROR(INDEX($W$9:$W$809,ROW()-8),"")</f>
        <v/>
      </c>
      <c r="D498" s="26">
        <f>IF(COUNT(B497:B498)=2,LN(B498/B497),"")</f>
        <v/>
      </c>
      <c r="E498" s="27">
        <f>IF(COUNT(C497:C498)=2,(C498-C497)*100,"")</f>
        <v/>
      </c>
      <c r="F498" s="28">
        <f>IF(ROW()-8&lt;CorrWindow,"",IFERROR(CORREL(INDEX($D$9:$D$809,ROW()-8-CorrWindow+1):D498,INDEX($E$9:$E$809,ROW()-8-CorrWindow+1):E498),""))</f>
        <v/>
      </c>
      <c r="G498">
        <f>IF(A498="","",0)</f>
        <v/>
      </c>
    </row>
    <row r="499">
      <c r="A499" s="23">
        <f>IFERROR(INDEX($R$9:$R$809,ROW()-8),"")</f>
        <v/>
      </c>
      <c r="B499">
        <f>IFERROR(INDEX($S$9:$S$809,ROW()-8),"")</f>
        <v/>
      </c>
      <c r="C499">
        <f>IFERROR(INDEX($W$9:$W$809,ROW()-8),"")</f>
        <v/>
      </c>
      <c r="D499" s="26">
        <f>IF(COUNT(B498:B499)=2,LN(B499/B498),"")</f>
        <v/>
      </c>
      <c r="E499" s="27">
        <f>IF(COUNT(C498:C499)=2,(C499-C498)*100,"")</f>
        <v/>
      </c>
      <c r="F499" s="28">
        <f>IF(ROW()-8&lt;CorrWindow,"",IFERROR(CORREL(INDEX($D$9:$D$809,ROW()-8-CorrWindow+1):D499,INDEX($E$9:$E$809,ROW()-8-CorrWindow+1):E499),""))</f>
        <v/>
      </c>
      <c r="G499">
        <f>IF(A499="","",0)</f>
        <v/>
      </c>
    </row>
    <row r="500">
      <c r="A500" s="23">
        <f>IFERROR(INDEX($R$9:$R$809,ROW()-8),"")</f>
        <v/>
      </c>
      <c r="B500">
        <f>IFERROR(INDEX($S$9:$S$809,ROW()-8),"")</f>
        <v/>
      </c>
      <c r="C500">
        <f>IFERROR(INDEX($W$9:$W$809,ROW()-8),"")</f>
        <v/>
      </c>
      <c r="D500" s="26">
        <f>IF(COUNT(B499:B500)=2,LN(B500/B499),"")</f>
        <v/>
      </c>
      <c r="E500" s="27">
        <f>IF(COUNT(C499:C500)=2,(C500-C499)*100,"")</f>
        <v/>
      </c>
      <c r="F500" s="28">
        <f>IF(ROW()-8&lt;CorrWindow,"",IFERROR(CORREL(INDEX($D$9:$D$809,ROW()-8-CorrWindow+1):D500,INDEX($E$9:$E$809,ROW()-8-CorrWindow+1):E500),""))</f>
        <v/>
      </c>
      <c r="G500">
        <f>IF(A500="","",0)</f>
        <v/>
      </c>
    </row>
    <row r="501">
      <c r="A501" s="23">
        <f>IFERROR(INDEX($R$9:$R$809,ROW()-8),"")</f>
        <v/>
      </c>
      <c r="B501">
        <f>IFERROR(INDEX($S$9:$S$809,ROW()-8),"")</f>
        <v/>
      </c>
      <c r="C501">
        <f>IFERROR(INDEX($W$9:$W$809,ROW()-8),"")</f>
        <v/>
      </c>
      <c r="D501" s="26">
        <f>IF(COUNT(B500:B501)=2,LN(B501/B500),"")</f>
        <v/>
      </c>
      <c r="E501" s="27">
        <f>IF(COUNT(C500:C501)=2,(C501-C500)*100,"")</f>
        <v/>
      </c>
      <c r="F501" s="28">
        <f>IF(ROW()-8&lt;CorrWindow,"",IFERROR(CORREL(INDEX($D$9:$D$809,ROW()-8-CorrWindow+1):D501,INDEX($E$9:$E$809,ROW()-8-CorrWindow+1):E501),""))</f>
        <v/>
      </c>
      <c r="G501">
        <f>IF(A501="","",0)</f>
        <v/>
      </c>
    </row>
    <row r="502">
      <c r="A502" s="23">
        <f>IFERROR(INDEX($R$9:$R$809,ROW()-8),"")</f>
        <v/>
      </c>
      <c r="B502">
        <f>IFERROR(INDEX($S$9:$S$809,ROW()-8),"")</f>
        <v/>
      </c>
      <c r="C502">
        <f>IFERROR(INDEX($W$9:$W$809,ROW()-8),"")</f>
        <v/>
      </c>
      <c r="D502" s="26">
        <f>IF(COUNT(B501:B502)=2,LN(B502/B501),"")</f>
        <v/>
      </c>
      <c r="E502" s="27">
        <f>IF(COUNT(C501:C502)=2,(C502-C501)*100,"")</f>
        <v/>
      </c>
      <c r="F502" s="28">
        <f>IF(ROW()-8&lt;CorrWindow,"",IFERROR(CORREL(INDEX($D$9:$D$809,ROW()-8-CorrWindow+1):D502,INDEX($E$9:$E$809,ROW()-8-CorrWindow+1):E502),""))</f>
        <v/>
      </c>
      <c r="G502">
        <f>IF(A502="","",0)</f>
        <v/>
      </c>
    </row>
    <row r="503">
      <c r="A503" s="23">
        <f>IFERROR(INDEX($R$9:$R$809,ROW()-8),"")</f>
        <v/>
      </c>
      <c r="B503">
        <f>IFERROR(INDEX($S$9:$S$809,ROW()-8),"")</f>
        <v/>
      </c>
      <c r="C503">
        <f>IFERROR(INDEX($W$9:$W$809,ROW()-8),"")</f>
        <v/>
      </c>
      <c r="D503" s="26">
        <f>IF(COUNT(B502:B503)=2,LN(B503/B502),"")</f>
        <v/>
      </c>
      <c r="E503" s="27">
        <f>IF(COUNT(C502:C503)=2,(C503-C502)*100,"")</f>
        <v/>
      </c>
      <c r="F503" s="28">
        <f>IF(ROW()-8&lt;CorrWindow,"",IFERROR(CORREL(INDEX($D$9:$D$809,ROW()-8-CorrWindow+1):D503,INDEX($E$9:$E$809,ROW()-8-CorrWindow+1):E503),""))</f>
        <v/>
      </c>
      <c r="G503">
        <f>IF(A503="","",0)</f>
        <v/>
      </c>
    </row>
    <row r="504">
      <c r="A504" s="23">
        <f>IFERROR(INDEX($R$9:$R$809,ROW()-8),"")</f>
        <v/>
      </c>
      <c r="B504">
        <f>IFERROR(INDEX($S$9:$S$809,ROW()-8),"")</f>
        <v/>
      </c>
      <c r="C504">
        <f>IFERROR(INDEX($W$9:$W$809,ROW()-8),"")</f>
        <v/>
      </c>
      <c r="D504" s="26">
        <f>IF(COUNT(B503:B504)=2,LN(B504/B503),"")</f>
        <v/>
      </c>
      <c r="E504" s="27">
        <f>IF(COUNT(C503:C504)=2,(C504-C503)*100,"")</f>
        <v/>
      </c>
      <c r="F504" s="28">
        <f>IF(ROW()-8&lt;CorrWindow,"",IFERROR(CORREL(INDEX($D$9:$D$809,ROW()-8-CorrWindow+1):D504,INDEX($E$9:$E$809,ROW()-8-CorrWindow+1):E504),""))</f>
        <v/>
      </c>
      <c r="G504">
        <f>IF(A504="","",0)</f>
        <v/>
      </c>
    </row>
    <row r="505">
      <c r="A505" s="23">
        <f>IFERROR(INDEX($R$9:$R$809,ROW()-8),"")</f>
        <v/>
      </c>
      <c r="B505">
        <f>IFERROR(INDEX($S$9:$S$809,ROW()-8),"")</f>
        <v/>
      </c>
      <c r="C505">
        <f>IFERROR(INDEX($W$9:$W$809,ROW()-8),"")</f>
        <v/>
      </c>
      <c r="D505" s="26">
        <f>IF(COUNT(B504:B505)=2,LN(B505/B504),"")</f>
        <v/>
      </c>
      <c r="E505" s="27">
        <f>IF(COUNT(C504:C505)=2,(C505-C504)*100,"")</f>
        <v/>
      </c>
      <c r="F505" s="28">
        <f>IF(ROW()-8&lt;CorrWindow,"",IFERROR(CORREL(INDEX($D$9:$D$809,ROW()-8-CorrWindow+1):D505,INDEX($E$9:$E$809,ROW()-8-CorrWindow+1):E505),""))</f>
        <v/>
      </c>
      <c r="G505">
        <f>IF(A505="","",0)</f>
        <v/>
      </c>
    </row>
    <row r="506">
      <c r="A506" s="23">
        <f>IFERROR(INDEX($R$9:$R$809,ROW()-8),"")</f>
        <v/>
      </c>
      <c r="B506">
        <f>IFERROR(INDEX($S$9:$S$809,ROW()-8),"")</f>
        <v/>
      </c>
      <c r="C506">
        <f>IFERROR(INDEX($W$9:$W$809,ROW()-8),"")</f>
        <v/>
      </c>
      <c r="D506" s="26">
        <f>IF(COUNT(B505:B506)=2,LN(B506/B505),"")</f>
        <v/>
      </c>
      <c r="E506" s="27">
        <f>IF(COUNT(C505:C506)=2,(C506-C505)*100,"")</f>
        <v/>
      </c>
      <c r="F506" s="28">
        <f>IF(ROW()-8&lt;CorrWindow,"",IFERROR(CORREL(INDEX($D$9:$D$809,ROW()-8-CorrWindow+1):D506,INDEX($E$9:$E$809,ROW()-8-CorrWindow+1):E506),""))</f>
        <v/>
      </c>
      <c r="G506">
        <f>IF(A506="","",0)</f>
        <v/>
      </c>
    </row>
    <row r="507">
      <c r="A507" s="23">
        <f>IFERROR(INDEX($R$9:$R$809,ROW()-8),"")</f>
        <v/>
      </c>
      <c r="B507">
        <f>IFERROR(INDEX($S$9:$S$809,ROW()-8),"")</f>
        <v/>
      </c>
      <c r="C507">
        <f>IFERROR(INDEX($W$9:$W$809,ROW()-8),"")</f>
        <v/>
      </c>
      <c r="D507" s="26">
        <f>IF(COUNT(B506:B507)=2,LN(B507/B506),"")</f>
        <v/>
      </c>
      <c r="E507" s="27">
        <f>IF(COUNT(C506:C507)=2,(C507-C506)*100,"")</f>
        <v/>
      </c>
      <c r="F507" s="28">
        <f>IF(ROW()-8&lt;CorrWindow,"",IFERROR(CORREL(INDEX($D$9:$D$809,ROW()-8-CorrWindow+1):D507,INDEX($E$9:$E$809,ROW()-8-CorrWindow+1):E507),""))</f>
        <v/>
      </c>
      <c r="G507">
        <f>IF(A507="","",0)</f>
        <v/>
      </c>
    </row>
    <row r="508">
      <c r="A508" s="23">
        <f>IFERROR(INDEX($R$9:$R$809,ROW()-8),"")</f>
        <v/>
      </c>
      <c r="B508">
        <f>IFERROR(INDEX($S$9:$S$809,ROW()-8),"")</f>
        <v/>
      </c>
      <c r="C508">
        <f>IFERROR(INDEX($W$9:$W$809,ROW()-8),"")</f>
        <v/>
      </c>
      <c r="D508" s="26">
        <f>IF(COUNT(B507:B508)=2,LN(B508/B507),"")</f>
        <v/>
      </c>
      <c r="E508" s="27">
        <f>IF(COUNT(C507:C508)=2,(C508-C507)*100,"")</f>
        <v/>
      </c>
      <c r="F508" s="28">
        <f>IF(ROW()-8&lt;CorrWindow,"",IFERROR(CORREL(INDEX($D$9:$D$809,ROW()-8-CorrWindow+1):D508,INDEX($E$9:$E$809,ROW()-8-CorrWindow+1):E508),""))</f>
        <v/>
      </c>
      <c r="G508">
        <f>IF(A508="","",0)</f>
        <v/>
      </c>
    </row>
    <row r="509">
      <c r="A509" s="23">
        <f>IFERROR(INDEX($R$9:$R$809,ROW()-8),"")</f>
        <v/>
      </c>
      <c r="B509">
        <f>IFERROR(INDEX($S$9:$S$809,ROW()-8),"")</f>
        <v/>
      </c>
      <c r="C509">
        <f>IFERROR(INDEX($W$9:$W$809,ROW()-8),"")</f>
        <v/>
      </c>
      <c r="D509" s="26">
        <f>IF(COUNT(B508:B509)=2,LN(B509/B508),"")</f>
        <v/>
      </c>
      <c r="E509" s="27">
        <f>IF(COUNT(C508:C509)=2,(C509-C508)*100,"")</f>
        <v/>
      </c>
      <c r="F509" s="28">
        <f>IF(ROW()-8&lt;CorrWindow,"",IFERROR(CORREL(INDEX($D$9:$D$809,ROW()-8-CorrWindow+1):D509,INDEX($E$9:$E$809,ROW()-8-CorrWindow+1):E509),""))</f>
        <v/>
      </c>
      <c r="G509">
        <f>IF(A509="","",0)</f>
        <v/>
      </c>
    </row>
    <row r="510">
      <c r="A510" s="23">
        <f>IFERROR(INDEX($R$9:$R$809,ROW()-8),"")</f>
        <v/>
      </c>
      <c r="B510">
        <f>IFERROR(INDEX($S$9:$S$809,ROW()-8),"")</f>
        <v/>
      </c>
      <c r="C510">
        <f>IFERROR(INDEX($W$9:$W$809,ROW()-8),"")</f>
        <v/>
      </c>
      <c r="D510" s="26">
        <f>IF(COUNT(B509:B510)=2,LN(B510/B509),"")</f>
        <v/>
      </c>
      <c r="E510" s="27">
        <f>IF(COUNT(C509:C510)=2,(C510-C509)*100,"")</f>
        <v/>
      </c>
      <c r="F510" s="28">
        <f>IF(ROW()-8&lt;CorrWindow,"",IFERROR(CORREL(INDEX($D$9:$D$809,ROW()-8-CorrWindow+1):D510,INDEX($E$9:$E$809,ROW()-8-CorrWindow+1):E510),""))</f>
        <v/>
      </c>
      <c r="G510">
        <f>IF(A510="","",0)</f>
        <v/>
      </c>
    </row>
    <row r="511">
      <c r="A511" s="23">
        <f>IFERROR(INDEX($R$9:$R$809,ROW()-8),"")</f>
        <v/>
      </c>
      <c r="B511">
        <f>IFERROR(INDEX($S$9:$S$809,ROW()-8),"")</f>
        <v/>
      </c>
      <c r="C511">
        <f>IFERROR(INDEX($W$9:$W$809,ROW()-8),"")</f>
        <v/>
      </c>
      <c r="D511" s="26">
        <f>IF(COUNT(B510:B511)=2,LN(B511/B510),"")</f>
        <v/>
      </c>
      <c r="E511" s="27">
        <f>IF(COUNT(C510:C511)=2,(C511-C510)*100,"")</f>
        <v/>
      </c>
      <c r="F511" s="28">
        <f>IF(ROW()-8&lt;CorrWindow,"",IFERROR(CORREL(INDEX($D$9:$D$809,ROW()-8-CorrWindow+1):D511,INDEX($E$9:$E$809,ROW()-8-CorrWindow+1):E511),""))</f>
        <v/>
      </c>
      <c r="G511">
        <f>IF(A511="","",0)</f>
        <v/>
      </c>
    </row>
    <row r="512">
      <c r="A512" s="23">
        <f>IFERROR(INDEX($R$9:$R$809,ROW()-8),"")</f>
        <v/>
      </c>
      <c r="B512">
        <f>IFERROR(INDEX($S$9:$S$809,ROW()-8),"")</f>
        <v/>
      </c>
      <c r="C512">
        <f>IFERROR(INDEX($W$9:$W$809,ROW()-8),"")</f>
        <v/>
      </c>
      <c r="D512" s="26">
        <f>IF(COUNT(B511:B512)=2,LN(B512/B511),"")</f>
        <v/>
      </c>
      <c r="E512" s="27">
        <f>IF(COUNT(C511:C512)=2,(C512-C511)*100,"")</f>
        <v/>
      </c>
      <c r="F512" s="28">
        <f>IF(ROW()-8&lt;CorrWindow,"",IFERROR(CORREL(INDEX($D$9:$D$809,ROW()-8-CorrWindow+1):D512,INDEX($E$9:$E$809,ROW()-8-CorrWindow+1):E512),""))</f>
        <v/>
      </c>
      <c r="G512">
        <f>IF(A512="","",0)</f>
        <v/>
      </c>
    </row>
    <row r="513">
      <c r="A513" s="23">
        <f>IFERROR(INDEX($R$9:$R$809,ROW()-8),"")</f>
        <v/>
      </c>
      <c r="B513">
        <f>IFERROR(INDEX($S$9:$S$809,ROW()-8),"")</f>
        <v/>
      </c>
      <c r="C513">
        <f>IFERROR(INDEX($W$9:$W$809,ROW()-8),"")</f>
        <v/>
      </c>
      <c r="D513" s="26">
        <f>IF(COUNT(B512:B513)=2,LN(B513/B512),"")</f>
        <v/>
      </c>
      <c r="E513" s="27">
        <f>IF(COUNT(C512:C513)=2,(C513-C512)*100,"")</f>
        <v/>
      </c>
      <c r="F513" s="28">
        <f>IF(ROW()-8&lt;CorrWindow,"",IFERROR(CORREL(INDEX($D$9:$D$809,ROW()-8-CorrWindow+1):D513,INDEX($E$9:$E$809,ROW()-8-CorrWindow+1):E513),""))</f>
        <v/>
      </c>
      <c r="G513">
        <f>IF(A513="","",0)</f>
        <v/>
      </c>
    </row>
    <row r="514">
      <c r="A514" s="23">
        <f>IFERROR(INDEX($R$9:$R$809,ROW()-8),"")</f>
        <v/>
      </c>
      <c r="B514">
        <f>IFERROR(INDEX($S$9:$S$809,ROW()-8),"")</f>
        <v/>
      </c>
      <c r="C514">
        <f>IFERROR(INDEX($W$9:$W$809,ROW()-8),"")</f>
        <v/>
      </c>
      <c r="D514" s="26">
        <f>IF(COUNT(B513:B514)=2,LN(B514/B513),"")</f>
        <v/>
      </c>
      <c r="E514" s="27">
        <f>IF(COUNT(C513:C514)=2,(C514-C513)*100,"")</f>
        <v/>
      </c>
      <c r="F514" s="28">
        <f>IF(ROW()-8&lt;CorrWindow,"",IFERROR(CORREL(INDEX($D$9:$D$809,ROW()-8-CorrWindow+1):D514,INDEX($E$9:$E$809,ROW()-8-CorrWindow+1):E514),""))</f>
        <v/>
      </c>
      <c r="G514">
        <f>IF(A514="","",0)</f>
        <v/>
      </c>
    </row>
    <row r="515">
      <c r="A515" s="23">
        <f>IFERROR(INDEX($R$9:$R$809,ROW()-8),"")</f>
        <v/>
      </c>
      <c r="B515">
        <f>IFERROR(INDEX($S$9:$S$809,ROW()-8),"")</f>
        <v/>
      </c>
      <c r="C515">
        <f>IFERROR(INDEX($W$9:$W$809,ROW()-8),"")</f>
        <v/>
      </c>
      <c r="D515" s="26">
        <f>IF(COUNT(B514:B515)=2,LN(B515/B514),"")</f>
        <v/>
      </c>
      <c r="E515" s="27">
        <f>IF(COUNT(C514:C515)=2,(C515-C514)*100,"")</f>
        <v/>
      </c>
      <c r="F515" s="28">
        <f>IF(ROW()-8&lt;CorrWindow,"",IFERROR(CORREL(INDEX($D$9:$D$809,ROW()-8-CorrWindow+1):D515,INDEX($E$9:$E$809,ROW()-8-CorrWindow+1):E515),""))</f>
        <v/>
      </c>
      <c r="G515">
        <f>IF(A515="","",0)</f>
        <v/>
      </c>
    </row>
    <row r="516">
      <c r="A516" s="23">
        <f>IFERROR(INDEX($R$9:$R$809,ROW()-8),"")</f>
        <v/>
      </c>
      <c r="B516">
        <f>IFERROR(INDEX($S$9:$S$809,ROW()-8),"")</f>
        <v/>
      </c>
      <c r="C516">
        <f>IFERROR(INDEX($W$9:$W$809,ROW()-8),"")</f>
        <v/>
      </c>
      <c r="D516" s="26">
        <f>IF(COUNT(B515:B516)=2,LN(B516/B515),"")</f>
        <v/>
      </c>
      <c r="E516" s="27">
        <f>IF(COUNT(C515:C516)=2,(C516-C515)*100,"")</f>
        <v/>
      </c>
      <c r="F516" s="28">
        <f>IF(ROW()-8&lt;CorrWindow,"",IFERROR(CORREL(INDEX($D$9:$D$809,ROW()-8-CorrWindow+1):D516,INDEX($E$9:$E$809,ROW()-8-CorrWindow+1):E516),""))</f>
        <v/>
      </c>
      <c r="G516">
        <f>IF(A516="","",0)</f>
        <v/>
      </c>
    </row>
    <row r="517">
      <c r="A517" s="23">
        <f>IFERROR(INDEX($R$9:$R$809,ROW()-8),"")</f>
        <v/>
      </c>
      <c r="B517">
        <f>IFERROR(INDEX($S$9:$S$809,ROW()-8),"")</f>
        <v/>
      </c>
      <c r="C517">
        <f>IFERROR(INDEX($W$9:$W$809,ROW()-8),"")</f>
        <v/>
      </c>
      <c r="D517" s="26">
        <f>IF(COUNT(B516:B517)=2,LN(B517/B516),"")</f>
        <v/>
      </c>
      <c r="E517" s="27">
        <f>IF(COUNT(C516:C517)=2,(C517-C516)*100,"")</f>
        <v/>
      </c>
      <c r="F517" s="28">
        <f>IF(ROW()-8&lt;CorrWindow,"",IFERROR(CORREL(INDEX($D$9:$D$809,ROW()-8-CorrWindow+1):D517,INDEX($E$9:$E$809,ROW()-8-CorrWindow+1):E517),""))</f>
        <v/>
      </c>
      <c r="G517">
        <f>IF(A517="","",0)</f>
        <v/>
      </c>
    </row>
    <row r="518">
      <c r="A518" s="23">
        <f>IFERROR(INDEX($R$9:$R$809,ROW()-8),"")</f>
        <v/>
      </c>
      <c r="B518">
        <f>IFERROR(INDEX($S$9:$S$809,ROW()-8),"")</f>
        <v/>
      </c>
      <c r="C518">
        <f>IFERROR(INDEX($W$9:$W$809,ROW()-8),"")</f>
        <v/>
      </c>
      <c r="D518" s="26">
        <f>IF(COUNT(B517:B518)=2,LN(B518/B517),"")</f>
        <v/>
      </c>
      <c r="E518" s="27">
        <f>IF(COUNT(C517:C518)=2,(C518-C517)*100,"")</f>
        <v/>
      </c>
      <c r="F518" s="28">
        <f>IF(ROW()-8&lt;CorrWindow,"",IFERROR(CORREL(INDEX($D$9:$D$809,ROW()-8-CorrWindow+1):D518,INDEX($E$9:$E$809,ROW()-8-CorrWindow+1):E518),""))</f>
        <v/>
      </c>
      <c r="G518">
        <f>IF(A518="","",0)</f>
        <v/>
      </c>
    </row>
    <row r="519">
      <c r="A519" s="23">
        <f>IFERROR(INDEX($R$9:$R$809,ROW()-8),"")</f>
        <v/>
      </c>
      <c r="B519">
        <f>IFERROR(INDEX($S$9:$S$809,ROW()-8),"")</f>
        <v/>
      </c>
      <c r="C519">
        <f>IFERROR(INDEX($W$9:$W$809,ROW()-8),"")</f>
        <v/>
      </c>
      <c r="D519" s="26">
        <f>IF(COUNT(B518:B519)=2,LN(B519/B518),"")</f>
        <v/>
      </c>
      <c r="E519" s="27">
        <f>IF(COUNT(C518:C519)=2,(C519-C518)*100,"")</f>
        <v/>
      </c>
      <c r="F519" s="28">
        <f>IF(ROW()-8&lt;CorrWindow,"",IFERROR(CORREL(INDEX($D$9:$D$809,ROW()-8-CorrWindow+1):D519,INDEX($E$9:$E$809,ROW()-8-CorrWindow+1):E519),""))</f>
        <v/>
      </c>
      <c r="G519">
        <f>IF(A519="","",0)</f>
        <v/>
      </c>
    </row>
    <row r="520">
      <c r="A520" s="23">
        <f>IFERROR(INDEX($R$9:$R$809,ROW()-8),"")</f>
        <v/>
      </c>
      <c r="B520">
        <f>IFERROR(INDEX($S$9:$S$809,ROW()-8),"")</f>
        <v/>
      </c>
      <c r="C520">
        <f>IFERROR(INDEX($W$9:$W$809,ROW()-8),"")</f>
        <v/>
      </c>
      <c r="D520" s="26">
        <f>IF(COUNT(B519:B520)=2,LN(B520/B519),"")</f>
        <v/>
      </c>
      <c r="E520" s="27">
        <f>IF(COUNT(C519:C520)=2,(C520-C519)*100,"")</f>
        <v/>
      </c>
      <c r="F520" s="28">
        <f>IF(ROW()-8&lt;CorrWindow,"",IFERROR(CORREL(INDEX($D$9:$D$809,ROW()-8-CorrWindow+1):D520,INDEX($E$9:$E$809,ROW()-8-CorrWindow+1):E520),""))</f>
        <v/>
      </c>
      <c r="G520">
        <f>IF(A520="","",0)</f>
        <v/>
      </c>
    </row>
    <row r="521">
      <c r="A521" s="23">
        <f>IFERROR(INDEX($R$9:$R$809,ROW()-8),"")</f>
        <v/>
      </c>
      <c r="B521">
        <f>IFERROR(INDEX($S$9:$S$809,ROW()-8),"")</f>
        <v/>
      </c>
      <c r="C521">
        <f>IFERROR(INDEX($W$9:$W$809,ROW()-8),"")</f>
        <v/>
      </c>
      <c r="D521" s="26">
        <f>IF(COUNT(B520:B521)=2,LN(B521/B520),"")</f>
        <v/>
      </c>
      <c r="E521" s="27">
        <f>IF(COUNT(C520:C521)=2,(C521-C520)*100,"")</f>
        <v/>
      </c>
      <c r="F521" s="28">
        <f>IF(ROW()-8&lt;CorrWindow,"",IFERROR(CORREL(INDEX($D$9:$D$809,ROW()-8-CorrWindow+1):D521,INDEX($E$9:$E$809,ROW()-8-CorrWindow+1):E521),""))</f>
        <v/>
      </c>
      <c r="G521">
        <f>IF(A521="","",0)</f>
        <v/>
      </c>
    </row>
    <row r="522">
      <c r="A522" s="23">
        <f>IFERROR(INDEX($R$9:$R$809,ROW()-8),"")</f>
        <v/>
      </c>
      <c r="B522">
        <f>IFERROR(INDEX($S$9:$S$809,ROW()-8),"")</f>
        <v/>
      </c>
      <c r="C522">
        <f>IFERROR(INDEX($W$9:$W$809,ROW()-8),"")</f>
        <v/>
      </c>
      <c r="D522" s="26">
        <f>IF(COUNT(B521:B522)=2,LN(B522/B521),"")</f>
        <v/>
      </c>
      <c r="E522" s="27">
        <f>IF(COUNT(C521:C522)=2,(C522-C521)*100,"")</f>
        <v/>
      </c>
      <c r="F522" s="28">
        <f>IF(ROW()-8&lt;CorrWindow,"",IFERROR(CORREL(INDEX($D$9:$D$809,ROW()-8-CorrWindow+1):D522,INDEX($E$9:$E$809,ROW()-8-CorrWindow+1):E522),""))</f>
        <v/>
      </c>
      <c r="G522">
        <f>IF(A522="","",0)</f>
        <v/>
      </c>
    </row>
    <row r="523">
      <c r="A523" s="23">
        <f>IFERROR(INDEX($R$9:$R$809,ROW()-8),"")</f>
        <v/>
      </c>
      <c r="B523">
        <f>IFERROR(INDEX($S$9:$S$809,ROW()-8),"")</f>
        <v/>
      </c>
      <c r="C523">
        <f>IFERROR(INDEX($W$9:$W$809,ROW()-8),"")</f>
        <v/>
      </c>
      <c r="D523" s="26">
        <f>IF(COUNT(B522:B523)=2,LN(B523/B522),"")</f>
        <v/>
      </c>
      <c r="E523" s="27">
        <f>IF(COUNT(C522:C523)=2,(C523-C522)*100,"")</f>
        <v/>
      </c>
      <c r="F523" s="28">
        <f>IF(ROW()-8&lt;CorrWindow,"",IFERROR(CORREL(INDEX($D$9:$D$809,ROW()-8-CorrWindow+1):D523,INDEX($E$9:$E$809,ROW()-8-CorrWindow+1):E523),""))</f>
        <v/>
      </c>
      <c r="G523">
        <f>IF(A523="","",0)</f>
        <v/>
      </c>
    </row>
    <row r="524">
      <c r="A524" s="23">
        <f>IFERROR(INDEX($R$9:$R$809,ROW()-8),"")</f>
        <v/>
      </c>
      <c r="B524">
        <f>IFERROR(INDEX($S$9:$S$809,ROW()-8),"")</f>
        <v/>
      </c>
      <c r="C524">
        <f>IFERROR(INDEX($W$9:$W$809,ROW()-8),"")</f>
        <v/>
      </c>
      <c r="D524" s="26">
        <f>IF(COUNT(B523:B524)=2,LN(B524/B523),"")</f>
        <v/>
      </c>
      <c r="E524" s="27">
        <f>IF(COUNT(C523:C524)=2,(C524-C523)*100,"")</f>
        <v/>
      </c>
      <c r="F524" s="28">
        <f>IF(ROW()-8&lt;CorrWindow,"",IFERROR(CORREL(INDEX($D$9:$D$809,ROW()-8-CorrWindow+1):D524,INDEX($E$9:$E$809,ROW()-8-CorrWindow+1):E524),""))</f>
        <v/>
      </c>
      <c r="G524">
        <f>IF(A524="","",0)</f>
        <v/>
      </c>
    </row>
    <row r="525">
      <c r="A525" s="23">
        <f>IFERROR(INDEX($R$9:$R$809,ROW()-8),"")</f>
        <v/>
      </c>
      <c r="B525">
        <f>IFERROR(INDEX($S$9:$S$809,ROW()-8),"")</f>
        <v/>
      </c>
      <c r="C525">
        <f>IFERROR(INDEX($W$9:$W$809,ROW()-8),"")</f>
        <v/>
      </c>
      <c r="D525" s="26">
        <f>IF(COUNT(B524:B525)=2,LN(B525/B524),"")</f>
        <v/>
      </c>
      <c r="E525" s="27">
        <f>IF(COUNT(C524:C525)=2,(C525-C524)*100,"")</f>
        <v/>
      </c>
      <c r="F525" s="28">
        <f>IF(ROW()-8&lt;CorrWindow,"",IFERROR(CORREL(INDEX($D$9:$D$809,ROW()-8-CorrWindow+1):D525,INDEX($E$9:$E$809,ROW()-8-CorrWindow+1):E525),""))</f>
        <v/>
      </c>
      <c r="G525">
        <f>IF(A525="","",0)</f>
        <v/>
      </c>
    </row>
    <row r="526">
      <c r="A526" s="23">
        <f>IFERROR(INDEX($R$9:$R$809,ROW()-8),"")</f>
        <v/>
      </c>
      <c r="B526">
        <f>IFERROR(INDEX($S$9:$S$809,ROW()-8),"")</f>
        <v/>
      </c>
      <c r="C526">
        <f>IFERROR(INDEX($W$9:$W$809,ROW()-8),"")</f>
        <v/>
      </c>
      <c r="D526" s="26">
        <f>IF(COUNT(B525:B526)=2,LN(B526/B525),"")</f>
        <v/>
      </c>
      <c r="E526" s="27">
        <f>IF(COUNT(C525:C526)=2,(C526-C525)*100,"")</f>
        <v/>
      </c>
      <c r="F526" s="28">
        <f>IF(ROW()-8&lt;CorrWindow,"",IFERROR(CORREL(INDEX($D$9:$D$809,ROW()-8-CorrWindow+1):D526,INDEX($E$9:$E$809,ROW()-8-CorrWindow+1):E526),""))</f>
        <v/>
      </c>
      <c r="G526">
        <f>IF(A526="","",0)</f>
        <v/>
      </c>
    </row>
    <row r="527">
      <c r="A527" s="23">
        <f>IFERROR(INDEX($R$9:$R$809,ROW()-8),"")</f>
        <v/>
      </c>
      <c r="B527">
        <f>IFERROR(INDEX($S$9:$S$809,ROW()-8),"")</f>
        <v/>
      </c>
      <c r="C527">
        <f>IFERROR(INDEX($W$9:$W$809,ROW()-8),"")</f>
        <v/>
      </c>
      <c r="D527" s="26">
        <f>IF(COUNT(B526:B527)=2,LN(B527/B526),"")</f>
        <v/>
      </c>
      <c r="E527" s="27">
        <f>IF(COUNT(C526:C527)=2,(C527-C526)*100,"")</f>
        <v/>
      </c>
      <c r="F527" s="28">
        <f>IF(ROW()-8&lt;CorrWindow,"",IFERROR(CORREL(INDEX($D$9:$D$809,ROW()-8-CorrWindow+1):D527,INDEX($E$9:$E$809,ROW()-8-CorrWindow+1):E527),""))</f>
        <v/>
      </c>
      <c r="G527">
        <f>IF(A527="","",0)</f>
        <v/>
      </c>
    </row>
    <row r="528">
      <c r="A528" s="23">
        <f>IFERROR(INDEX($R$9:$R$809,ROW()-8),"")</f>
        <v/>
      </c>
      <c r="B528">
        <f>IFERROR(INDEX($S$9:$S$809,ROW()-8),"")</f>
        <v/>
      </c>
      <c r="C528">
        <f>IFERROR(INDEX($W$9:$W$809,ROW()-8),"")</f>
        <v/>
      </c>
      <c r="D528" s="26">
        <f>IF(COUNT(B527:B528)=2,LN(B528/B527),"")</f>
        <v/>
      </c>
      <c r="E528" s="27">
        <f>IF(COUNT(C527:C528)=2,(C528-C527)*100,"")</f>
        <v/>
      </c>
      <c r="F528" s="28">
        <f>IF(ROW()-8&lt;CorrWindow,"",IFERROR(CORREL(INDEX($D$9:$D$809,ROW()-8-CorrWindow+1):D528,INDEX($E$9:$E$809,ROW()-8-CorrWindow+1):E528),""))</f>
        <v/>
      </c>
      <c r="G528">
        <f>IF(A528="","",0)</f>
        <v/>
      </c>
    </row>
    <row r="529">
      <c r="A529" s="23">
        <f>IFERROR(INDEX($R$9:$R$809,ROW()-8),"")</f>
        <v/>
      </c>
      <c r="B529">
        <f>IFERROR(INDEX($S$9:$S$809,ROW()-8),"")</f>
        <v/>
      </c>
      <c r="C529">
        <f>IFERROR(INDEX($W$9:$W$809,ROW()-8),"")</f>
        <v/>
      </c>
      <c r="D529" s="26">
        <f>IF(COUNT(B528:B529)=2,LN(B529/B528),"")</f>
        <v/>
      </c>
      <c r="E529" s="27">
        <f>IF(COUNT(C528:C529)=2,(C529-C528)*100,"")</f>
        <v/>
      </c>
      <c r="F529" s="28">
        <f>IF(ROW()-8&lt;CorrWindow,"",IFERROR(CORREL(INDEX($D$9:$D$809,ROW()-8-CorrWindow+1):D529,INDEX($E$9:$E$809,ROW()-8-CorrWindow+1):E529),""))</f>
        <v/>
      </c>
      <c r="G529">
        <f>IF(A529="","",0)</f>
        <v/>
      </c>
    </row>
    <row r="530">
      <c r="A530" s="23">
        <f>IFERROR(INDEX($R$9:$R$809,ROW()-8),"")</f>
        <v/>
      </c>
      <c r="B530">
        <f>IFERROR(INDEX($S$9:$S$809,ROW()-8),"")</f>
        <v/>
      </c>
      <c r="C530">
        <f>IFERROR(INDEX($W$9:$W$809,ROW()-8),"")</f>
        <v/>
      </c>
      <c r="D530" s="26">
        <f>IF(COUNT(B529:B530)=2,LN(B530/B529),"")</f>
        <v/>
      </c>
      <c r="E530" s="27">
        <f>IF(COUNT(C529:C530)=2,(C530-C529)*100,"")</f>
        <v/>
      </c>
      <c r="F530" s="28">
        <f>IF(ROW()-8&lt;CorrWindow,"",IFERROR(CORREL(INDEX($D$9:$D$809,ROW()-8-CorrWindow+1):D530,INDEX($E$9:$E$809,ROW()-8-CorrWindow+1):E530),""))</f>
        <v/>
      </c>
      <c r="G530">
        <f>IF(A530="","",0)</f>
        <v/>
      </c>
    </row>
    <row r="531">
      <c r="A531" s="23">
        <f>IFERROR(INDEX($R$9:$R$809,ROW()-8),"")</f>
        <v/>
      </c>
      <c r="B531">
        <f>IFERROR(INDEX($S$9:$S$809,ROW()-8),"")</f>
        <v/>
      </c>
      <c r="C531">
        <f>IFERROR(INDEX($W$9:$W$809,ROW()-8),"")</f>
        <v/>
      </c>
      <c r="D531" s="26">
        <f>IF(COUNT(B530:B531)=2,LN(B531/B530),"")</f>
        <v/>
      </c>
      <c r="E531" s="27">
        <f>IF(COUNT(C530:C531)=2,(C531-C530)*100,"")</f>
        <v/>
      </c>
      <c r="F531" s="28">
        <f>IF(ROW()-8&lt;CorrWindow,"",IFERROR(CORREL(INDEX($D$9:$D$809,ROW()-8-CorrWindow+1):D531,INDEX($E$9:$E$809,ROW()-8-CorrWindow+1):E531),""))</f>
        <v/>
      </c>
      <c r="G531">
        <f>IF(A531="","",0)</f>
        <v/>
      </c>
    </row>
    <row r="532">
      <c r="A532" s="23">
        <f>IFERROR(INDEX($R$9:$R$809,ROW()-8),"")</f>
        <v/>
      </c>
      <c r="B532">
        <f>IFERROR(INDEX($S$9:$S$809,ROW()-8),"")</f>
        <v/>
      </c>
      <c r="C532">
        <f>IFERROR(INDEX($W$9:$W$809,ROW()-8),"")</f>
        <v/>
      </c>
      <c r="D532" s="26">
        <f>IF(COUNT(B531:B532)=2,LN(B532/B531),"")</f>
        <v/>
      </c>
      <c r="E532" s="27">
        <f>IF(COUNT(C531:C532)=2,(C532-C531)*100,"")</f>
        <v/>
      </c>
      <c r="F532" s="28">
        <f>IF(ROW()-8&lt;CorrWindow,"",IFERROR(CORREL(INDEX($D$9:$D$809,ROW()-8-CorrWindow+1):D532,INDEX($E$9:$E$809,ROW()-8-CorrWindow+1):E532),""))</f>
        <v/>
      </c>
      <c r="G532">
        <f>IF(A532="","",0)</f>
        <v/>
      </c>
    </row>
    <row r="533">
      <c r="A533" s="23">
        <f>IFERROR(INDEX($R$9:$R$809,ROW()-8),"")</f>
        <v/>
      </c>
      <c r="B533">
        <f>IFERROR(INDEX($S$9:$S$809,ROW()-8),"")</f>
        <v/>
      </c>
      <c r="C533">
        <f>IFERROR(INDEX($W$9:$W$809,ROW()-8),"")</f>
        <v/>
      </c>
      <c r="D533" s="26">
        <f>IF(COUNT(B532:B533)=2,LN(B533/B532),"")</f>
        <v/>
      </c>
      <c r="E533" s="27">
        <f>IF(COUNT(C532:C533)=2,(C533-C532)*100,"")</f>
        <v/>
      </c>
      <c r="F533" s="28">
        <f>IF(ROW()-8&lt;CorrWindow,"",IFERROR(CORREL(INDEX($D$9:$D$809,ROW()-8-CorrWindow+1):D533,INDEX($E$9:$E$809,ROW()-8-CorrWindow+1):E533),""))</f>
        <v/>
      </c>
      <c r="G533">
        <f>IF(A533="","",0)</f>
        <v/>
      </c>
    </row>
    <row r="534">
      <c r="A534" s="23">
        <f>IFERROR(INDEX($R$9:$R$809,ROW()-8),"")</f>
        <v/>
      </c>
      <c r="B534">
        <f>IFERROR(INDEX($S$9:$S$809,ROW()-8),"")</f>
        <v/>
      </c>
      <c r="C534">
        <f>IFERROR(INDEX($W$9:$W$809,ROW()-8),"")</f>
        <v/>
      </c>
      <c r="D534" s="26">
        <f>IF(COUNT(B533:B534)=2,LN(B534/B533),"")</f>
        <v/>
      </c>
      <c r="E534" s="27">
        <f>IF(COUNT(C533:C534)=2,(C534-C533)*100,"")</f>
        <v/>
      </c>
      <c r="F534" s="28">
        <f>IF(ROW()-8&lt;CorrWindow,"",IFERROR(CORREL(INDEX($D$9:$D$809,ROW()-8-CorrWindow+1):D534,INDEX($E$9:$E$809,ROW()-8-CorrWindow+1):E534),""))</f>
        <v/>
      </c>
      <c r="G534">
        <f>IF(A534="","",0)</f>
        <v/>
      </c>
    </row>
    <row r="535">
      <c r="A535" s="23">
        <f>IFERROR(INDEX($R$9:$R$809,ROW()-8),"")</f>
        <v/>
      </c>
      <c r="B535">
        <f>IFERROR(INDEX($S$9:$S$809,ROW()-8),"")</f>
        <v/>
      </c>
      <c r="C535">
        <f>IFERROR(INDEX($W$9:$W$809,ROW()-8),"")</f>
        <v/>
      </c>
      <c r="D535" s="26">
        <f>IF(COUNT(B534:B535)=2,LN(B535/B534),"")</f>
        <v/>
      </c>
      <c r="E535" s="27">
        <f>IF(COUNT(C534:C535)=2,(C535-C534)*100,"")</f>
        <v/>
      </c>
      <c r="F535" s="28">
        <f>IF(ROW()-8&lt;CorrWindow,"",IFERROR(CORREL(INDEX($D$9:$D$809,ROW()-8-CorrWindow+1):D535,INDEX($E$9:$E$809,ROW()-8-CorrWindow+1):E535),""))</f>
        <v/>
      </c>
      <c r="G535">
        <f>IF(A535="","",0)</f>
        <v/>
      </c>
    </row>
    <row r="536">
      <c r="A536" s="23">
        <f>IFERROR(INDEX($R$9:$R$809,ROW()-8),"")</f>
        <v/>
      </c>
      <c r="B536">
        <f>IFERROR(INDEX($S$9:$S$809,ROW()-8),"")</f>
        <v/>
      </c>
      <c r="C536">
        <f>IFERROR(INDEX($W$9:$W$809,ROW()-8),"")</f>
        <v/>
      </c>
      <c r="D536" s="26">
        <f>IF(COUNT(B535:B536)=2,LN(B536/B535),"")</f>
        <v/>
      </c>
      <c r="E536" s="27">
        <f>IF(COUNT(C535:C536)=2,(C536-C535)*100,"")</f>
        <v/>
      </c>
      <c r="F536" s="28">
        <f>IF(ROW()-8&lt;CorrWindow,"",IFERROR(CORREL(INDEX($D$9:$D$809,ROW()-8-CorrWindow+1):D536,INDEX($E$9:$E$809,ROW()-8-CorrWindow+1):E536),""))</f>
        <v/>
      </c>
      <c r="G536">
        <f>IF(A536="","",0)</f>
        <v/>
      </c>
    </row>
    <row r="537">
      <c r="A537" s="23">
        <f>IFERROR(INDEX($R$9:$R$809,ROW()-8),"")</f>
        <v/>
      </c>
      <c r="B537">
        <f>IFERROR(INDEX($S$9:$S$809,ROW()-8),"")</f>
        <v/>
      </c>
      <c r="C537">
        <f>IFERROR(INDEX($W$9:$W$809,ROW()-8),"")</f>
        <v/>
      </c>
      <c r="D537" s="26">
        <f>IF(COUNT(B536:B537)=2,LN(B537/B536),"")</f>
        <v/>
      </c>
      <c r="E537" s="27">
        <f>IF(COUNT(C536:C537)=2,(C537-C536)*100,"")</f>
        <v/>
      </c>
      <c r="F537" s="28">
        <f>IF(ROW()-8&lt;CorrWindow,"",IFERROR(CORREL(INDEX($D$9:$D$809,ROW()-8-CorrWindow+1):D537,INDEX($E$9:$E$809,ROW()-8-CorrWindow+1):E537),""))</f>
        <v/>
      </c>
      <c r="G537">
        <f>IF(A537="","",0)</f>
        <v/>
      </c>
    </row>
    <row r="538">
      <c r="A538" s="23">
        <f>IFERROR(INDEX($R$9:$R$809,ROW()-8),"")</f>
        <v/>
      </c>
      <c r="B538">
        <f>IFERROR(INDEX($S$9:$S$809,ROW()-8),"")</f>
        <v/>
      </c>
      <c r="C538">
        <f>IFERROR(INDEX($W$9:$W$809,ROW()-8),"")</f>
        <v/>
      </c>
      <c r="D538" s="26">
        <f>IF(COUNT(B537:B538)=2,LN(B538/B537),"")</f>
        <v/>
      </c>
      <c r="E538" s="27">
        <f>IF(COUNT(C537:C538)=2,(C538-C537)*100,"")</f>
        <v/>
      </c>
      <c r="F538" s="28">
        <f>IF(ROW()-8&lt;CorrWindow,"",IFERROR(CORREL(INDEX($D$9:$D$809,ROW()-8-CorrWindow+1):D538,INDEX($E$9:$E$809,ROW()-8-CorrWindow+1):E538),""))</f>
        <v/>
      </c>
      <c r="G538">
        <f>IF(A538="","",0)</f>
        <v/>
      </c>
    </row>
    <row r="539">
      <c r="A539" s="23">
        <f>IFERROR(INDEX($R$9:$R$809,ROW()-8),"")</f>
        <v/>
      </c>
      <c r="B539">
        <f>IFERROR(INDEX($S$9:$S$809,ROW()-8),"")</f>
        <v/>
      </c>
      <c r="C539">
        <f>IFERROR(INDEX($W$9:$W$809,ROW()-8),"")</f>
        <v/>
      </c>
      <c r="D539" s="26">
        <f>IF(COUNT(B538:B539)=2,LN(B539/B538),"")</f>
        <v/>
      </c>
      <c r="E539" s="27">
        <f>IF(COUNT(C538:C539)=2,(C539-C538)*100,"")</f>
        <v/>
      </c>
      <c r="F539" s="28">
        <f>IF(ROW()-8&lt;CorrWindow,"",IFERROR(CORREL(INDEX($D$9:$D$809,ROW()-8-CorrWindow+1):D539,INDEX($E$9:$E$809,ROW()-8-CorrWindow+1):E539),""))</f>
        <v/>
      </c>
      <c r="G539">
        <f>IF(A539="","",0)</f>
        <v/>
      </c>
    </row>
    <row r="540">
      <c r="A540" s="23">
        <f>IFERROR(INDEX($R$9:$R$809,ROW()-8),"")</f>
        <v/>
      </c>
      <c r="B540">
        <f>IFERROR(INDEX($S$9:$S$809,ROW()-8),"")</f>
        <v/>
      </c>
      <c r="C540">
        <f>IFERROR(INDEX($W$9:$W$809,ROW()-8),"")</f>
        <v/>
      </c>
      <c r="D540" s="26">
        <f>IF(COUNT(B539:B540)=2,LN(B540/B539),"")</f>
        <v/>
      </c>
      <c r="E540" s="27">
        <f>IF(COUNT(C539:C540)=2,(C540-C539)*100,"")</f>
        <v/>
      </c>
      <c r="F540" s="28">
        <f>IF(ROW()-8&lt;CorrWindow,"",IFERROR(CORREL(INDEX($D$9:$D$809,ROW()-8-CorrWindow+1):D540,INDEX($E$9:$E$809,ROW()-8-CorrWindow+1):E540),""))</f>
        <v/>
      </c>
      <c r="G540">
        <f>IF(A540="","",0)</f>
        <v/>
      </c>
    </row>
    <row r="541">
      <c r="A541" s="23">
        <f>IFERROR(INDEX($R$9:$R$809,ROW()-8),"")</f>
        <v/>
      </c>
      <c r="B541">
        <f>IFERROR(INDEX($S$9:$S$809,ROW()-8),"")</f>
        <v/>
      </c>
      <c r="C541">
        <f>IFERROR(INDEX($W$9:$W$809,ROW()-8),"")</f>
        <v/>
      </c>
      <c r="D541" s="26">
        <f>IF(COUNT(B540:B541)=2,LN(B541/B540),"")</f>
        <v/>
      </c>
      <c r="E541" s="27">
        <f>IF(COUNT(C540:C541)=2,(C541-C540)*100,"")</f>
        <v/>
      </c>
      <c r="F541" s="28">
        <f>IF(ROW()-8&lt;CorrWindow,"",IFERROR(CORREL(INDEX($D$9:$D$809,ROW()-8-CorrWindow+1):D541,INDEX($E$9:$E$809,ROW()-8-CorrWindow+1):E541),""))</f>
        <v/>
      </c>
      <c r="G541">
        <f>IF(A541="","",0)</f>
        <v/>
      </c>
    </row>
    <row r="542">
      <c r="A542" s="23">
        <f>IFERROR(INDEX($R$9:$R$809,ROW()-8),"")</f>
        <v/>
      </c>
      <c r="B542">
        <f>IFERROR(INDEX($S$9:$S$809,ROW()-8),"")</f>
        <v/>
      </c>
      <c r="C542">
        <f>IFERROR(INDEX($W$9:$W$809,ROW()-8),"")</f>
        <v/>
      </c>
      <c r="D542" s="26">
        <f>IF(COUNT(B541:B542)=2,LN(B542/B541),"")</f>
        <v/>
      </c>
      <c r="E542" s="27">
        <f>IF(COUNT(C541:C542)=2,(C542-C541)*100,"")</f>
        <v/>
      </c>
      <c r="F542" s="28">
        <f>IF(ROW()-8&lt;CorrWindow,"",IFERROR(CORREL(INDEX($D$9:$D$809,ROW()-8-CorrWindow+1):D542,INDEX($E$9:$E$809,ROW()-8-CorrWindow+1):E542),""))</f>
        <v/>
      </c>
      <c r="G542">
        <f>IF(A542="","",0)</f>
        <v/>
      </c>
    </row>
    <row r="543">
      <c r="A543" s="23">
        <f>IFERROR(INDEX($R$9:$R$809,ROW()-8),"")</f>
        <v/>
      </c>
      <c r="B543">
        <f>IFERROR(INDEX($S$9:$S$809,ROW()-8),"")</f>
        <v/>
      </c>
      <c r="C543">
        <f>IFERROR(INDEX($W$9:$W$809,ROW()-8),"")</f>
        <v/>
      </c>
      <c r="D543" s="26">
        <f>IF(COUNT(B542:B543)=2,LN(B543/B542),"")</f>
        <v/>
      </c>
      <c r="E543" s="27">
        <f>IF(COUNT(C542:C543)=2,(C543-C542)*100,"")</f>
        <v/>
      </c>
      <c r="F543" s="28">
        <f>IF(ROW()-8&lt;CorrWindow,"",IFERROR(CORREL(INDEX($D$9:$D$809,ROW()-8-CorrWindow+1):D543,INDEX($E$9:$E$809,ROW()-8-CorrWindow+1):E543),""))</f>
        <v/>
      </c>
      <c r="G543">
        <f>IF(A543="","",0)</f>
        <v/>
      </c>
    </row>
    <row r="544">
      <c r="A544" s="23">
        <f>IFERROR(INDEX($R$9:$R$809,ROW()-8),"")</f>
        <v/>
      </c>
      <c r="B544">
        <f>IFERROR(INDEX($S$9:$S$809,ROW()-8),"")</f>
        <v/>
      </c>
      <c r="C544">
        <f>IFERROR(INDEX($W$9:$W$809,ROW()-8),"")</f>
        <v/>
      </c>
      <c r="D544" s="26">
        <f>IF(COUNT(B543:B544)=2,LN(B544/B543),"")</f>
        <v/>
      </c>
      <c r="E544" s="27">
        <f>IF(COUNT(C543:C544)=2,(C544-C543)*100,"")</f>
        <v/>
      </c>
      <c r="F544" s="28">
        <f>IF(ROW()-8&lt;CorrWindow,"",IFERROR(CORREL(INDEX($D$9:$D$809,ROW()-8-CorrWindow+1):D544,INDEX($E$9:$E$809,ROW()-8-CorrWindow+1):E544),""))</f>
        <v/>
      </c>
      <c r="G544">
        <f>IF(A544="","",0)</f>
        <v/>
      </c>
    </row>
    <row r="545">
      <c r="A545" s="23">
        <f>IFERROR(INDEX($R$9:$R$809,ROW()-8),"")</f>
        <v/>
      </c>
      <c r="B545">
        <f>IFERROR(INDEX($S$9:$S$809,ROW()-8),"")</f>
        <v/>
      </c>
      <c r="C545">
        <f>IFERROR(INDEX($W$9:$W$809,ROW()-8),"")</f>
        <v/>
      </c>
      <c r="D545" s="26">
        <f>IF(COUNT(B544:B545)=2,LN(B545/B544),"")</f>
        <v/>
      </c>
      <c r="E545" s="27">
        <f>IF(COUNT(C544:C545)=2,(C545-C544)*100,"")</f>
        <v/>
      </c>
      <c r="F545" s="28">
        <f>IF(ROW()-8&lt;CorrWindow,"",IFERROR(CORREL(INDEX($D$9:$D$809,ROW()-8-CorrWindow+1):D545,INDEX($E$9:$E$809,ROW()-8-CorrWindow+1):E545),""))</f>
        <v/>
      </c>
      <c r="G545">
        <f>IF(A545="","",0)</f>
        <v/>
      </c>
    </row>
    <row r="546">
      <c r="A546" s="23">
        <f>IFERROR(INDEX($R$9:$R$809,ROW()-8),"")</f>
        <v/>
      </c>
      <c r="B546">
        <f>IFERROR(INDEX($S$9:$S$809,ROW()-8),"")</f>
        <v/>
      </c>
      <c r="C546">
        <f>IFERROR(INDEX($W$9:$W$809,ROW()-8),"")</f>
        <v/>
      </c>
      <c r="D546" s="26">
        <f>IF(COUNT(B545:B546)=2,LN(B546/B545),"")</f>
        <v/>
      </c>
      <c r="E546" s="27">
        <f>IF(COUNT(C545:C546)=2,(C546-C545)*100,"")</f>
        <v/>
      </c>
      <c r="F546" s="28">
        <f>IF(ROW()-8&lt;CorrWindow,"",IFERROR(CORREL(INDEX($D$9:$D$809,ROW()-8-CorrWindow+1):D546,INDEX($E$9:$E$809,ROW()-8-CorrWindow+1):E546),""))</f>
        <v/>
      </c>
      <c r="G546">
        <f>IF(A546="","",0)</f>
        <v/>
      </c>
    </row>
    <row r="547">
      <c r="A547" s="23">
        <f>IFERROR(INDEX($R$9:$R$809,ROW()-8),"")</f>
        <v/>
      </c>
      <c r="B547">
        <f>IFERROR(INDEX($S$9:$S$809,ROW()-8),"")</f>
        <v/>
      </c>
      <c r="C547">
        <f>IFERROR(INDEX($W$9:$W$809,ROW()-8),"")</f>
        <v/>
      </c>
      <c r="D547" s="26">
        <f>IF(COUNT(B546:B547)=2,LN(B547/B546),"")</f>
        <v/>
      </c>
      <c r="E547" s="27">
        <f>IF(COUNT(C546:C547)=2,(C547-C546)*100,"")</f>
        <v/>
      </c>
      <c r="F547" s="28">
        <f>IF(ROW()-8&lt;CorrWindow,"",IFERROR(CORREL(INDEX($D$9:$D$809,ROW()-8-CorrWindow+1):D547,INDEX($E$9:$E$809,ROW()-8-CorrWindow+1):E547),""))</f>
        <v/>
      </c>
      <c r="G547">
        <f>IF(A547="","",0)</f>
        <v/>
      </c>
    </row>
    <row r="548">
      <c r="A548" s="23">
        <f>IFERROR(INDEX($R$9:$R$809,ROW()-8),"")</f>
        <v/>
      </c>
      <c r="B548">
        <f>IFERROR(INDEX($S$9:$S$809,ROW()-8),"")</f>
        <v/>
      </c>
      <c r="C548">
        <f>IFERROR(INDEX($W$9:$W$809,ROW()-8),"")</f>
        <v/>
      </c>
      <c r="D548" s="26">
        <f>IF(COUNT(B547:B548)=2,LN(B548/B547),"")</f>
        <v/>
      </c>
      <c r="E548" s="27">
        <f>IF(COUNT(C547:C548)=2,(C548-C547)*100,"")</f>
        <v/>
      </c>
      <c r="F548" s="28">
        <f>IF(ROW()-8&lt;CorrWindow,"",IFERROR(CORREL(INDEX($D$9:$D$809,ROW()-8-CorrWindow+1):D548,INDEX($E$9:$E$809,ROW()-8-CorrWindow+1):E548),""))</f>
        <v/>
      </c>
      <c r="G548">
        <f>IF(A548="","",0)</f>
        <v/>
      </c>
    </row>
    <row r="549">
      <c r="A549" s="23">
        <f>IFERROR(INDEX($R$9:$R$809,ROW()-8),"")</f>
        <v/>
      </c>
      <c r="B549">
        <f>IFERROR(INDEX($S$9:$S$809,ROW()-8),"")</f>
        <v/>
      </c>
      <c r="C549">
        <f>IFERROR(INDEX($W$9:$W$809,ROW()-8),"")</f>
        <v/>
      </c>
      <c r="D549" s="26">
        <f>IF(COUNT(B548:B549)=2,LN(B549/B548),"")</f>
        <v/>
      </c>
      <c r="E549" s="27">
        <f>IF(COUNT(C548:C549)=2,(C549-C548)*100,"")</f>
        <v/>
      </c>
      <c r="F549" s="28">
        <f>IF(ROW()-8&lt;CorrWindow,"",IFERROR(CORREL(INDEX($D$9:$D$809,ROW()-8-CorrWindow+1):D549,INDEX($E$9:$E$809,ROW()-8-CorrWindow+1):E549),""))</f>
        <v/>
      </c>
      <c r="G549">
        <f>IF(A549="","",0)</f>
        <v/>
      </c>
    </row>
    <row r="550">
      <c r="A550" s="23">
        <f>IFERROR(INDEX($R$9:$R$809,ROW()-8),"")</f>
        <v/>
      </c>
      <c r="B550">
        <f>IFERROR(INDEX($S$9:$S$809,ROW()-8),"")</f>
        <v/>
      </c>
      <c r="C550">
        <f>IFERROR(INDEX($W$9:$W$809,ROW()-8),"")</f>
        <v/>
      </c>
      <c r="D550" s="26">
        <f>IF(COUNT(B549:B550)=2,LN(B550/B549),"")</f>
        <v/>
      </c>
      <c r="E550" s="27">
        <f>IF(COUNT(C549:C550)=2,(C550-C549)*100,"")</f>
        <v/>
      </c>
      <c r="F550" s="28">
        <f>IF(ROW()-8&lt;CorrWindow,"",IFERROR(CORREL(INDEX($D$9:$D$809,ROW()-8-CorrWindow+1):D550,INDEX($E$9:$E$809,ROW()-8-CorrWindow+1):E550),""))</f>
        <v/>
      </c>
      <c r="G550">
        <f>IF(A550="","",0)</f>
        <v/>
      </c>
    </row>
    <row r="551">
      <c r="A551" s="23">
        <f>IFERROR(INDEX($R$9:$R$809,ROW()-8),"")</f>
        <v/>
      </c>
      <c r="B551">
        <f>IFERROR(INDEX($S$9:$S$809,ROW()-8),"")</f>
        <v/>
      </c>
      <c r="C551">
        <f>IFERROR(INDEX($W$9:$W$809,ROW()-8),"")</f>
        <v/>
      </c>
      <c r="D551" s="26">
        <f>IF(COUNT(B550:B551)=2,LN(B551/B550),"")</f>
        <v/>
      </c>
      <c r="E551" s="27">
        <f>IF(COUNT(C550:C551)=2,(C551-C550)*100,"")</f>
        <v/>
      </c>
      <c r="F551" s="28">
        <f>IF(ROW()-8&lt;CorrWindow,"",IFERROR(CORREL(INDEX($D$9:$D$809,ROW()-8-CorrWindow+1):D551,INDEX($E$9:$E$809,ROW()-8-CorrWindow+1):E551),""))</f>
        <v/>
      </c>
      <c r="G551">
        <f>IF(A551="","",0)</f>
        <v/>
      </c>
    </row>
    <row r="552">
      <c r="A552" s="23">
        <f>IFERROR(INDEX($R$9:$R$809,ROW()-8),"")</f>
        <v/>
      </c>
      <c r="B552">
        <f>IFERROR(INDEX($S$9:$S$809,ROW()-8),"")</f>
        <v/>
      </c>
      <c r="C552">
        <f>IFERROR(INDEX($W$9:$W$809,ROW()-8),"")</f>
        <v/>
      </c>
      <c r="D552" s="26">
        <f>IF(COUNT(B551:B552)=2,LN(B552/B551),"")</f>
        <v/>
      </c>
      <c r="E552" s="27">
        <f>IF(COUNT(C551:C552)=2,(C552-C551)*100,"")</f>
        <v/>
      </c>
      <c r="F552" s="28">
        <f>IF(ROW()-8&lt;CorrWindow,"",IFERROR(CORREL(INDEX($D$9:$D$809,ROW()-8-CorrWindow+1):D552,INDEX($E$9:$E$809,ROW()-8-CorrWindow+1):E552),""))</f>
        <v/>
      </c>
      <c r="G552">
        <f>IF(A552="","",0)</f>
        <v/>
      </c>
    </row>
    <row r="553">
      <c r="A553" s="23">
        <f>IFERROR(INDEX($R$9:$R$809,ROW()-8),"")</f>
        <v/>
      </c>
      <c r="B553">
        <f>IFERROR(INDEX($S$9:$S$809,ROW()-8),"")</f>
        <v/>
      </c>
      <c r="C553">
        <f>IFERROR(INDEX($W$9:$W$809,ROW()-8),"")</f>
        <v/>
      </c>
      <c r="D553" s="26">
        <f>IF(COUNT(B552:B553)=2,LN(B553/B552),"")</f>
        <v/>
      </c>
      <c r="E553" s="27">
        <f>IF(COUNT(C552:C553)=2,(C553-C552)*100,"")</f>
        <v/>
      </c>
      <c r="F553" s="28">
        <f>IF(ROW()-8&lt;CorrWindow,"",IFERROR(CORREL(INDEX($D$9:$D$809,ROW()-8-CorrWindow+1):D553,INDEX($E$9:$E$809,ROW()-8-CorrWindow+1):E553),""))</f>
        <v/>
      </c>
      <c r="G553">
        <f>IF(A553="","",0)</f>
        <v/>
      </c>
    </row>
    <row r="554">
      <c r="A554" s="23">
        <f>IFERROR(INDEX($R$9:$R$809,ROW()-8),"")</f>
        <v/>
      </c>
      <c r="B554">
        <f>IFERROR(INDEX($S$9:$S$809,ROW()-8),"")</f>
        <v/>
      </c>
      <c r="C554">
        <f>IFERROR(INDEX($W$9:$W$809,ROW()-8),"")</f>
        <v/>
      </c>
      <c r="D554" s="26">
        <f>IF(COUNT(B553:B554)=2,LN(B554/B553),"")</f>
        <v/>
      </c>
      <c r="E554" s="27">
        <f>IF(COUNT(C553:C554)=2,(C554-C553)*100,"")</f>
        <v/>
      </c>
      <c r="F554" s="28">
        <f>IF(ROW()-8&lt;CorrWindow,"",IFERROR(CORREL(INDEX($D$9:$D$809,ROW()-8-CorrWindow+1):D554,INDEX($E$9:$E$809,ROW()-8-CorrWindow+1):E554),""))</f>
        <v/>
      </c>
      <c r="G554">
        <f>IF(A554="","",0)</f>
        <v/>
      </c>
    </row>
    <row r="555">
      <c r="A555" s="23">
        <f>IFERROR(INDEX($R$9:$R$809,ROW()-8),"")</f>
        <v/>
      </c>
      <c r="B555">
        <f>IFERROR(INDEX($S$9:$S$809,ROW()-8),"")</f>
        <v/>
      </c>
      <c r="C555">
        <f>IFERROR(INDEX($W$9:$W$809,ROW()-8),"")</f>
        <v/>
      </c>
      <c r="D555" s="26">
        <f>IF(COUNT(B554:B555)=2,LN(B555/B554),"")</f>
        <v/>
      </c>
      <c r="E555" s="27">
        <f>IF(COUNT(C554:C555)=2,(C555-C554)*100,"")</f>
        <v/>
      </c>
      <c r="F555" s="28">
        <f>IF(ROW()-8&lt;CorrWindow,"",IFERROR(CORREL(INDEX($D$9:$D$809,ROW()-8-CorrWindow+1):D555,INDEX($E$9:$E$809,ROW()-8-CorrWindow+1):E555),""))</f>
        <v/>
      </c>
      <c r="G555">
        <f>IF(A555="","",0)</f>
        <v/>
      </c>
    </row>
    <row r="556">
      <c r="A556" s="23">
        <f>IFERROR(INDEX($R$9:$R$809,ROW()-8),"")</f>
        <v/>
      </c>
      <c r="B556">
        <f>IFERROR(INDEX($S$9:$S$809,ROW()-8),"")</f>
        <v/>
      </c>
      <c r="C556">
        <f>IFERROR(INDEX($W$9:$W$809,ROW()-8),"")</f>
        <v/>
      </c>
      <c r="D556" s="26">
        <f>IF(COUNT(B555:B556)=2,LN(B556/B555),"")</f>
        <v/>
      </c>
      <c r="E556" s="27">
        <f>IF(COUNT(C555:C556)=2,(C556-C555)*100,"")</f>
        <v/>
      </c>
      <c r="F556" s="28">
        <f>IF(ROW()-8&lt;CorrWindow,"",IFERROR(CORREL(INDEX($D$9:$D$809,ROW()-8-CorrWindow+1):D556,INDEX($E$9:$E$809,ROW()-8-CorrWindow+1):E556),""))</f>
        <v/>
      </c>
      <c r="G556">
        <f>IF(A556="","",0)</f>
        <v/>
      </c>
    </row>
    <row r="557">
      <c r="A557" s="23">
        <f>IFERROR(INDEX($R$9:$R$809,ROW()-8),"")</f>
        <v/>
      </c>
      <c r="B557">
        <f>IFERROR(INDEX($S$9:$S$809,ROW()-8),"")</f>
        <v/>
      </c>
      <c r="C557">
        <f>IFERROR(INDEX($W$9:$W$809,ROW()-8),"")</f>
        <v/>
      </c>
      <c r="D557" s="26">
        <f>IF(COUNT(B556:B557)=2,LN(B557/B556),"")</f>
        <v/>
      </c>
      <c r="E557" s="27">
        <f>IF(COUNT(C556:C557)=2,(C557-C556)*100,"")</f>
        <v/>
      </c>
      <c r="F557" s="28">
        <f>IF(ROW()-8&lt;CorrWindow,"",IFERROR(CORREL(INDEX($D$9:$D$809,ROW()-8-CorrWindow+1):D557,INDEX($E$9:$E$809,ROW()-8-CorrWindow+1):E557),""))</f>
        <v/>
      </c>
      <c r="G557">
        <f>IF(A557="","",0)</f>
        <v/>
      </c>
    </row>
    <row r="558">
      <c r="A558" s="23">
        <f>IFERROR(INDEX($R$9:$R$809,ROW()-8),"")</f>
        <v/>
      </c>
      <c r="B558">
        <f>IFERROR(INDEX($S$9:$S$809,ROW()-8),"")</f>
        <v/>
      </c>
      <c r="C558">
        <f>IFERROR(INDEX($W$9:$W$809,ROW()-8),"")</f>
        <v/>
      </c>
      <c r="D558" s="26">
        <f>IF(COUNT(B557:B558)=2,LN(B558/B557),"")</f>
        <v/>
      </c>
      <c r="E558" s="27">
        <f>IF(COUNT(C557:C558)=2,(C558-C557)*100,"")</f>
        <v/>
      </c>
      <c r="F558" s="28">
        <f>IF(ROW()-8&lt;CorrWindow,"",IFERROR(CORREL(INDEX($D$9:$D$809,ROW()-8-CorrWindow+1):D558,INDEX($E$9:$E$809,ROW()-8-CorrWindow+1):E558),""))</f>
        <v/>
      </c>
      <c r="G558">
        <f>IF(A558="","",0)</f>
        <v/>
      </c>
    </row>
    <row r="559">
      <c r="A559" s="23">
        <f>IFERROR(INDEX($R$9:$R$809,ROW()-8),"")</f>
        <v/>
      </c>
      <c r="B559">
        <f>IFERROR(INDEX($S$9:$S$809,ROW()-8),"")</f>
        <v/>
      </c>
      <c r="C559">
        <f>IFERROR(INDEX($W$9:$W$809,ROW()-8),"")</f>
        <v/>
      </c>
      <c r="D559" s="26">
        <f>IF(COUNT(B558:B559)=2,LN(B559/B558),"")</f>
        <v/>
      </c>
      <c r="E559" s="27">
        <f>IF(COUNT(C558:C559)=2,(C559-C558)*100,"")</f>
        <v/>
      </c>
      <c r="F559" s="28">
        <f>IF(ROW()-8&lt;CorrWindow,"",IFERROR(CORREL(INDEX($D$9:$D$809,ROW()-8-CorrWindow+1):D559,INDEX($E$9:$E$809,ROW()-8-CorrWindow+1):E559),""))</f>
        <v/>
      </c>
      <c r="G559">
        <f>IF(A559="","",0)</f>
        <v/>
      </c>
    </row>
    <row r="560">
      <c r="A560" s="23">
        <f>IFERROR(INDEX($R$9:$R$809,ROW()-8),"")</f>
        <v/>
      </c>
      <c r="B560">
        <f>IFERROR(INDEX($S$9:$S$809,ROW()-8),"")</f>
        <v/>
      </c>
      <c r="C560">
        <f>IFERROR(INDEX($W$9:$W$809,ROW()-8),"")</f>
        <v/>
      </c>
      <c r="D560" s="26">
        <f>IF(COUNT(B559:B560)=2,LN(B560/B559),"")</f>
        <v/>
      </c>
      <c r="E560" s="27">
        <f>IF(COUNT(C559:C560)=2,(C560-C559)*100,"")</f>
        <v/>
      </c>
      <c r="F560" s="28">
        <f>IF(ROW()-8&lt;CorrWindow,"",IFERROR(CORREL(INDEX($D$9:$D$809,ROW()-8-CorrWindow+1):D560,INDEX($E$9:$E$809,ROW()-8-CorrWindow+1):E560),""))</f>
        <v/>
      </c>
      <c r="G560">
        <f>IF(A560="","",0)</f>
        <v/>
      </c>
    </row>
    <row r="561">
      <c r="A561" s="23">
        <f>IFERROR(INDEX($R$9:$R$809,ROW()-8),"")</f>
        <v/>
      </c>
      <c r="B561">
        <f>IFERROR(INDEX($S$9:$S$809,ROW()-8),"")</f>
        <v/>
      </c>
      <c r="C561">
        <f>IFERROR(INDEX($W$9:$W$809,ROW()-8),"")</f>
        <v/>
      </c>
      <c r="D561" s="26">
        <f>IF(COUNT(B560:B561)=2,LN(B561/B560),"")</f>
        <v/>
      </c>
      <c r="E561" s="27">
        <f>IF(COUNT(C560:C561)=2,(C561-C560)*100,"")</f>
        <v/>
      </c>
      <c r="F561" s="28">
        <f>IF(ROW()-8&lt;CorrWindow,"",IFERROR(CORREL(INDEX($D$9:$D$809,ROW()-8-CorrWindow+1):D561,INDEX($E$9:$E$809,ROW()-8-CorrWindow+1):E561),""))</f>
        <v/>
      </c>
      <c r="G561">
        <f>IF(A561="","",0)</f>
        <v/>
      </c>
    </row>
    <row r="562">
      <c r="A562" s="23">
        <f>IFERROR(INDEX($R$9:$R$809,ROW()-8),"")</f>
        <v/>
      </c>
      <c r="B562">
        <f>IFERROR(INDEX($S$9:$S$809,ROW()-8),"")</f>
        <v/>
      </c>
      <c r="C562">
        <f>IFERROR(INDEX($W$9:$W$809,ROW()-8),"")</f>
        <v/>
      </c>
      <c r="D562" s="26">
        <f>IF(COUNT(B561:B562)=2,LN(B562/B561),"")</f>
        <v/>
      </c>
      <c r="E562" s="27">
        <f>IF(COUNT(C561:C562)=2,(C562-C561)*100,"")</f>
        <v/>
      </c>
      <c r="F562" s="28">
        <f>IF(ROW()-8&lt;CorrWindow,"",IFERROR(CORREL(INDEX($D$9:$D$809,ROW()-8-CorrWindow+1):D562,INDEX($E$9:$E$809,ROW()-8-CorrWindow+1):E562),""))</f>
        <v/>
      </c>
      <c r="G562">
        <f>IF(A562="","",0)</f>
        <v/>
      </c>
    </row>
    <row r="563">
      <c r="A563" s="23">
        <f>IFERROR(INDEX($R$9:$R$809,ROW()-8),"")</f>
        <v/>
      </c>
      <c r="B563">
        <f>IFERROR(INDEX($S$9:$S$809,ROW()-8),"")</f>
        <v/>
      </c>
      <c r="C563">
        <f>IFERROR(INDEX($W$9:$W$809,ROW()-8),"")</f>
        <v/>
      </c>
      <c r="D563" s="26">
        <f>IF(COUNT(B562:B563)=2,LN(B563/B562),"")</f>
        <v/>
      </c>
      <c r="E563" s="27">
        <f>IF(COUNT(C562:C563)=2,(C563-C562)*100,"")</f>
        <v/>
      </c>
      <c r="F563" s="28">
        <f>IF(ROW()-8&lt;CorrWindow,"",IFERROR(CORREL(INDEX($D$9:$D$809,ROW()-8-CorrWindow+1):D563,INDEX($E$9:$E$809,ROW()-8-CorrWindow+1):E563),""))</f>
        <v/>
      </c>
      <c r="G563">
        <f>IF(A563="","",0)</f>
        <v/>
      </c>
    </row>
    <row r="564">
      <c r="A564" s="23">
        <f>IFERROR(INDEX($R$9:$R$809,ROW()-8),"")</f>
        <v/>
      </c>
      <c r="B564">
        <f>IFERROR(INDEX($S$9:$S$809,ROW()-8),"")</f>
        <v/>
      </c>
      <c r="C564">
        <f>IFERROR(INDEX($W$9:$W$809,ROW()-8),"")</f>
        <v/>
      </c>
      <c r="D564" s="26">
        <f>IF(COUNT(B563:B564)=2,LN(B564/B563),"")</f>
        <v/>
      </c>
      <c r="E564" s="27">
        <f>IF(COUNT(C563:C564)=2,(C564-C563)*100,"")</f>
        <v/>
      </c>
      <c r="F564" s="28">
        <f>IF(ROW()-8&lt;CorrWindow,"",IFERROR(CORREL(INDEX($D$9:$D$809,ROW()-8-CorrWindow+1):D564,INDEX($E$9:$E$809,ROW()-8-CorrWindow+1):E564),""))</f>
        <v/>
      </c>
      <c r="G564">
        <f>IF(A564="","",0)</f>
        <v/>
      </c>
    </row>
    <row r="565">
      <c r="A565" s="23">
        <f>IFERROR(INDEX($R$9:$R$809,ROW()-8),"")</f>
        <v/>
      </c>
      <c r="B565">
        <f>IFERROR(INDEX($S$9:$S$809,ROW()-8),"")</f>
        <v/>
      </c>
      <c r="C565">
        <f>IFERROR(INDEX($W$9:$W$809,ROW()-8),"")</f>
        <v/>
      </c>
      <c r="D565" s="26">
        <f>IF(COUNT(B564:B565)=2,LN(B565/B564),"")</f>
        <v/>
      </c>
      <c r="E565" s="27">
        <f>IF(COUNT(C564:C565)=2,(C565-C564)*100,"")</f>
        <v/>
      </c>
      <c r="F565" s="28">
        <f>IF(ROW()-8&lt;CorrWindow,"",IFERROR(CORREL(INDEX($D$9:$D$809,ROW()-8-CorrWindow+1):D565,INDEX($E$9:$E$809,ROW()-8-CorrWindow+1):E565),""))</f>
        <v/>
      </c>
      <c r="G565">
        <f>IF(A565="","",0)</f>
        <v/>
      </c>
    </row>
    <row r="566">
      <c r="A566" s="23">
        <f>IFERROR(INDEX($R$9:$R$809,ROW()-8),"")</f>
        <v/>
      </c>
      <c r="B566">
        <f>IFERROR(INDEX($S$9:$S$809,ROW()-8),"")</f>
        <v/>
      </c>
      <c r="C566">
        <f>IFERROR(INDEX($W$9:$W$809,ROW()-8),"")</f>
        <v/>
      </c>
      <c r="D566" s="26">
        <f>IF(COUNT(B565:B566)=2,LN(B566/B565),"")</f>
        <v/>
      </c>
      <c r="E566" s="27">
        <f>IF(COUNT(C565:C566)=2,(C566-C565)*100,"")</f>
        <v/>
      </c>
      <c r="F566" s="28">
        <f>IF(ROW()-8&lt;CorrWindow,"",IFERROR(CORREL(INDEX($D$9:$D$809,ROW()-8-CorrWindow+1):D566,INDEX($E$9:$E$809,ROW()-8-CorrWindow+1):E566),""))</f>
        <v/>
      </c>
      <c r="G566">
        <f>IF(A566="","",0)</f>
        <v/>
      </c>
    </row>
    <row r="567">
      <c r="A567" s="23">
        <f>IFERROR(INDEX($R$9:$R$809,ROW()-8),"")</f>
        <v/>
      </c>
      <c r="B567">
        <f>IFERROR(INDEX($S$9:$S$809,ROW()-8),"")</f>
        <v/>
      </c>
      <c r="C567">
        <f>IFERROR(INDEX($W$9:$W$809,ROW()-8),"")</f>
        <v/>
      </c>
      <c r="D567" s="26">
        <f>IF(COUNT(B566:B567)=2,LN(B567/B566),"")</f>
        <v/>
      </c>
      <c r="E567" s="27">
        <f>IF(COUNT(C566:C567)=2,(C567-C566)*100,"")</f>
        <v/>
      </c>
      <c r="F567" s="28">
        <f>IF(ROW()-8&lt;CorrWindow,"",IFERROR(CORREL(INDEX($D$9:$D$809,ROW()-8-CorrWindow+1):D567,INDEX($E$9:$E$809,ROW()-8-CorrWindow+1):E567),""))</f>
        <v/>
      </c>
      <c r="G567">
        <f>IF(A567="","",0)</f>
        <v/>
      </c>
    </row>
    <row r="568">
      <c r="A568" s="23">
        <f>IFERROR(INDEX($R$9:$R$809,ROW()-8),"")</f>
        <v/>
      </c>
      <c r="B568">
        <f>IFERROR(INDEX($S$9:$S$809,ROW()-8),"")</f>
        <v/>
      </c>
      <c r="C568">
        <f>IFERROR(INDEX($W$9:$W$809,ROW()-8),"")</f>
        <v/>
      </c>
      <c r="D568" s="26">
        <f>IF(COUNT(B567:B568)=2,LN(B568/B567),"")</f>
        <v/>
      </c>
      <c r="E568" s="27">
        <f>IF(COUNT(C567:C568)=2,(C568-C567)*100,"")</f>
        <v/>
      </c>
      <c r="F568" s="28">
        <f>IF(ROW()-8&lt;CorrWindow,"",IFERROR(CORREL(INDEX($D$9:$D$809,ROW()-8-CorrWindow+1):D568,INDEX($E$9:$E$809,ROW()-8-CorrWindow+1):E568),""))</f>
        <v/>
      </c>
      <c r="G568">
        <f>IF(A568="","",0)</f>
        <v/>
      </c>
    </row>
    <row r="569">
      <c r="A569" s="23">
        <f>IFERROR(INDEX($R$9:$R$809,ROW()-8),"")</f>
        <v/>
      </c>
      <c r="B569">
        <f>IFERROR(INDEX($S$9:$S$809,ROW()-8),"")</f>
        <v/>
      </c>
      <c r="C569">
        <f>IFERROR(INDEX($W$9:$W$809,ROW()-8),"")</f>
        <v/>
      </c>
      <c r="D569" s="26">
        <f>IF(COUNT(B568:B569)=2,LN(B569/B568),"")</f>
        <v/>
      </c>
      <c r="E569" s="27">
        <f>IF(COUNT(C568:C569)=2,(C569-C568)*100,"")</f>
        <v/>
      </c>
      <c r="F569" s="28">
        <f>IF(ROW()-8&lt;CorrWindow,"",IFERROR(CORREL(INDEX($D$9:$D$809,ROW()-8-CorrWindow+1):D569,INDEX($E$9:$E$809,ROW()-8-CorrWindow+1):E569),""))</f>
        <v/>
      </c>
      <c r="G569">
        <f>IF(A569="","",0)</f>
        <v/>
      </c>
    </row>
    <row r="570">
      <c r="A570" s="23">
        <f>IFERROR(INDEX($R$9:$R$809,ROW()-8),"")</f>
        <v/>
      </c>
      <c r="B570">
        <f>IFERROR(INDEX($S$9:$S$809,ROW()-8),"")</f>
        <v/>
      </c>
      <c r="C570">
        <f>IFERROR(INDEX($W$9:$W$809,ROW()-8),"")</f>
        <v/>
      </c>
      <c r="D570" s="26">
        <f>IF(COUNT(B569:B570)=2,LN(B570/B569),"")</f>
        <v/>
      </c>
      <c r="E570" s="27">
        <f>IF(COUNT(C569:C570)=2,(C570-C569)*100,"")</f>
        <v/>
      </c>
      <c r="F570" s="28">
        <f>IF(ROW()-8&lt;CorrWindow,"",IFERROR(CORREL(INDEX($D$9:$D$809,ROW()-8-CorrWindow+1):D570,INDEX($E$9:$E$809,ROW()-8-CorrWindow+1):E570),""))</f>
        <v/>
      </c>
      <c r="G570">
        <f>IF(A570="","",0)</f>
        <v/>
      </c>
    </row>
    <row r="571">
      <c r="A571" s="23">
        <f>IFERROR(INDEX($R$9:$R$809,ROW()-8),"")</f>
        <v/>
      </c>
      <c r="B571">
        <f>IFERROR(INDEX($S$9:$S$809,ROW()-8),"")</f>
        <v/>
      </c>
      <c r="C571">
        <f>IFERROR(INDEX($W$9:$W$809,ROW()-8),"")</f>
        <v/>
      </c>
      <c r="D571" s="26">
        <f>IF(COUNT(B570:B571)=2,LN(B571/B570),"")</f>
        <v/>
      </c>
      <c r="E571" s="27">
        <f>IF(COUNT(C570:C571)=2,(C571-C570)*100,"")</f>
        <v/>
      </c>
      <c r="F571" s="28">
        <f>IF(ROW()-8&lt;CorrWindow,"",IFERROR(CORREL(INDEX($D$9:$D$809,ROW()-8-CorrWindow+1):D571,INDEX($E$9:$E$809,ROW()-8-CorrWindow+1):E571),""))</f>
        <v/>
      </c>
      <c r="G571">
        <f>IF(A571="","",0)</f>
        <v/>
      </c>
    </row>
    <row r="572">
      <c r="A572" s="23">
        <f>IFERROR(INDEX($R$9:$R$809,ROW()-8),"")</f>
        <v/>
      </c>
      <c r="B572">
        <f>IFERROR(INDEX($S$9:$S$809,ROW()-8),"")</f>
        <v/>
      </c>
      <c r="C572">
        <f>IFERROR(INDEX($W$9:$W$809,ROW()-8),"")</f>
        <v/>
      </c>
      <c r="D572" s="26">
        <f>IF(COUNT(B571:B572)=2,LN(B572/B571),"")</f>
        <v/>
      </c>
      <c r="E572" s="27">
        <f>IF(COUNT(C571:C572)=2,(C572-C571)*100,"")</f>
        <v/>
      </c>
      <c r="F572" s="28">
        <f>IF(ROW()-8&lt;CorrWindow,"",IFERROR(CORREL(INDEX($D$9:$D$809,ROW()-8-CorrWindow+1):D572,INDEX($E$9:$E$809,ROW()-8-CorrWindow+1):E572),""))</f>
        <v/>
      </c>
      <c r="G572">
        <f>IF(A572="","",0)</f>
        <v/>
      </c>
    </row>
    <row r="573">
      <c r="A573" s="23">
        <f>IFERROR(INDEX($R$9:$R$809,ROW()-8),"")</f>
        <v/>
      </c>
      <c r="B573">
        <f>IFERROR(INDEX($S$9:$S$809,ROW()-8),"")</f>
        <v/>
      </c>
      <c r="C573">
        <f>IFERROR(INDEX($W$9:$W$809,ROW()-8),"")</f>
        <v/>
      </c>
      <c r="D573" s="26">
        <f>IF(COUNT(B572:B573)=2,LN(B573/B572),"")</f>
        <v/>
      </c>
      <c r="E573" s="27">
        <f>IF(COUNT(C572:C573)=2,(C573-C572)*100,"")</f>
        <v/>
      </c>
      <c r="F573" s="28">
        <f>IF(ROW()-8&lt;CorrWindow,"",IFERROR(CORREL(INDEX($D$9:$D$809,ROW()-8-CorrWindow+1):D573,INDEX($E$9:$E$809,ROW()-8-CorrWindow+1):E573),""))</f>
        <v/>
      </c>
      <c r="G573">
        <f>IF(A573="","",0)</f>
        <v/>
      </c>
    </row>
    <row r="574">
      <c r="A574" s="23">
        <f>IFERROR(INDEX($R$9:$R$809,ROW()-8),"")</f>
        <v/>
      </c>
      <c r="B574">
        <f>IFERROR(INDEX($S$9:$S$809,ROW()-8),"")</f>
        <v/>
      </c>
      <c r="C574">
        <f>IFERROR(INDEX($W$9:$W$809,ROW()-8),"")</f>
        <v/>
      </c>
      <c r="D574" s="26">
        <f>IF(COUNT(B573:B574)=2,LN(B574/B573),"")</f>
        <v/>
      </c>
      <c r="E574" s="27">
        <f>IF(COUNT(C573:C574)=2,(C574-C573)*100,"")</f>
        <v/>
      </c>
      <c r="F574" s="28">
        <f>IF(ROW()-8&lt;CorrWindow,"",IFERROR(CORREL(INDEX($D$9:$D$809,ROW()-8-CorrWindow+1):D574,INDEX($E$9:$E$809,ROW()-8-CorrWindow+1):E574),""))</f>
        <v/>
      </c>
      <c r="G574">
        <f>IF(A574="","",0)</f>
        <v/>
      </c>
    </row>
    <row r="575">
      <c r="A575" s="23">
        <f>IFERROR(INDEX($R$9:$R$809,ROW()-8),"")</f>
        <v/>
      </c>
      <c r="B575">
        <f>IFERROR(INDEX($S$9:$S$809,ROW()-8),"")</f>
        <v/>
      </c>
      <c r="C575">
        <f>IFERROR(INDEX($W$9:$W$809,ROW()-8),"")</f>
        <v/>
      </c>
      <c r="D575" s="26">
        <f>IF(COUNT(B574:B575)=2,LN(B575/B574),"")</f>
        <v/>
      </c>
      <c r="E575" s="27">
        <f>IF(COUNT(C574:C575)=2,(C575-C574)*100,"")</f>
        <v/>
      </c>
      <c r="F575" s="28">
        <f>IF(ROW()-8&lt;CorrWindow,"",IFERROR(CORREL(INDEX($D$9:$D$809,ROW()-8-CorrWindow+1):D575,INDEX($E$9:$E$809,ROW()-8-CorrWindow+1):E575),""))</f>
        <v/>
      </c>
      <c r="G575">
        <f>IF(A575="","",0)</f>
        <v/>
      </c>
    </row>
    <row r="576">
      <c r="A576" s="23">
        <f>IFERROR(INDEX($R$9:$R$809,ROW()-8),"")</f>
        <v/>
      </c>
      <c r="B576">
        <f>IFERROR(INDEX($S$9:$S$809,ROW()-8),"")</f>
        <v/>
      </c>
      <c r="C576">
        <f>IFERROR(INDEX($W$9:$W$809,ROW()-8),"")</f>
        <v/>
      </c>
      <c r="D576" s="26">
        <f>IF(COUNT(B575:B576)=2,LN(B576/B575),"")</f>
        <v/>
      </c>
      <c r="E576" s="27">
        <f>IF(COUNT(C575:C576)=2,(C576-C575)*100,"")</f>
        <v/>
      </c>
      <c r="F576" s="28">
        <f>IF(ROW()-8&lt;CorrWindow,"",IFERROR(CORREL(INDEX($D$9:$D$809,ROW()-8-CorrWindow+1):D576,INDEX($E$9:$E$809,ROW()-8-CorrWindow+1):E576),""))</f>
        <v/>
      </c>
      <c r="G576">
        <f>IF(A576="","",0)</f>
        <v/>
      </c>
    </row>
    <row r="577">
      <c r="A577" s="23">
        <f>IFERROR(INDEX($R$9:$R$809,ROW()-8),"")</f>
        <v/>
      </c>
      <c r="B577">
        <f>IFERROR(INDEX($S$9:$S$809,ROW()-8),"")</f>
        <v/>
      </c>
      <c r="C577">
        <f>IFERROR(INDEX($W$9:$W$809,ROW()-8),"")</f>
        <v/>
      </c>
      <c r="D577" s="26">
        <f>IF(COUNT(B576:B577)=2,LN(B577/B576),"")</f>
        <v/>
      </c>
      <c r="E577" s="27">
        <f>IF(COUNT(C576:C577)=2,(C577-C576)*100,"")</f>
        <v/>
      </c>
      <c r="F577" s="28">
        <f>IF(ROW()-8&lt;CorrWindow,"",IFERROR(CORREL(INDEX($D$9:$D$809,ROW()-8-CorrWindow+1):D577,INDEX($E$9:$E$809,ROW()-8-CorrWindow+1):E577),""))</f>
        <v/>
      </c>
      <c r="G577">
        <f>IF(A577="","",0)</f>
        <v/>
      </c>
    </row>
    <row r="578">
      <c r="A578" s="23">
        <f>IFERROR(INDEX($R$9:$R$809,ROW()-8),"")</f>
        <v/>
      </c>
      <c r="B578">
        <f>IFERROR(INDEX($S$9:$S$809,ROW()-8),"")</f>
        <v/>
      </c>
      <c r="C578">
        <f>IFERROR(INDEX($W$9:$W$809,ROW()-8),"")</f>
        <v/>
      </c>
      <c r="D578" s="26">
        <f>IF(COUNT(B577:B578)=2,LN(B578/B577),"")</f>
        <v/>
      </c>
      <c r="E578" s="27">
        <f>IF(COUNT(C577:C578)=2,(C578-C577)*100,"")</f>
        <v/>
      </c>
      <c r="F578" s="28">
        <f>IF(ROW()-8&lt;CorrWindow,"",IFERROR(CORREL(INDEX($D$9:$D$809,ROW()-8-CorrWindow+1):D578,INDEX($E$9:$E$809,ROW()-8-CorrWindow+1):E578),""))</f>
        <v/>
      </c>
      <c r="G578">
        <f>IF(A578="","",0)</f>
        <v/>
      </c>
    </row>
    <row r="579">
      <c r="A579" s="23">
        <f>IFERROR(INDEX($R$9:$R$809,ROW()-8),"")</f>
        <v/>
      </c>
      <c r="B579">
        <f>IFERROR(INDEX($S$9:$S$809,ROW()-8),"")</f>
        <v/>
      </c>
      <c r="C579">
        <f>IFERROR(INDEX($W$9:$W$809,ROW()-8),"")</f>
        <v/>
      </c>
      <c r="D579" s="26">
        <f>IF(COUNT(B578:B579)=2,LN(B579/B578),"")</f>
        <v/>
      </c>
      <c r="E579" s="27">
        <f>IF(COUNT(C578:C579)=2,(C579-C578)*100,"")</f>
        <v/>
      </c>
      <c r="F579" s="28">
        <f>IF(ROW()-8&lt;CorrWindow,"",IFERROR(CORREL(INDEX($D$9:$D$809,ROW()-8-CorrWindow+1):D579,INDEX($E$9:$E$809,ROW()-8-CorrWindow+1):E579),""))</f>
        <v/>
      </c>
      <c r="G579">
        <f>IF(A579="","",0)</f>
        <v/>
      </c>
    </row>
    <row r="580">
      <c r="A580" s="23">
        <f>IFERROR(INDEX($R$9:$R$809,ROW()-8),"")</f>
        <v/>
      </c>
      <c r="B580">
        <f>IFERROR(INDEX($S$9:$S$809,ROW()-8),"")</f>
        <v/>
      </c>
      <c r="C580">
        <f>IFERROR(INDEX($W$9:$W$809,ROW()-8),"")</f>
        <v/>
      </c>
      <c r="D580" s="26">
        <f>IF(COUNT(B579:B580)=2,LN(B580/B579),"")</f>
        <v/>
      </c>
      <c r="E580" s="27">
        <f>IF(COUNT(C579:C580)=2,(C580-C579)*100,"")</f>
        <v/>
      </c>
      <c r="F580" s="28">
        <f>IF(ROW()-8&lt;CorrWindow,"",IFERROR(CORREL(INDEX($D$9:$D$809,ROW()-8-CorrWindow+1):D580,INDEX($E$9:$E$809,ROW()-8-CorrWindow+1):E580),""))</f>
        <v/>
      </c>
      <c r="G580">
        <f>IF(A580="","",0)</f>
        <v/>
      </c>
    </row>
    <row r="581">
      <c r="A581" s="23">
        <f>IFERROR(INDEX($R$9:$R$809,ROW()-8),"")</f>
        <v/>
      </c>
      <c r="B581">
        <f>IFERROR(INDEX($S$9:$S$809,ROW()-8),"")</f>
        <v/>
      </c>
      <c r="C581">
        <f>IFERROR(INDEX($W$9:$W$809,ROW()-8),"")</f>
        <v/>
      </c>
      <c r="D581" s="26">
        <f>IF(COUNT(B580:B581)=2,LN(B581/B580),"")</f>
        <v/>
      </c>
      <c r="E581" s="27">
        <f>IF(COUNT(C580:C581)=2,(C581-C580)*100,"")</f>
        <v/>
      </c>
      <c r="F581" s="28">
        <f>IF(ROW()-8&lt;CorrWindow,"",IFERROR(CORREL(INDEX($D$9:$D$809,ROW()-8-CorrWindow+1):D581,INDEX($E$9:$E$809,ROW()-8-CorrWindow+1):E581),""))</f>
        <v/>
      </c>
      <c r="G581">
        <f>IF(A581="","",0)</f>
        <v/>
      </c>
    </row>
    <row r="582">
      <c r="A582" s="23">
        <f>IFERROR(INDEX($R$9:$R$809,ROW()-8),"")</f>
        <v/>
      </c>
      <c r="B582">
        <f>IFERROR(INDEX($S$9:$S$809,ROW()-8),"")</f>
        <v/>
      </c>
      <c r="C582">
        <f>IFERROR(INDEX($W$9:$W$809,ROW()-8),"")</f>
        <v/>
      </c>
      <c r="D582" s="26">
        <f>IF(COUNT(B581:B582)=2,LN(B582/B581),"")</f>
        <v/>
      </c>
      <c r="E582" s="27">
        <f>IF(COUNT(C581:C582)=2,(C582-C581)*100,"")</f>
        <v/>
      </c>
      <c r="F582" s="28">
        <f>IF(ROW()-8&lt;CorrWindow,"",IFERROR(CORREL(INDEX($D$9:$D$809,ROW()-8-CorrWindow+1):D582,INDEX($E$9:$E$809,ROW()-8-CorrWindow+1):E582),""))</f>
        <v/>
      </c>
      <c r="G582">
        <f>IF(A582="","",0)</f>
        <v/>
      </c>
    </row>
    <row r="583">
      <c r="A583" s="23">
        <f>IFERROR(INDEX($R$9:$R$809,ROW()-8),"")</f>
        <v/>
      </c>
      <c r="B583">
        <f>IFERROR(INDEX($S$9:$S$809,ROW()-8),"")</f>
        <v/>
      </c>
      <c r="C583">
        <f>IFERROR(INDEX($W$9:$W$809,ROW()-8),"")</f>
        <v/>
      </c>
      <c r="D583" s="26">
        <f>IF(COUNT(B582:B583)=2,LN(B583/B582),"")</f>
        <v/>
      </c>
      <c r="E583" s="27">
        <f>IF(COUNT(C582:C583)=2,(C583-C582)*100,"")</f>
        <v/>
      </c>
      <c r="F583" s="28">
        <f>IF(ROW()-8&lt;CorrWindow,"",IFERROR(CORREL(INDEX($D$9:$D$809,ROW()-8-CorrWindow+1):D583,INDEX($E$9:$E$809,ROW()-8-CorrWindow+1):E583),""))</f>
        <v/>
      </c>
      <c r="G583">
        <f>IF(A583="","",0)</f>
        <v/>
      </c>
    </row>
    <row r="584">
      <c r="A584" s="23">
        <f>IFERROR(INDEX($R$9:$R$809,ROW()-8),"")</f>
        <v/>
      </c>
      <c r="B584">
        <f>IFERROR(INDEX($S$9:$S$809,ROW()-8),"")</f>
        <v/>
      </c>
      <c r="C584">
        <f>IFERROR(INDEX($W$9:$W$809,ROW()-8),"")</f>
        <v/>
      </c>
      <c r="D584" s="26">
        <f>IF(COUNT(B583:B584)=2,LN(B584/B583),"")</f>
        <v/>
      </c>
      <c r="E584" s="27">
        <f>IF(COUNT(C583:C584)=2,(C584-C583)*100,"")</f>
        <v/>
      </c>
      <c r="F584" s="28">
        <f>IF(ROW()-8&lt;CorrWindow,"",IFERROR(CORREL(INDEX($D$9:$D$809,ROW()-8-CorrWindow+1):D584,INDEX($E$9:$E$809,ROW()-8-CorrWindow+1):E584),""))</f>
        <v/>
      </c>
      <c r="G584">
        <f>IF(A584="","",0)</f>
        <v/>
      </c>
    </row>
    <row r="585">
      <c r="A585" s="23">
        <f>IFERROR(INDEX($R$9:$R$809,ROW()-8),"")</f>
        <v/>
      </c>
      <c r="B585">
        <f>IFERROR(INDEX($S$9:$S$809,ROW()-8),"")</f>
        <v/>
      </c>
      <c r="C585">
        <f>IFERROR(INDEX($W$9:$W$809,ROW()-8),"")</f>
        <v/>
      </c>
      <c r="D585" s="26">
        <f>IF(COUNT(B584:B585)=2,LN(B585/B584),"")</f>
        <v/>
      </c>
      <c r="E585" s="27">
        <f>IF(COUNT(C584:C585)=2,(C585-C584)*100,"")</f>
        <v/>
      </c>
      <c r="F585" s="28">
        <f>IF(ROW()-8&lt;CorrWindow,"",IFERROR(CORREL(INDEX($D$9:$D$809,ROW()-8-CorrWindow+1):D585,INDEX($E$9:$E$809,ROW()-8-CorrWindow+1):E585),""))</f>
        <v/>
      </c>
      <c r="G585">
        <f>IF(A585="","",0)</f>
        <v/>
      </c>
    </row>
    <row r="586">
      <c r="A586" s="23">
        <f>IFERROR(INDEX($R$9:$R$809,ROW()-8),"")</f>
        <v/>
      </c>
      <c r="B586">
        <f>IFERROR(INDEX($S$9:$S$809,ROW()-8),"")</f>
        <v/>
      </c>
      <c r="C586">
        <f>IFERROR(INDEX($W$9:$W$809,ROW()-8),"")</f>
        <v/>
      </c>
      <c r="D586" s="26">
        <f>IF(COUNT(B585:B586)=2,LN(B586/B585),"")</f>
        <v/>
      </c>
      <c r="E586" s="27">
        <f>IF(COUNT(C585:C586)=2,(C586-C585)*100,"")</f>
        <v/>
      </c>
      <c r="F586" s="28">
        <f>IF(ROW()-8&lt;CorrWindow,"",IFERROR(CORREL(INDEX($D$9:$D$809,ROW()-8-CorrWindow+1):D586,INDEX($E$9:$E$809,ROW()-8-CorrWindow+1):E586),""))</f>
        <v/>
      </c>
      <c r="G586">
        <f>IF(A586="","",0)</f>
        <v/>
      </c>
    </row>
    <row r="587">
      <c r="A587" s="23">
        <f>IFERROR(INDEX($R$9:$R$809,ROW()-8),"")</f>
        <v/>
      </c>
      <c r="B587">
        <f>IFERROR(INDEX($S$9:$S$809,ROW()-8),"")</f>
        <v/>
      </c>
      <c r="C587">
        <f>IFERROR(INDEX($W$9:$W$809,ROW()-8),"")</f>
        <v/>
      </c>
      <c r="D587" s="26">
        <f>IF(COUNT(B586:B587)=2,LN(B587/B586),"")</f>
        <v/>
      </c>
      <c r="E587" s="27">
        <f>IF(COUNT(C586:C587)=2,(C587-C586)*100,"")</f>
        <v/>
      </c>
      <c r="F587" s="28">
        <f>IF(ROW()-8&lt;CorrWindow,"",IFERROR(CORREL(INDEX($D$9:$D$809,ROW()-8-CorrWindow+1):D587,INDEX($E$9:$E$809,ROW()-8-CorrWindow+1):E587),""))</f>
        <v/>
      </c>
      <c r="G587">
        <f>IF(A587="","",0)</f>
        <v/>
      </c>
    </row>
    <row r="588">
      <c r="A588" s="23">
        <f>IFERROR(INDEX($R$9:$R$809,ROW()-8),"")</f>
        <v/>
      </c>
      <c r="B588">
        <f>IFERROR(INDEX($S$9:$S$809,ROW()-8),"")</f>
        <v/>
      </c>
      <c r="C588">
        <f>IFERROR(INDEX($W$9:$W$809,ROW()-8),"")</f>
        <v/>
      </c>
      <c r="D588" s="26">
        <f>IF(COUNT(B587:B588)=2,LN(B588/B587),"")</f>
        <v/>
      </c>
      <c r="E588" s="27">
        <f>IF(COUNT(C587:C588)=2,(C588-C587)*100,"")</f>
        <v/>
      </c>
      <c r="F588" s="28">
        <f>IF(ROW()-8&lt;CorrWindow,"",IFERROR(CORREL(INDEX($D$9:$D$809,ROW()-8-CorrWindow+1):D588,INDEX($E$9:$E$809,ROW()-8-CorrWindow+1):E588),""))</f>
        <v/>
      </c>
      <c r="G588">
        <f>IF(A588="","",0)</f>
        <v/>
      </c>
    </row>
    <row r="589">
      <c r="A589" s="23">
        <f>IFERROR(INDEX($R$9:$R$809,ROW()-8),"")</f>
        <v/>
      </c>
      <c r="B589">
        <f>IFERROR(INDEX($S$9:$S$809,ROW()-8),"")</f>
        <v/>
      </c>
      <c r="C589">
        <f>IFERROR(INDEX($W$9:$W$809,ROW()-8),"")</f>
        <v/>
      </c>
      <c r="D589" s="26">
        <f>IF(COUNT(B588:B589)=2,LN(B589/B588),"")</f>
        <v/>
      </c>
      <c r="E589" s="27">
        <f>IF(COUNT(C588:C589)=2,(C589-C588)*100,"")</f>
        <v/>
      </c>
      <c r="F589" s="28">
        <f>IF(ROW()-8&lt;CorrWindow,"",IFERROR(CORREL(INDEX($D$9:$D$809,ROW()-8-CorrWindow+1):D589,INDEX($E$9:$E$809,ROW()-8-CorrWindow+1):E589),""))</f>
        <v/>
      </c>
      <c r="G589">
        <f>IF(A589="","",0)</f>
        <v/>
      </c>
    </row>
    <row r="590">
      <c r="A590" s="23">
        <f>IFERROR(INDEX($R$9:$R$809,ROW()-8),"")</f>
        <v/>
      </c>
      <c r="B590">
        <f>IFERROR(INDEX($S$9:$S$809,ROW()-8),"")</f>
        <v/>
      </c>
      <c r="C590">
        <f>IFERROR(INDEX($W$9:$W$809,ROW()-8),"")</f>
        <v/>
      </c>
      <c r="D590" s="26">
        <f>IF(COUNT(B589:B590)=2,LN(B590/B589),"")</f>
        <v/>
      </c>
      <c r="E590" s="27">
        <f>IF(COUNT(C589:C590)=2,(C590-C589)*100,"")</f>
        <v/>
      </c>
      <c r="F590" s="28">
        <f>IF(ROW()-8&lt;CorrWindow,"",IFERROR(CORREL(INDEX($D$9:$D$809,ROW()-8-CorrWindow+1):D590,INDEX($E$9:$E$809,ROW()-8-CorrWindow+1):E590),""))</f>
        <v/>
      </c>
      <c r="G590">
        <f>IF(A590="","",0)</f>
        <v/>
      </c>
    </row>
    <row r="591">
      <c r="A591" s="23">
        <f>IFERROR(INDEX($R$9:$R$809,ROW()-8),"")</f>
        <v/>
      </c>
      <c r="B591">
        <f>IFERROR(INDEX($S$9:$S$809,ROW()-8),"")</f>
        <v/>
      </c>
      <c r="C591">
        <f>IFERROR(INDEX($W$9:$W$809,ROW()-8),"")</f>
        <v/>
      </c>
      <c r="D591" s="26">
        <f>IF(COUNT(B590:B591)=2,LN(B591/B590),"")</f>
        <v/>
      </c>
      <c r="E591" s="27">
        <f>IF(COUNT(C590:C591)=2,(C591-C590)*100,"")</f>
        <v/>
      </c>
      <c r="F591" s="28">
        <f>IF(ROW()-8&lt;CorrWindow,"",IFERROR(CORREL(INDEX($D$9:$D$809,ROW()-8-CorrWindow+1):D591,INDEX($E$9:$E$809,ROW()-8-CorrWindow+1):E591),""))</f>
        <v/>
      </c>
      <c r="G591">
        <f>IF(A591="","",0)</f>
        <v/>
      </c>
    </row>
    <row r="592">
      <c r="A592" s="23">
        <f>IFERROR(INDEX($R$9:$R$809,ROW()-8),"")</f>
        <v/>
      </c>
      <c r="B592">
        <f>IFERROR(INDEX($S$9:$S$809,ROW()-8),"")</f>
        <v/>
      </c>
      <c r="C592">
        <f>IFERROR(INDEX($W$9:$W$809,ROW()-8),"")</f>
        <v/>
      </c>
      <c r="D592" s="26">
        <f>IF(COUNT(B591:B592)=2,LN(B592/B591),"")</f>
        <v/>
      </c>
      <c r="E592" s="27">
        <f>IF(COUNT(C591:C592)=2,(C592-C591)*100,"")</f>
        <v/>
      </c>
      <c r="F592" s="28">
        <f>IF(ROW()-8&lt;CorrWindow,"",IFERROR(CORREL(INDEX($D$9:$D$809,ROW()-8-CorrWindow+1):D592,INDEX($E$9:$E$809,ROW()-8-CorrWindow+1):E592),""))</f>
        <v/>
      </c>
      <c r="G592">
        <f>IF(A592="","",0)</f>
        <v/>
      </c>
    </row>
    <row r="593">
      <c r="A593" s="23">
        <f>IFERROR(INDEX($R$9:$R$809,ROW()-8),"")</f>
        <v/>
      </c>
      <c r="B593">
        <f>IFERROR(INDEX($S$9:$S$809,ROW()-8),"")</f>
        <v/>
      </c>
      <c r="C593">
        <f>IFERROR(INDEX($W$9:$W$809,ROW()-8),"")</f>
        <v/>
      </c>
      <c r="D593" s="26">
        <f>IF(COUNT(B592:B593)=2,LN(B593/B592),"")</f>
        <v/>
      </c>
      <c r="E593" s="27">
        <f>IF(COUNT(C592:C593)=2,(C593-C592)*100,"")</f>
        <v/>
      </c>
      <c r="F593" s="28">
        <f>IF(ROW()-8&lt;CorrWindow,"",IFERROR(CORREL(INDEX($D$9:$D$809,ROW()-8-CorrWindow+1):D593,INDEX($E$9:$E$809,ROW()-8-CorrWindow+1):E593),""))</f>
        <v/>
      </c>
      <c r="G593">
        <f>IF(A593="","",0)</f>
        <v/>
      </c>
    </row>
    <row r="594">
      <c r="A594" s="23">
        <f>IFERROR(INDEX($R$9:$R$809,ROW()-8),"")</f>
        <v/>
      </c>
      <c r="B594">
        <f>IFERROR(INDEX($S$9:$S$809,ROW()-8),"")</f>
        <v/>
      </c>
      <c r="C594">
        <f>IFERROR(INDEX($W$9:$W$809,ROW()-8),"")</f>
        <v/>
      </c>
      <c r="D594" s="26">
        <f>IF(COUNT(B593:B594)=2,LN(B594/B593),"")</f>
        <v/>
      </c>
      <c r="E594" s="27">
        <f>IF(COUNT(C593:C594)=2,(C594-C593)*100,"")</f>
        <v/>
      </c>
      <c r="F594" s="28">
        <f>IF(ROW()-8&lt;CorrWindow,"",IFERROR(CORREL(INDEX($D$9:$D$809,ROW()-8-CorrWindow+1):D594,INDEX($E$9:$E$809,ROW()-8-CorrWindow+1):E594),""))</f>
        <v/>
      </c>
      <c r="G594">
        <f>IF(A594="","",0)</f>
        <v/>
      </c>
    </row>
    <row r="595">
      <c r="A595" s="23">
        <f>IFERROR(INDEX($R$9:$R$809,ROW()-8),"")</f>
        <v/>
      </c>
      <c r="B595">
        <f>IFERROR(INDEX($S$9:$S$809,ROW()-8),"")</f>
        <v/>
      </c>
      <c r="C595">
        <f>IFERROR(INDEX($W$9:$W$809,ROW()-8),"")</f>
        <v/>
      </c>
      <c r="D595" s="26">
        <f>IF(COUNT(B594:B595)=2,LN(B595/B594),"")</f>
        <v/>
      </c>
      <c r="E595" s="27">
        <f>IF(COUNT(C594:C595)=2,(C595-C594)*100,"")</f>
        <v/>
      </c>
      <c r="F595" s="28">
        <f>IF(ROW()-8&lt;CorrWindow,"",IFERROR(CORREL(INDEX($D$9:$D$809,ROW()-8-CorrWindow+1):D595,INDEX($E$9:$E$809,ROW()-8-CorrWindow+1):E595),""))</f>
        <v/>
      </c>
      <c r="G595">
        <f>IF(A595="","",0)</f>
        <v/>
      </c>
    </row>
    <row r="596">
      <c r="A596" s="23">
        <f>IFERROR(INDEX($R$9:$R$809,ROW()-8),"")</f>
        <v/>
      </c>
      <c r="B596">
        <f>IFERROR(INDEX($S$9:$S$809,ROW()-8),"")</f>
        <v/>
      </c>
      <c r="C596">
        <f>IFERROR(INDEX($W$9:$W$809,ROW()-8),"")</f>
        <v/>
      </c>
      <c r="D596" s="26">
        <f>IF(COUNT(B595:B596)=2,LN(B596/B595),"")</f>
        <v/>
      </c>
      <c r="E596" s="27">
        <f>IF(COUNT(C595:C596)=2,(C596-C595)*100,"")</f>
        <v/>
      </c>
      <c r="F596" s="28">
        <f>IF(ROW()-8&lt;CorrWindow,"",IFERROR(CORREL(INDEX($D$9:$D$809,ROW()-8-CorrWindow+1):D596,INDEX($E$9:$E$809,ROW()-8-CorrWindow+1):E596),""))</f>
        <v/>
      </c>
      <c r="G596">
        <f>IF(A596="","",0)</f>
        <v/>
      </c>
    </row>
    <row r="597">
      <c r="A597" s="23">
        <f>IFERROR(INDEX($R$9:$R$809,ROW()-8),"")</f>
        <v/>
      </c>
      <c r="B597">
        <f>IFERROR(INDEX($S$9:$S$809,ROW()-8),"")</f>
        <v/>
      </c>
      <c r="C597">
        <f>IFERROR(INDEX($W$9:$W$809,ROW()-8),"")</f>
        <v/>
      </c>
      <c r="D597" s="26">
        <f>IF(COUNT(B596:B597)=2,LN(B597/B596),"")</f>
        <v/>
      </c>
      <c r="E597" s="27">
        <f>IF(COUNT(C596:C597)=2,(C597-C596)*100,"")</f>
        <v/>
      </c>
      <c r="F597" s="28">
        <f>IF(ROW()-8&lt;CorrWindow,"",IFERROR(CORREL(INDEX($D$9:$D$809,ROW()-8-CorrWindow+1):D597,INDEX($E$9:$E$809,ROW()-8-CorrWindow+1):E597),""))</f>
        <v/>
      </c>
      <c r="G597">
        <f>IF(A597="","",0)</f>
        <v/>
      </c>
    </row>
    <row r="598">
      <c r="A598" s="23">
        <f>IFERROR(INDEX($R$9:$R$809,ROW()-8),"")</f>
        <v/>
      </c>
      <c r="B598">
        <f>IFERROR(INDEX($S$9:$S$809,ROW()-8),"")</f>
        <v/>
      </c>
      <c r="C598">
        <f>IFERROR(INDEX($W$9:$W$809,ROW()-8),"")</f>
        <v/>
      </c>
      <c r="D598" s="26">
        <f>IF(COUNT(B597:B598)=2,LN(B598/B597),"")</f>
        <v/>
      </c>
      <c r="E598" s="27">
        <f>IF(COUNT(C597:C598)=2,(C598-C597)*100,"")</f>
        <v/>
      </c>
      <c r="F598" s="28">
        <f>IF(ROW()-8&lt;CorrWindow,"",IFERROR(CORREL(INDEX($D$9:$D$809,ROW()-8-CorrWindow+1):D598,INDEX($E$9:$E$809,ROW()-8-CorrWindow+1):E598),""))</f>
        <v/>
      </c>
      <c r="G598">
        <f>IF(A598="","",0)</f>
        <v/>
      </c>
    </row>
    <row r="599">
      <c r="A599" s="23">
        <f>IFERROR(INDEX($R$9:$R$809,ROW()-8),"")</f>
        <v/>
      </c>
      <c r="B599">
        <f>IFERROR(INDEX($S$9:$S$809,ROW()-8),"")</f>
        <v/>
      </c>
      <c r="C599">
        <f>IFERROR(INDEX($W$9:$W$809,ROW()-8),"")</f>
        <v/>
      </c>
      <c r="D599" s="26">
        <f>IF(COUNT(B598:B599)=2,LN(B599/B598),"")</f>
        <v/>
      </c>
      <c r="E599" s="27">
        <f>IF(COUNT(C598:C599)=2,(C599-C598)*100,"")</f>
        <v/>
      </c>
      <c r="F599" s="28">
        <f>IF(ROW()-8&lt;CorrWindow,"",IFERROR(CORREL(INDEX($D$9:$D$809,ROW()-8-CorrWindow+1):D599,INDEX($E$9:$E$809,ROW()-8-CorrWindow+1):E599),""))</f>
        <v/>
      </c>
      <c r="G599">
        <f>IF(A599="","",0)</f>
        <v/>
      </c>
    </row>
    <row r="600">
      <c r="A600" s="23">
        <f>IFERROR(INDEX($R$9:$R$809,ROW()-8),"")</f>
        <v/>
      </c>
      <c r="B600">
        <f>IFERROR(INDEX($S$9:$S$809,ROW()-8),"")</f>
        <v/>
      </c>
      <c r="C600">
        <f>IFERROR(INDEX($W$9:$W$809,ROW()-8),"")</f>
        <v/>
      </c>
      <c r="D600" s="26">
        <f>IF(COUNT(B599:B600)=2,LN(B600/B599),"")</f>
        <v/>
      </c>
      <c r="E600" s="27">
        <f>IF(COUNT(C599:C600)=2,(C600-C599)*100,"")</f>
        <v/>
      </c>
      <c r="F600" s="28">
        <f>IF(ROW()-8&lt;CorrWindow,"",IFERROR(CORREL(INDEX($D$9:$D$809,ROW()-8-CorrWindow+1):D600,INDEX($E$9:$E$809,ROW()-8-CorrWindow+1):E600),""))</f>
        <v/>
      </c>
      <c r="G600">
        <f>IF(A600="","",0)</f>
        <v/>
      </c>
    </row>
    <row r="601">
      <c r="A601" s="23">
        <f>IFERROR(INDEX($R$9:$R$809,ROW()-8),"")</f>
        <v/>
      </c>
      <c r="B601">
        <f>IFERROR(INDEX($S$9:$S$809,ROW()-8),"")</f>
        <v/>
      </c>
      <c r="C601">
        <f>IFERROR(INDEX($W$9:$W$809,ROW()-8),"")</f>
        <v/>
      </c>
      <c r="D601" s="26">
        <f>IF(COUNT(B600:B601)=2,LN(B601/B600),"")</f>
        <v/>
      </c>
      <c r="E601" s="27">
        <f>IF(COUNT(C600:C601)=2,(C601-C600)*100,"")</f>
        <v/>
      </c>
      <c r="F601" s="28">
        <f>IF(ROW()-8&lt;CorrWindow,"",IFERROR(CORREL(INDEX($D$9:$D$809,ROW()-8-CorrWindow+1):D601,INDEX($E$9:$E$809,ROW()-8-CorrWindow+1):E601),""))</f>
        <v/>
      </c>
      <c r="G601">
        <f>IF(A601="","",0)</f>
        <v/>
      </c>
    </row>
    <row r="602">
      <c r="A602" s="23">
        <f>IFERROR(INDEX($R$9:$R$809,ROW()-8),"")</f>
        <v/>
      </c>
      <c r="B602">
        <f>IFERROR(INDEX($S$9:$S$809,ROW()-8),"")</f>
        <v/>
      </c>
      <c r="C602">
        <f>IFERROR(INDEX($W$9:$W$809,ROW()-8),"")</f>
        <v/>
      </c>
      <c r="D602" s="26">
        <f>IF(COUNT(B601:B602)=2,LN(B602/B601),"")</f>
        <v/>
      </c>
      <c r="E602" s="27">
        <f>IF(COUNT(C601:C602)=2,(C602-C601)*100,"")</f>
        <v/>
      </c>
      <c r="F602" s="28">
        <f>IF(ROW()-8&lt;CorrWindow,"",IFERROR(CORREL(INDEX($D$9:$D$809,ROW()-8-CorrWindow+1):D602,INDEX($E$9:$E$809,ROW()-8-CorrWindow+1):E602),""))</f>
        <v/>
      </c>
      <c r="G602">
        <f>IF(A602="","",0)</f>
        <v/>
      </c>
    </row>
    <row r="603">
      <c r="A603" s="23">
        <f>IFERROR(INDEX($R$9:$R$809,ROW()-8),"")</f>
        <v/>
      </c>
      <c r="B603">
        <f>IFERROR(INDEX($S$9:$S$809,ROW()-8),"")</f>
        <v/>
      </c>
      <c r="C603">
        <f>IFERROR(INDEX($W$9:$W$809,ROW()-8),"")</f>
        <v/>
      </c>
      <c r="D603" s="26">
        <f>IF(COUNT(B602:B603)=2,LN(B603/B602),"")</f>
        <v/>
      </c>
      <c r="E603" s="27">
        <f>IF(COUNT(C602:C603)=2,(C603-C602)*100,"")</f>
        <v/>
      </c>
      <c r="F603" s="28">
        <f>IF(ROW()-8&lt;CorrWindow,"",IFERROR(CORREL(INDEX($D$9:$D$809,ROW()-8-CorrWindow+1):D603,INDEX($E$9:$E$809,ROW()-8-CorrWindow+1):E603),""))</f>
        <v/>
      </c>
      <c r="G603">
        <f>IF(A603="","",0)</f>
        <v/>
      </c>
    </row>
    <row r="604">
      <c r="A604" s="23">
        <f>IFERROR(INDEX($R$9:$R$809,ROW()-8),"")</f>
        <v/>
      </c>
      <c r="B604">
        <f>IFERROR(INDEX($S$9:$S$809,ROW()-8),"")</f>
        <v/>
      </c>
      <c r="C604">
        <f>IFERROR(INDEX($W$9:$W$809,ROW()-8),"")</f>
        <v/>
      </c>
      <c r="D604" s="26">
        <f>IF(COUNT(B603:B604)=2,LN(B604/B603),"")</f>
        <v/>
      </c>
      <c r="E604" s="27">
        <f>IF(COUNT(C603:C604)=2,(C604-C603)*100,"")</f>
        <v/>
      </c>
      <c r="F604" s="28">
        <f>IF(ROW()-8&lt;CorrWindow,"",IFERROR(CORREL(INDEX($D$9:$D$809,ROW()-8-CorrWindow+1):D604,INDEX($E$9:$E$809,ROW()-8-CorrWindow+1):E604),""))</f>
        <v/>
      </c>
      <c r="G604">
        <f>IF(A604="","",0)</f>
        <v/>
      </c>
    </row>
    <row r="605">
      <c r="A605" s="23">
        <f>IFERROR(INDEX($R$9:$R$809,ROW()-8),"")</f>
        <v/>
      </c>
      <c r="B605">
        <f>IFERROR(INDEX($S$9:$S$809,ROW()-8),"")</f>
        <v/>
      </c>
      <c r="C605">
        <f>IFERROR(INDEX($W$9:$W$809,ROW()-8),"")</f>
        <v/>
      </c>
      <c r="D605" s="26">
        <f>IF(COUNT(B604:B605)=2,LN(B605/B604),"")</f>
        <v/>
      </c>
      <c r="E605" s="27">
        <f>IF(COUNT(C604:C605)=2,(C605-C604)*100,"")</f>
        <v/>
      </c>
      <c r="F605" s="28">
        <f>IF(ROW()-8&lt;CorrWindow,"",IFERROR(CORREL(INDEX($D$9:$D$809,ROW()-8-CorrWindow+1):D605,INDEX($E$9:$E$809,ROW()-8-CorrWindow+1):E605),""))</f>
        <v/>
      </c>
      <c r="G605">
        <f>IF(A605="","",0)</f>
        <v/>
      </c>
    </row>
    <row r="606">
      <c r="A606" s="23">
        <f>IFERROR(INDEX($R$9:$R$809,ROW()-8),"")</f>
        <v/>
      </c>
      <c r="B606">
        <f>IFERROR(INDEX($S$9:$S$809,ROW()-8),"")</f>
        <v/>
      </c>
      <c r="C606">
        <f>IFERROR(INDEX($W$9:$W$809,ROW()-8),"")</f>
        <v/>
      </c>
      <c r="D606" s="26">
        <f>IF(COUNT(B605:B606)=2,LN(B606/B605),"")</f>
        <v/>
      </c>
      <c r="E606" s="27">
        <f>IF(COUNT(C605:C606)=2,(C606-C605)*100,"")</f>
        <v/>
      </c>
      <c r="F606" s="28">
        <f>IF(ROW()-8&lt;CorrWindow,"",IFERROR(CORREL(INDEX($D$9:$D$809,ROW()-8-CorrWindow+1):D606,INDEX($E$9:$E$809,ROW()-8-CorrWindow+1):E606),""))</f>
        <v/>
      </c>
      <c r="G606">
        <f>IF(A606="","",0)</f>
        <v/>
      </c>
    </row>
    <row r="607">
      <c r="A607" s="23">
        <f>IFERROR(INDEX($R$9:$R$809,ROW()-8),"")</f>
        <v/>
      </c>
      <c r="B607">
        <f>IFERROR(INDEX($S$9:$S$809,ROW()-8),"")</f>
        <v/>
      </c>
      <c r="C607">
        <f>IFERROR(INDEX($W$9:$W$809,ROW()-8),"")</f>
        <v/>
      </c>
      <c r="D607" s="26">
        <f>IF(COUNT(B606:B607)=2,LN(B607/B606),"")</f>
        <v/>
      </c>
      <c r="E607" s="27">
        <f>IF(COUNT(C606:C607)=2,(C607-C606)*100,"")</f>
        <v/>
      </c>
      <c r="F607" s="28">
        <f>IF(ROW()-8&lt;CorrWindow,"",IFERROR(CORREL(INDEX($D$9:$D$809,ROW()-8-CorrWindow+1):D607,INDEX($E$9:$E$809,ROW()-8-CorrWindow+1):E607),""))</f>
        <v/>
      </c>
      <c r="G607">
        <f>IF(A607="","",0)</f>
        <v/>
      </c>
    </row>
    <row r="608">
      <c r="A608" s="23">
        <f>IFERROR(INDEX($R$9:$R$809,ROW()-8),"")</f>
        <v/>
      </c>
      <c r="B608">
        <f>IFERROR(INDEX($S$9:$S$809,ROW()-8),"")</f>
        <v/>
      </c>
      <c r="C608">
        <f>IFERROR(INDEX($W$9:$W$809,ROW()-8),"")</f>
        <v/>
      </c>
      <c r="D608" s="26">
        <f>IF(COUNT(B607:B608)=2,LN(B608/B607),"")</f>
        <v/>
      </c>
      <c r="E608" s="27">
        <f>IF(COUNT(C607:C608)=2,(C608-C607)*100,"")</f>
        <v/>
      </c>
      <c r="F608" s="28">
        <f>IF(ROW()-8&lt;CorrWindow,"",IFERROR(CORREL(INDEX($D$9:$D$809,ROW()-8-CorrWindow+1):D608,INDEX($E$9:$E$809,ROW()-8-CorrWindow+1):E608),""))</f>
        <v/>
      </c>
      <c r="G608">
        <f>IF(A608="","",0)</f>
        <v/>
      </c>
    </row>
    <row r="609">
      <c r="A609" s="23">
        <f>IFERROR(INDEX($R$9:$R$809,ROW()-8),"")</f>
        <v/>
      </c>
      <c r="B609">
        <f>IFERROR(INDEX($S$9:$S$809,ROW()-8),"")</f>
        <v/>
      </c>
      <c r="C609">
        <f>IFERROR(INDEX($W$9:$W$809,ROW()-8),"")</f>
        <v/>
      </c>
      <c r="D609" s="26">
        <f>IF(COUNT(B608:B609)=2,LN(B609/B608),"")</f>
        <v/>
      </c>
      <c r="E609" s="27">
        <f>IF(COUNT(C608:C609)=2,(C609-C608)*100,"")</f>
        <v/>
      </c>
      <c r="F609" s="28">
        <f>IF(ROW()-8&lt;CorrWindow,"",IFERROR(CORREL(INDEX($D$9:$D$809,ROW()-8-CorrWindow+1):D609,INDEX($E$9:$E$809,ROW()-8-CorrWindow+1):E609),""))</f>
        <v/>
      </c>
      <c r="G609">
        <f>IF(A609="","",0)</f>
        <v/>
      </c>
    </row>
    <row r="610">
      <c r="A610" s="23">
        <f>IFERROR(INDEX($R$9:$R$809,ROW()-8),"")</f>
        <v/>
      </c>
      <c r="B610">
        <f>IFERROR(INDEX($S$9:$S$809,ROW()-8),"")</f>
        <v/>
      </c>
      <c r="C610">
        <f>IFERROR(INDEX($W$9:$W$809,ROW()-8),"")</f>
        <v/>
      </c>
      <c r="D610" s="26">
        <f>IF(COUNT(B609:B610)=2,LN(B610/B609),"")</f>
        <v/>
      </c>
      <c r="E610" s="27">
        <f>IF(COUNT(C609:C610)=2,(C610-C609)*100,"")</f>
        <v/>
      </c>
      <c r="F610" s="28">
        <f>IF(ROW()-8&lt;CorrWindow,"",IFERROR(CORREL(INDEX($D$9:$D$809,ROW()-8-CorrWindow+1):D610,INDEX($E$9:$E$809,ROW()-8-CorrWindow+1):E610),""))</f>
        <v/>
      </c>
      <c r="G610">
        <f>IF(A610="","",0)</f>
        <v/>
      </c>
    </row>
    <row r="611">
      <c r="A611" s="23">
        <f>IFERROR(INDEX($R$9:$R$809,ROW()-8),"")</f>
        <v/>
      </c>
      <c r="B611">
        <f>IFERROR(INDEX($S$9:$S$809,ROW()-8),"")</f>
        <v/>
      </c>
      <c r="C611">
        <f>IFERROR(INDEX($W$9:$W$809,ROW()-8),"")</f>
        <v/>
      </c>
      <c r="D611" s="26">
        <f>IF(COUNT(B610:B611)=2,LN(B611/B610),"")</f>
        <v/>
      </c>
      <c r="E611" s="27">
        <f>IF(COUNT(C610:C611)=2,(C611-C610)*100,"")</f>
        <v/>
      </c>
      <c r="F611" s="28">
        <f>IF(ROW()-8&lt;CorrWindow,"",IFERROR(CORREL(INDEX($D$9:$D$809,ROW()-8-CorrWindow+1):D611,INDEX($E$9:$E$809,ROW()-8-CorrWindow+1):E611),""))</f>
        <v/>
      </c>
      <c r="G611">
        <f>IF(A611="","",0)</f>
        <v/>
      </c>
    </row>
    <row r="612">
      <c r="A612" s="23">
        <f>IFERROR(INDEX($R$9:$R$809,ROW()-8),"")</f>
        <v/>
      </c>
      <c r="B612">
        <f>IFERROR(INDEX($S$9:$S$809,ROW()-8),"")</f>
        <v/>
      </c>
      <c r="C612">
        <f>IFERROR(INDEX($W$9:$W$809,ROW()-8),"")</f>
        <v/>
      </c>
      <c r="D612" s="26">
        <f>IF(COUNT(B611:B612)=2,LN(B612/B611),"")</f>
        <v/>
      </c>
      <c r="E612" s="27">
        <f>IF(COUNT(C611:C612)=2,(C612-C611)*100,"")</f>
        <v/>
      </c>
      <c r="F612" s="28">
        <f>IF(ROW()-8&lt;CorrWindow,"",IFERROR(CORREL(INDEX($D$9:$D$809,ROW()-8-CorrWindow+1):D612,INDEX($E$9:$E$809,ROW()-8-CorrWindow+1):E612),""))</f>
        <v/>
      </c>
      <c r="G612">
        <f>IF(A612="","",0)</f>
        <v/>
      </c>
    </row>
    <row r="613">
      <c r="A613" s="23">
        <f>IFERROR(INDEX($R$9:$R$809,ROW()-8),"")</f>
        <v/>
      </c>
      <c r="B613">
        <f>IFERROR(INDEX($S$9:$S$809,ROW()-8),"")</f>
        <v/>
      </c>
      <c r="C613">
        <f>IFERROR(INDEX($W$9:$W$809,ROW()-8),"")</f>
        <v/>
      </c>
      <c r="D613" s="26">
        <f>IF(COUNT(B612:B613)=2,LN(B613/B612),"")</f>
        <v/>
      </c>
      <c r="E613" s="27">
        <f>IF(COUNT(C612:C613)=2,(C613-C612)*100,"")</f>
        <v/>
      </c>
      <c r="F613" s="28">
        <f>IF(ROW()-8&lt;CorrWindow,"",IFERROR(CORREL(INDEX($D$9:$D$809,ROW()-8-CorrWindow+1):D613,INDEX($E$9:$E$809,ROW()-8-CorrWindow+1):E613),""))</f>
        <v/>
      </c>
      <c r="G613">
        <f>IF(A613="","",0)</f>
        <v/>
      </c>
    </row>
    <row r="614">
      <c r="A614" s="23">
        <f>IFERROR(INDEX($R$9:$R$809,ROW()-8),"")</f>
        <v/>
      </c>
      <c r="B614">
        <f>IFERROR(INDEX($S$9:$S$809,ROW()-8),"")</f>
        <v/>
      </c>
      <c r="C614">
        <f>IFERROR(INDEX($W$9:$W$809,ROW()-8),"")</f>
        <v/>
      </c>
      <c r="D614" s="26">
        <f>IF(COUNT(B613:B614)=2,LN(B614/B613),"")</f>
        <v/>
      </c>
      <c r="E614" s="27">
        <f>IF(COUNT(C613:C614)=2,(C614-C613)*100,"")</f>
        <v/>
      </c>
      <c r="F614" s="28">
        <f>IF(ROW()-8&lt;CorrWindow,"",IFERROR(CORREL(INDEX($D$9:$D$809,ROW()-8-CorrWindow+1):D614,INDEX($E$9:$E$809,ROW()-8-CorrWindow+1):E614),""))</f>
        <v/>
      </c>
      <c r="G614">
        <f>IF(A614="","",0)</f>
        <v/>
      </c>
    </row>
    <row r="615">
      <c r="A615" s="23">
        <f>IFERROR(INDEX($R$9:$R$809,ROW()-8),"")</f>
        <v/>
      </c>
      <c r="B615">
        <f>IFERROR(INDEX($S$9:$S$809,ROW()-8),"")</f>
        <v/>
      </c>
      <c r="C615">
        <f>IFERROR(INDEX($W$9:$W$809,ROW()-8),"")</f>
        <v/>
      </c>
      <c r="D615" s="26">
        <f>IF(COUNT(B614:B615)=2,LN(B615/B614),"")</f>
        <v/>
      </c>
      <c r="E615" s="27">
        <f>IF(COUNT(C614:C615)=2,(C615-C614)*100,"")</f>
        <v/>
      </c>
      <c r="F615" s="28">
        <f>IF(ROW()-8&lt;CorrWindow,"",IFERROR(CORREL(INDEX($D$9:$D$809,ROW()-8-CorrWindow+1):D615,INDEX($E$9:$E$809,ROW()-8-CorrWindow+1):E615),""))</f>
        <v/>
      </c>
      <c r="G615">
        <f>IF(A615="","",0)</f>
        <v/>
      </c>
    </row>
    <row r="616">
      <c r="A616" s="23">
        <f>IFERROR(INDEX($R$9:$R$809,ROW()-8),"")</f>
        <v/>
      </c>
      <c r="B616">
        <f>IFERROR(INDEX($S$9:$S$809,ROW()-8),"")</f>
        <v/>
      </c>
      <c r="C616">
        <f>IFERROR(INDEX($W$9:$W$809,ROW()-8),"")</f>
        <v/>
      </c>
      <c r="D616" s="26">
        <f>IF(COUNT(B615:B616)=2,LN(B616/B615),"")</f>
        <v/>
      </c>
      <c r="E616" s="27">
        <f>IF(COUNT(C615:C616)=2,(C616-C615)*100,"")</f>
        <v/>
      </c>
      <c r="F616" s="28">
        <f>IF(ROW()-8&lt;CorrWindow,"",IFERROR(CORREL(INDEX($D$9:$D$809,ROW()-8-CorrWindow+1):D616,INDEX($E$9:$E$809,ROW()-8-CorrWindow+1):E616),""))</f>
        <v/>
      </c>
      <c r="G616">
        <f>IF(A616="","",0)</f>
        <v/>
      </c>
    </row>
    <row r="617">
      <c r="A617" s="23">
        <f>IFERROR(INDEX($R$9:$R$809,ROW()-8),"")</f>
        <v/>
      </c>
      <c r="B617">
        <f>IFERROR(INDEX($S$9:$S$809,ROW()-8),"")</f>
        <v/>
      </c>
      <c r="C617">
        <f>IFERROR(INDEX($W$9:$W$809,ROW()-8),"")</f>
        <v/>
      </c>
      <c r="D617" s="26">
        <f>IF(COUNT(B616:B617)=2,LN(B617/B616),"")</f>
        <v/>
      </c>
      <c r="E617" s="27">
        <f>IF(COUNT(C616:C617)=2,(C617-C616)*100,"")</f>
        <v/>
      </c>
      <c r="F617" s="28">
        <f>IF(ROW()-8&lt;CorrWindow,"",IFERROR(CORREL(INDEX($D$9:$D$809,ROW()-8-CorrWindow+1):D617,INDEX($E$9:$E$809,ROW()-8-CorrWindow+1):E617),""))</f>
        <v/>
      </c>
      <c r="G617">
        <f>IF(A617="","",0)</f>
        <v/>
      </c>
    </row>
    <row r="618">
      <c r="A618" s="23">
        <f>IFERROR(INDEX($R$9:$R$809,ROW()-8),"")</f>
        <v/>
      </c>
      <c r="B618">
        <f>IFERROR(INDEX($S$9:$S$809,ROW()-8),"")</f>
        <v/>
      </c>
      <c r="C618">
        <f>IFERROR(INDEX($W$9:$W$809,ROW()-8),"")</f>
        <v/>
      </c>
      <c r="D618" s="26">
        <f>IF(COUNT(B617:B618)=2,LN(B618/B617),"")</f>
        <v/>
      </c>
      <c r="E618" s="27">
        <f>IF(COUNT(C617:C618)=2,(C618-C617)*100,"")</f>
        <v/>
      </c>
      <c r="F618" s="28">
        <f>IF(ROW()-8&lt;CorrWindow,"",IFERROR(CORREL(INDEX($D$9:$D$809,ROW()-8-CorrWindow+1):D618,INDEX($E$9:$E$809,ROW()-8-CorrWindow+1):E618),""))</f>
        <v/>
      </c>
      <c r="G618">
        <f>IF(A618="","",0)</f>
        <v/>
      </c>
    </row>
    <row r="619">
      <c r="A619" s="23">
        <f>IFERROR(INDEX($R$9:$R$809,ROW()-8),"")</f>
        <v/>
      </c>
      <c r="B619">
        <f>IFERROR(INDEX($S$9:$S$809,ROW()-8),"")</f>
        <v/>
      </c>
      <c r="C619">
        <f>IFERROR(INDEX($W$9:$W$809,ROW()-8),"")</f>
        <v/>
      </c>
      <c r="D619" s="26">
        <f>IF(COUNT(B618:B619)=2,LN(B619/B618),"")</f>
        <v/>
      </c>
      <c r="E619" s="27">
        <f>IF(COUNT(C618:C619)=2,(C619-C618)*100,"")</f>
        <v/>
      </c>
      <c r="F619" s="28">
        <f>IF(ROW()-8&lt;CorrWindow,"",IFERROR(CORREL(INDEX($D$9:$D$809,ROW()-8-CorrWindow+1):D619,INDEX($E$9:$E$809,ROW()-8-CorrWindow+1):E619),""))</f>
        <v/>
      </c>
      <c r="G619">
        <f>IF(A619="","",0)</f>
        <v/>
      </c>
    </row>
    <row r="620">
      <c r="A620" s="23">
        <f>IFERROR(INDEX($R$9:$R$809,ROW()-8),"")</f>
        <v/>
      </c>
      <c r="B620">
        <f>IFERROR(INDEX($S$9:$S$809,ROW()-8),"")</f>
        <v/>
      </c>
      <c r="C620">
        <f>IFERROR(INDEX($W$9:$W$809,ROW()-8),"")</f>
        <v/>
      </c>
      <c r="D620" s="26">
        <f>IF(COUNT(B619:B620)=2,LN(B620/B619),"")</f>
        <v/>
      </c>
      <c r="E620" s="27">
        <f>IF(COUNT(C619:C620)=2,(C620-C619)*100,"")</f>
        <v/>
      </c>
      <c r="F620" s="28">
        <f>IF(ROW()-8&lt;CorrWindow,"",IFERROR(CORREL(INDEX($D$9:$D$809,ROW()-8-CorrWindow+1):D620,INDEX($E$9:$E$809,ROW()-8-CorrWindow+1):E620),""))</f>
        <v/>
      </c>
      <c r="G620">
        <f>IF(A620="","",0)</f>
        <v/>
      </c>
    </row>
    <row r="621">
      <c r="A621" s="23">
        <f>IFERROR(INDEX($R$9:$R$809,ROW()-8),"")</f>
        <v/>
      </c>
      <c r="B621">
        <f>IFERROR(INDEX($S$9:$S$809,ROW()-8),"")</f>
        <v/>
      </c>
      <c r="C621">
        <f>IFERROR(INDEX($W$9:$W$809,ROW()-8),"")</f>
        <v/>
      </c>
      <c r="D621" s="26">
        <f>IF(COUNT(B620:B621)=2,LN(B621/B620),"")</f>
        <v/>
      </c>
      <c r="E621" s="27">
        <f>IF(COUNT(C620:C621)=2,(C621-C620)*100,"")</f>
        <v/>
      </c>
      <c r="F621" s="28">
        <f>IF(ROW()-8&lt;CorrWindow,"",IFERROR(CORREL(INDEX($D$9:$D$809,ROW()-8-CorrWindow+1):D621,INDEX($E$9:$E$809,ROW()-8-CorrWindow+1):E621),""))</f>
        <v/>
      </c>
      <c r="G621">
        <f>IF(A621="","",0)</f>
        <v/>
      </c>
    </row>
    <row r="622">
      <c r="A622" s="23">
        <f>IFERROR(INDEX($R$9:$R$809,ROW()-8),"")</f>
        <v/>
      </c>
      <c r="B622">
        <f>IFERROR(INDEX($S$9:$S$809,ROW()-8),"")</f>
        <v/>
      </c>
      <c r="C622">
        <f>IFERROR(INDEX($W$9:$W$809,ROW()-8),"")</f>
        <v/>
      </c>
      <c r="D622" s="26">
        <f>IF(COUNT(B621:B622)=2,LN(B622/B621),"")</f>
        <v/>
      </c>
      <c r="E622" s="27">
        <f>IF(COUNT(C621:C622)=2,(C622-C621)*100,"")</f>
        <v/>
      </c>
      <c r="F622" s="28">
        <f>IF(ROW()-8&lt;CorrWindow,"",IFERROR(CORREL(INDEX($D$9:$D$809,ROW()-8-CorrWindow+1):D622,INDEX($E$9:$E$809,ROW()-8-CorrWindow+1):E622),""))</f>
        <v/>
      </c>
      <c r="G622">
        <f>IF(A622="","",0)</f>
        <v/>
      </c>
    </row>
    <row r="623">
      <c r="A623" s="23">
        <f>IFERROR(INDEX($R$9:$R$809,ROW()-8),"")</f>
        <v/>
      </c>
      <c r="B623">
        <f>IFERROR(INDEX($S$9:$S$809,ROW()-8),"")</f>
        <v/>
      </c>
      <c r="C623">
        <f>IFERROR(INDEX($W$9:$W$809,ROW()-8),"")</f>
        <v/>
      </c>
      <c r="D623" s="26">
        <f>IF(COUNT(B622:B623)=2,LN(B623/B622),"")</f>
        <v/>
      </c>
      <c r="E623" s="27">
        <f>IF(COUNT(C622:C623)=2,(C623-C622)*100,"")</f>
        <v/>
      </c>
      <c r="F623" s="28">
        <f>IF(ROW()-8&lt;CorrWindow,"",IFERROR(CORREL(INDEX($D$9:$D$809,ROW()-8-CorrWindow+1):D623,INDEX($E$9:$E$809,ROW()-8-CorrWindow+1):E623),""))</f>
        <v/>
      </c>
      <c r="G623">
        <f>IF(A623="","",0)</f>
        <v/>
      </c>
    </row>
    <row r="624">
      <c r="A624" s="23">
        <f>IFERROR(INDEX($R$9:$R$809,ROW()-8),"")</f>
        <v/>
      </c>
      <c r="B624">
        <f>IFERROR(INDEX($S$9:$S$809,ROW()-8),"")</f>
        <v/>
      </c>
      <c r="C624">
        <f>IFERROR(INDEX($W$9:$W$809,ROW()-8),"")</f>
        <v/>
      </c>
      <c r="D624" s="26">
        <f>IF(COUNT(B623:B624)=2,LN(B624/B623),"")</f>
        <v/>
      </c>
      <c r="E624" s="27">
        <f>IF(COUNT(C623:C624)=2,(C624-C623)*100,"")</f>
        <v/>
      </c>
      <c r="F624" s="28">
        <f>IF(ROW()-8&lt;CorrWindow,"",IFERROR(CORREL(INDEX($D$9:$D$809,ROW()-8-CorrWindow+1):D624,INDEX($E$9:$E$809,ROW()-8-CorrWindow+1):E624),""))</f>
        <v/>
      </c>
      <c r="G624">
        <f>IF(A624="","",0)</f>
        <v/>
      </c>
    </row>
    <row r="625">
      <c r="A625" s="23">
        <f>IFERROR(INDEX($R$9:$R$809,ROW()-8),"")</f>
        <v/>
      </c>
      <c r="B625">
        <f>IFERROR(INDEX($S$9:$S$809,ROW()-8),"")</f>
        <v/>
      </c>
      <c r="C625">
        <f>IFERROR(INDEX($W$9:$W$809,ROW()-8),"")</f>
        <v/>
      </c>
      <c r="D625" s="26">
        <f>IF(COUNT(B624:B625)=2,LN(B625/B624),"")</f>
        <v/>
      </c>
      <c r="E625" s="27">
        <f>IF(COUNT(C624:C625)=2,(C625-C624)*100,"")</f>
        <v/>
      </c>
      <c r="F625" s="28">
        <f>IF(ROW()-8&lt;CorrWindow,"",IFERROR(CORREL(INDEX($D$9:$D$809,ROW()-8-CorrWindow+1):D625,INDEX($E$9:$E$809,ROW()-8-CorrWindow+1):E625),""))</f>
        <v/>
      </c>
      <c r="G625">
        <f>IF(A625="","",0)</f>
        <v/>
      </c>
    </row>
    <row r="626">
      <c r="A626" s="23">
        <f>IFERROR(INDEX($R$9:$R$809,ROW()-8),"")</f>
        <v/>
      </c>
      <c r="B626">
        <f>IFERROR(INDEX($S$9:$S$809,ROW()-8),"")</f>
        <v/>
      </c>
      <c r="C626">
        <f>IFERROR(INDEX($W$9:$W$809,ROW()-8),"")</f>
        <v/>
      </c>
      <c r="D626" s="26">
        <f>IF(COUNT(B625:B626)=2,LN(B626/B625),"")</f>
        <v/>
      </c>
      <c r="E626" s="27">
        <f>IF(COUNT(C625:C626)=2,(C626-C625)*100,"")</f>
        <v/>
      </c>
      <c r="F626" s="28">
        <f>IF(ROW()-8&lt;CorrWindow,"",IFERROR(CORREL(INDEX($D$9:$D$809,ROW()-8-CorrWindow+1):D626,INDEX($E$9:$E$809,ROW()-8-CorrWindow+1):E626),""))</f>
        <v/>
      </c>
      <c r="G626">
        <f>IF(A626="","",0)</f>
        <v/>
      </c>
    </row>
    <row r="627">
      <c r="A627" s="23">
        <f>IFERROR(INDEX($R$9:$R$809,ROW()-8),"")</f>
        <v/>
      </c>
      <c r="B627">
        <f>IFERROR(INDEX($S$9:$S$809,ROW()-8),"")</f>
        <v/>
      </c>
      <c r="C627">
        <f>IFERROR(INDEX($W$9:$W$809,ROW()-8),"")</f>
        <v/>
      </c>
      <c r="D627" s="26">
        <f>IF(COUNT(B626:B627)=2,LN(B627/B626),"")</f>
        <v/>
      </c>
      <c r="E627" s="27">
        <f>IF(COUNT(C626:C627)=2,(C627-C626)*100,"")</f>
        <v/>
      </c>
      <c r="F627" s="28">
        <f>IF(ROW()-8&lt;CorrWindow,"",IFERROR(CORREL(INDEX($D$9:$D$809,ROW()-8-CorrWindow+1):D627,INDEX($E$9:$E$809,ROW()-8-CorrWindow+1):E627),""))</f>
        <v/>
      </c>
      <c r="G627">
        <f>IF(A627="","",0)</f>
        <v/>
      </c>
    </row>
    <row r="628">
      <c r="A628" s="23">
        <f>IFERROR(INDEX($R$9:$R$809,ROW()-8),"")</f>
        <v/>
      </c>
      <c r="B628">
        <f>IFERROR(INDEX($S$9:$S$809,ROW()-8),"")</f>
        <v/>
      </c>
      <c r="C628">
        <f>IFERROR(INDEX($W$9:$W$809,ROW()-8),"")</f>
        <v/>
      </c>
      <c r="D628" s="26">
        <f>IF(COUNT(B627:B628)=2,LN(B628/B627),"")</f>
        <v/>
      </c>
      <c r="E628" s="27">
        <f>IF(COUNT(C627:C628)=2,(C628-C627)*100,"")</f>
        <v/>
      </c>
      <c r="F628" s="28">
        <f>IF(ROW()-8&lt;CorrWindow,"",IFERROR(CORREL(INDEX($D$9:$D$809,ROW()-8-CorrWindow+1):D628,INDEX($E$9:$E$809,ROW()-8-CorrWindow+1):E628),""))</f>
        <v/>
      </c>
      <c r="G628">
        <f>IF(A628="","",0)</f>
        <v/>
      </c>
    </row>
    <row r="629">
      <c r="A629" s="23">
        <f>IFERROR(INDEX($R$9:$R$809,ROW()-8),"")</f>
        <v/>
      </c>
      <c r="B629">
        <f>IFERROR(INDEX($S$9:$S$809,ROW()-8),"")</f>
        <v/>
      </c>
      <c r="C629">
        <f>IFERROR(INDEX($W$9:$W$809,ROW()-8),"")</f>
        <v/>
      </c>
      <c r="D629" s="26">
        <f>IF(COUNT(B628:B629)=2,LN(B629/B628),"")</f>
        <v/>
      </c>
      <c r="E629" s="27">
        <f>IF(COUNT(C628:C629)=2,(C629-C628)*100,"")</f>
        <v/>
      </c>
      <c r="F629" s="28">
        <f>IF(ROW()-8&lt;CorrWindow,"",IFERROR(CORREL(INDEX($D$9:$D$809,ROW()-8-CorrWindow+1):D629,INDEX($E$9:$E$809,ROW()-8-CorrWindow+1):E629),""))</f>
        <v/>
      </c>
      <c r="G629">
        <f>IF(A629="","",0)</f>
        <v/>
      </c>
    </row>
    <row r="630">
      <c r="A630" s="23">
        <f>IFERROR(INDEX($R$9:$R$809,ROW()-8),"")</f>
        <v/>
      </c>
      <c r="B630">
        <f>IFERROR(INDEX($S$9:$S$809,ROW()-8),"")</f>
        <v/>
      </c>
      <c r="C630">
        <f>IFERROR(INDEX($W$9:$W$809,ROW()-8),"")</f>
        <v/>
      </c>
      <c r="D630" s="26">
        <f>IF(COUNT(B629:B630)=2,LN(B630/B629),"")</f>
        <v/>
      </c>
      <c r="E630" s="27">
        <f>IF(COUNT(C629:C630)=2,(C630-C629)*100,"")</f>
        <v/>
      </c>
      <c r="F630" s="28">
        <f>IF(ROW()-8&lt;CorrWindow,"",IFERROR(CORREL(INDEX($D$9:$D$809,ROW()-8-CorrWindow+1):D630,INDEX($E$9:$E$809,ROW()-8-CorrWindow+1):E630),""))</f>
        <v/>
      </c>
      <c r="G630">
        <f>IF(A630="","",0)</f>
        <v/>
      </c>
    </row>
    <row r="631">
      <c r="A631" s="23">
        <f>IFERROR(INDEX($R$9:$R$809,ROW()-8),"")</f>
        <v/>
      </c>
      <c r="B631">
        <f>IFERROR(INDEX($S$9:$S$809,ROW()-8),"")</f>
        <v/>
      </c>
      <c r="C631">
        <f>IFERROR(INDEX($W$9:$W$809,ROW()-8),"")</f>
        <v/>
      </c>
      <c r="D631" s="26">
        <f>IF(COUNT(B630:B631)=2,LN(B631/B630),"")</f>
        <v/>
      </c>
      <c r="E631" s="27">
        <f>IF(COUNT(C630:C631)=2,(C631-C630)*100,"")</f>
        <v/>
      </c>
      <c r="F631" s="28">
        <f>IF(ROW()-8&lt;CorrWindow,"",IFERROR(CORREL(INDEX($D$9:$D$809,ROW()-8-CorrWindow+1):D631,INDEX($E$9:$E$809,ROW()-8-CorrWindow+1):E631),""))</f>
        <v/>
      </c>
      <c r="G631">
        <f>IF(A631="","",0)</f>
        <v/>
      </c>
    </row>
    <row r="632">
      <c r="A632" s="23">
        <f>IFERROR(INDEX($R$9:$R$809,ROW()-8),"")</f>
        <v/>
      </c>
      <c r="B632">
        <f>IFERROR(INDEX($S$9:$S$809,ROW()-8),"")</f>
        <v/>
      </c>
      <c r="C632">
        <f>IFERROR(INDEX($W$9:$W$809,ROW()-8),"")</f>
        <v/>
      </c>
      <c r="D632" s="26">
        <f>IF(COUNT(B631:B632)=2,LN(B632/B631),"")</f>
        <v/>
      </c>
      <c r="E632" s="27">
        <f>IF(COUNT(C631:C632)=2,(C632-C631)*100,"")</f>
        <v/>
      </c>
      <c r="F632" s="28">
        <f>IF(ROW()-8&lt;CorrWindow,"",IFERROR(CORREL(INDEX($D$9:$D$809,ROW()-8-CorrWindow+1):D632,INDEX($E$9:$E$809,ROW()-8-CorrWindow+1):E632),""))</f>
        <v/>
      </c>
      <c r="G632">
        <f>IF(A632="","",0)</f>
        <v/>
      </c>
    </row>
    <row r="633">
      <c r="A633" s="23">
        <f>IFERROR(INDEX($R$9:$R$809,ROW()-8),"")</f>
        <v/>
      </c>
      <c r="B633">
        <f>IFERROR(INDEX($S$9:$S$809,ROW()-8),"")</f>
        <v/>
      </c>
      <c r="C633">
        <f>IFERROR(INDEX($W$9:$W$809,ROW()-8),"")</f>
        <v/>
      </c>
      <c r="D633" s="26">
        <f>IF(COUNT(B632:B633)=2,LN(B633/B632),"")</f>
        <v/>
      </c>
      <c r="E633" s="27">
        <f>IF(COUNT(C632:C633)=2,(C633-C632)*100,"")</f>
        <v/>
      </c>
      <c r="F633" s="28">
        <f>IF(ROW()-8&lt;CorrWindow,"",IFERROR(CORREL(INDEX($D$9:$D$809,ROW()-8-CorrWindow+1):D633,INDEX($E$9:$E$809,ROW()-8-CorrWindow+1):E633),""))</f>
        <v/>
      </c>
      <c r="G633">
        <f>IF(A633="","",0)</f>
        <v/>
      </c>
    </row>
    <row r="634">
      <c r="A634" s="23">
        <f>IFERROR(INDEX($R$9:$R$809,ROW()-8),"")</f>
        <v/>
      </c>
      <c r="B634">
        <f>IFERROR(INDEX($S$9:$S$809,ROW()-8),"")</f>
        <v/>
      </c>
      <c r="C634">
        <f>IFERROR(INDEX($W$9:$W$809,ROW()-8),"")</f>
        <v/>
      </c>
      <c r="D634" s="26">
        <f>IF(COUNT(B633:B634)=2,LN(B634/B633),"")</f>
        <v/>
      </c>
      <c r="E634" s="27">
        <f>IF(COUNT(C633:C634)=2,(C634-C633)*100,"")</f>
        <v/>
      </c>
      <c r="F634" s="28">
        <f>IF(ROW()-8&lt;CorrWindow,"",IFERROR(CORREL(INDEX($D$9:$D$809,ROW()-8-CorrWindow+1):D634,INDEX($E$9:$E$809,ROW()-8-CorrWindow+1):E634),""))</f>
        <v/>
      </c>
      <c r="G634">
        <f>IF(A634="","",0)</f>
        <v/>
      </c>
    </row>
    <row r="635">
      <c r="A635" s="23">
        <f>IFERROR(INDEX($R$9:$R$809,ROW()-8),"")</f>
        <v/>
      </c>
      <c r="B635">
        <f>IFERROR(INDEX($S$9:$S$809,ROW()-8),"")</f>
        <v/>
      </c>
      <c r="C635">
        <f>IFERROR(INDEX($W$9:$W$809,ROW()-8),"")</f>
        <v/>
      </c>
      <c r="D635" s="26">
        <f>IF(COUNT(B634:B635)=2,LN(B635/B634),"")</f>
        <v/>
      </c>
      <c r="E635" s="27">
        <f>IF(COUNT(C634:C635)=2,(C635-C634)*100,"")</f>
        <v/>
      </c>
      <c r="F635" s="28">
        <f>IF(ROW()-8&lt;CorrWindow,"",IFERROR(CORREL(INDEX($D$9:$D$809,ROW()-8-CorrWindow+1):D635,INDEX($E$9:$E$809,ROW()-8-CorrWindow+1):E635),""))</f>
        <v/>
      </c>
      <c r="G635">
        <f>IF(A635="","",0)</f>
        <v/>
      </c>
    </row>
    <row r="636">
      <c r="A636" s="23">
        <f>IFERROR(INDEX($R$9:$R$809,ROW()-8),"")</f>
        <v/>
      </c>
      <c r="B636">
        <f>IFERROR(INDEX($S$9:$S$809,ROW()-8),"")</f>
        <v/>
      </c>
      <c r="C636">
        <f>IFERROR(INDEX($W$9:$W$809,ROW()-8),"")</f>
        <v/>
      </c>
      <c r="D636" s="26">
        <f>IF(COUNT(B635:B636)=2,LN(B636/B635),"")</f>
        <v/>
      </c>
      <c r="E636" s="27">
        <f>IF(COUNT(C635:C636)=2,(C636-C635)*100,"")</f>
        <v/>
      </c>
      <c r="F636" s="28">
        <f>IF(ROW()-8&lt;CorrWindow,"",IFERROR(CORREL(INDEX($D$9:$D$809,ROW()-8-CorrWindow+1):D636,INDEX($E$9:$E$809,ROW()-8-CorrWindow+1):E636),""))</f>
        <v/>
      </c>
      <c r="G636">
        <f>IF(A636="","",0)</f>
        <v/>
      </c>
    </row>
    <row r="637">
      <c r="A637" s="23">
        <f>IFERROR(INDEX($R$9:$R$809,ROW()-8),"")</f>
        <v/>
      </c>
      <c r="B637">
        <f>IFERROR(INDEX($S$9:$S$809,ROW()-8),"")</f>
        <v/>
      </c>
      <c r="C637">
        <f>IFERROR(INDEX($W$9:$W$809,ROW()-8),"")</f>
        <v/>
      </c>
      <c r="D637" s="26">
        <f>IF(COUNT(B636:B637)=2,LN(B637/B636),"")</f>
        <v/>
      </c>
      <c r="E637" s="27">
        <f>IF(COUNT(C636:C637)=2,(C637-C636)*100,"")</f>
        <v/>
      </c>
      <c r="F637" s="28">
        <f>IF(ROW()-8&lt;CorrWindow,"",IFERROR(CORREL(INDEX($D$9:$D$809,ROW()-8-CorrWindow+1):D637,INDEX($E$9:$E$809,ROW()-8-CorrWindow+1):E637),""))</f>
        <v/>
      </c>
      <c r="G637">
        <f>IF(A637="","",0)</f>
        <v/>
      </c>
    </row>
    <row r="638">
      <c r="A638" s="23">
        <f>IFERROR(INDEX($R$9:$R$809,ROW()-8),"")</f>
        <v/>
      </c>
      <c r="B638">
        <f>IFERROR(INDEX($S$9:$S$809,ROW()-8),"")</f>
        <v/>
      </c>
      <c r="C638">
        <f>IFERROR(INDEX($W$9:$W$809,ROW()-8),"")</f>
        <v/>
      </c>
      <c r="D638" s="26">
        <f>IF(COUNT(B637:B638)=2,LN(B638/B637),"")</f>
        <v/>
      </c>
      <c r="E638" s="27">
        <f>IF(COUNT(C637:C638)=2,(C638-C637)*100,"")</f>
        <v/>
      </c>
      <c r="F638" s="28">
        <f>IF(ROW()-8&lt;CorrWindow,"",IFERROR(CORREL(INDEX($D$9:$D$809,ROW()-8-CorrWindow+1):D638,INDEX($E$9:$E$809,ROW()-8-CorrWindow+1):E638),""))</f>
        <v/>
      </c>
      <c r="G638">
        <f>IF(A638="","",0)</f>
        <v/>
      </c>
    </row>
    <row r="639">
      <c r="A639" s="23">
        <f>IFERROR(INDEX($R$9:$R$809,ROW()-8),"")</f>
        <v/>
      </c>
      <c r="B639">
        <f>IFERROR(INDEX($S$9:$S$809,ROW()-8),"")</f>
        <v/>
      </c>
      <c r="C639">
        <f>IFERROR(INDEX($W$9:$W$809,ROW()-8),"")</f>
        <v/>
      </c>
      <c r="D639" s="26">
        <f>IF(COUNT(B638:B639)=2,LN(B639/B638),"")</f>
        <v/>
      </c>
      <c r="E639" s="27">
        <f>IF(COUNT(C638:C639)=2,(C639-C638)*100,"")</f>
        <v/>
      </c>
      <c r="F639" s="28">
        <f>IF(ROW()-8&lt;CorrWindow,"",IFERROR(CORREL(INDEX($D$9:$D$809,ROW()-8-CorrWindow+1):D639,INDEX($E$9:$E$809,ROW()-8-CorrWindow+1):E639),""))</f>
        <v/>
      </c>
      <c r="G639">
        <f>IF(A639="","",0)</f>
        <v/>
      </c>
    </row>
    <row r="640">
      <c r="A640" s="23">
        <f>IFERROR(INDEX($R$9:$R$809,ROW()-8),"")</f>
        <v/>
      </c>
      <c r="B640">
        <f>IFERROR(INDEX($S$9:$S$809,ROW()-8),"")</f>
        <v/>
      </c>
      <c r="C640">
        <f>IFERROR(INDEX($W$9:$W$809,ROW()-8),"")</f>
        <v/>
      </c>
      <c r="D640" s="26">
        <f>IF(COUNT(B639:B640)=2,LN(B640/B639),"")</f>
        <v/>
      </c>
      <c r="E640" s="27">
        <f>IF(COUNT(C639:C640)=2,(C640-C639)*100,"")</f>
        <v/>
      </c>
      <c r="F640" s="28">
        <f>IF(ROW()-8&lt;CorrWindow,"",IFERROR(CORREL(INDEX($D$9:$D$809,ROW()-8-CorrWindow+1):D640,INDEX($E$9:$E$809,ROW()-8-CorrWindow+1):E640),""))</f>
        <v/>
      </c>
      <c r="G640">
        <f>IF(A640="","",0)</f>
        <v/>
      </c>
    </row>
    <row r="641">
      <c r="A641" s="23">
        <f>IFERROR(INDEX($R$9:$R$809,ROW()-8),"")</f>
        <v/>
      </c>
      <c r="B641">
        <f>IFERROR(INDEX($S$9:$S$809,ROW()-8),"")</f>
        <v/>
      </c>
      <c r="C641">
        <f>IFERROR(INDEX($W$9:$W$809,ROW()-8),"")</f>
        <v/>
      </c>
      <c r="D641" s="26">
        <f>IF(COUNT(B640:B641)=2,LN(B641/B640),"")</f>
        <v/>
      </c>
      <c r="E641" s="27">
        <f>IF(COUNT(C640:C641)=2,(C641-C640)*100,"")</f>
        <v/>
      </c>
      <c r="F641" s="28">
        <f>IF(ROW()-8&lt;CorrWindow,"",IFERROR(CORREL(INDEX($D$9:$D$809,ROW()-8-CorrWindow+1):D641,INDEX($E$9:$E$809,ROW()-8-CorrWindow+1):E641),""))</f>
        <v/>
      </c>
      <c r="G641">
        <f>IF(A641="","",0)</f>
        <v/>
      </c>
    </row>
    <row r="642">
      <c r="A642" s="23">
        <f>IFERROR(INDEX($R$9:$R$809,ROW()-8),"")</f>
        <v/>
      </c>
      <c r="B642">
        <f>IFERROR(INDEX($S$9:$S$809,ROW()-8),"")</f>
        <v/>
      </c>
      <c r="C642">
        <f>IFERROR(INDEX($W$9:$W$809,ROW()-8),"")</f>
        <v/>
      </c>
      <c r="D642" s="26">
        <f>IF(COUNT(B641:B642)=2,LN(B642/B641),"")</f>
        <v/>
      </c>
      <c r="E642" s="27">
        <f>IF(COUNT(C641:C642)=2,(C642-C641)*100,"")</f>
        <v/>
      </c>
      <c r="F642" s="28">
        <f>IF(ROW()-8&lt;CorrWindow,"",IFERROR(CORREL(INDEX($D$9:$D$809,ROW()-8-CorrWindow+1):D642,INDEX($E$9:$E$809,ROW()-8-CorrWindow+1):E642),""))</f>
        <v/>
      </c>
      <c r="G642">
        <f>IF(A642="","",0)</f>
        <v/>
      </c>
    </row>
    <row r="643">
      <c r="A643" s="23">
        <f>IFERROR(INDEX($R$9:$R$809,ROW()-8),"")</f>
        <v/>
      </c>
      <c r="B643">
        <f>IFERROR(INDEX($S$9:$S$809,ROW()-8),"")</f>
        <v/>
      </c>
      <c r="C643">
        <f>IFERROR(INDEX($W$9:$W$809,ROW()-8),"")</f>
        <v/>
      </c>
      <c r="D643" s="26">
        <f>IF(COUNT(B642:B643)=2,LN(B643/B642),"")</f>
        <v/>
      </c>
      <c r="E643" s="27">
        <f>IF(COUNT(C642:C643)=2,(C643-C642)*100,"")</f>
        <v/>
      </c>
      <c r="F643" s="28">
        <f>IF(ROW()-8&lt;CorrWindow,"",IFERROR(CORREL(INDEX($D$9:$D$809,ROW()-8-CorrWindow+1):D643,INDEX($E$9:$E$809,ROW()-8-CorrWindow+1):E643),""))</f>
        <v/>
      </c>
      <c r="G643">
        <f>IF(A643="","",0)</f>
        <v/>
      </c>
    </row>
    <row r="644">
      <c r="A644" s="23">
        <f>IFERROR(INDEX($R$9:$R$809,ROW()-8),"")</f>
        <v/>
      </c>
      <c r="B644">
        <f>IFERROR(INDEX($S$9:$S$809,ROW()-8),"")</f>
        <v/>
      </c>
      <c r="C644">
        <f>IFERROR(INDEX($W$9:$W$809,ROW()-8),"")</f>
        <v/>
      </c>
      <c r="D644" s="26">
        <f>IF(COUNT(B643:B644)=2,LN(B644/B643),"")</f>
        <v/>
      </c>
      <c r="E644" s="27">
        <f>IF(COUNT(C643:C644)=2,(C644-C643)*100,"")</f>
        <v/>
      </c>
      <c r="F644" s="28">
        <f>IF(ROW()-8&lt;CorrWindow,"",IFERROR(CORREL(INDEX($D$9:$D$809,ROW()-8-CorrWindow+1):D644,INDEX($E$9:$E$809,ROW()-8-CorrWindow+1):E644),""))</f>
        <v/>
      </c>
      <c r="G644">
        <f>IF(A644="","",0)</f>
        <v/>
      </c>
    </row>
    <row r="645">
      <c r="A645" s="23">
        <f>IFERROR(INDEX($R$9:$R$809,ROW()-8),"")</f>
        <v/>
      </c>
      <c r="B645">
        <f>IFERROR(INDEX($S$9:$S$809,ROW()-8),"")</f>
        <v/>
      </c>
      <c r="C645">
        <f>IFERROR(INDEX($W$9:$W$809,ROW()-8),"")</f>
        <v/>
      </c>
      <c r="D645" s="26">
        <f>IF(COUNT(B644:B645)=2,LN(B645/B644),"")</f>
        <v/>
      </c>
      <c r="E645" s="27">
        <f>IF(COUNT(C644:C645)=2,(C645-C644)*100,"")</f>
        <v/>
      </c>
      <c r="F645" s="28">
        <f>IF(ROW()-8&lt;CorrWindow,"",IFERROR(CORREL(INDEX($D$9:$D$809,ROW()-8-CorrWindow+1):D645,INDEX($E$9:$E$809,ROW()-8-CorrWindow+1):E645),""))</f>
        <v/>
      </c>
      <c r="G645">
        <f>IF(A645="","",0)</f>
        <v/>
      </c>
    </row>
    <row r="646">
      <c r="A646" s="23">
        <f>IFERROR(INDEX($R$9:$R$809,ROW()-8),"")</f>
        <v/>
      </c>
      <c r="B646">
        <f>IFERROR(INDEX($S$9:$S$809,ROW()-8),"")</f>
        <v/>
      </c>
      <c r="C646">
        <f>IFERROR(INDEX($W$9:$W$809,ROW()-8),"")</f>
        <v/>
      </c>
      <c r="D646" s="26">
        <f>IF(COUNT(B645:B646)=2,LN(B646/B645),"")</f>
        <v/>
      </c>
      <c r="E646" s="27">
        <f>IF(COUNT(C645:C646)=2,(C646-C645)*100,"")</f>
        <v/>
      </c>
      <c r="F646" s="28">
        <f>IF(ROW()-8&lt;CorrWindow,"",IFERROR(CORREL(INDEX($D$9:$D$809,ROW()-8-CorrWindow+1):D646,INDEX($E$9:$E$809,ROW()-8-CorrWindow+1):E646),""))</f>
        <v/>
      </c>
      <c r="G646">
        <f>IF(A646="","",0)</f>
        <v/>
      </c>
    </row>
    <row r="647">
      <c r="A647" s="23">
        <f>IFERROR(INDEX($R$9:$R$809,ROW()-8),"")</f>
        <v/>
      </c>
      <c r="B647">
        <f>IFERROR(INDEX($S$9:$S$809,ROW()-8),"")</f>
        <v/>
      </c>
      <c r="C647">
        <f>IFERROR(INDEX($W$9:$W$809,ROW()-8),"")</f>
        <v/>
      </c>
      <c r="D647" s="26">
        <f>IF(COUNT(B646:B647)=2,LN(B647/B646),"")</f>
        <v/>
      </c>
      <c r="E647" s="27">
        <f>IF(COUNT(C646:C647)=2,(C647-C646)*100,"")</f>
        <v/>
      </c>
      <c r="F647" s="28">
        <f>IF(ROW()-8&lt;CorrWindow,"",IFERROR(CORREL(INDEX($D$9:$D$809,ROW()-8-CorrWindow+1):D647,INDEX($E$9:$E$809,ROW()-8-CorrWindow+1):E647),""))</f>
        <v/>
      </c>
      <c r="G647">
        <f>IF(A647="","",0)</f>
        <v/>
      </c>
    </row>
    <row r="648">
      <c r="A648" s="23">
        <f>IFERROR(INDEX($R$9:$R$809,ROW()-8),"")</f>
        <v/>
      </c>
      <c r="B648">
        <f>IFERROR(INDEX($S$9:$S$809,ROW()-8),"")</f>
        <v/>
      </c>
      <c r="C648">
        <f>IFERROR(INDEX($W$9:$W$809,ROW()-8),"")</f>
        <v/>
      </c>
      <c r="D648" s="26">
        <f>IF(COUNT(B647:B648)=2,LN(B648/B647),"")</f>
        <v/>
      </c>
      <c r="E648" s="27">
        <f>IF(COUNT(C647:C648)=2,(C648-C647)*100,"")</f>
        <v/>
      </c>
      <c r="F648" s="28">
        <f>IF(ROW()-8&lt;CorrWindow,"",IFERROR(CORREL(INDEX($D$9:$D$809,ROW()-8-CorrWindow+1):D648,INDEX($E$9:$E$809,ROW()-8-CorrWindow+1):E648),""))</f>
        <v/>
      </c>
      <c r="G648">
        <f>IF(A648="","",0)</f>
        <v/>
      </c>
    </row>
    <row r="649">
      <c r="A649" s="23">
        <f>IFERROR(INDEX($R$9:$R$809,ROW()-8),"")</f>
        <v/>
      </c>
      <c r="B649">
        <f>IFERROR(INDEX($S$9:$S$809,ROW()-8),"")</f>
        <v/>
      </c>
      <c r="C649">
        <f>IFERROR(INDEX($W$9:$W$809,ROW()-8),"")</f>
        <v/>
      </c>
      <c r="D649" s="26">
        <f>IF(COUNT(B648:B649)=2,LN(B649/B648),"")</f>
        <v/>
      </c>
      <c r="E649" s="27">
        <f>IF(COUNT(C648:C649)=2,(C649-C648)*100,"")</f>
        <v/>
      </c>
      <c r="F649" s="28">
        <f>IF(ROW()-8&lt;CorrWindow,"",IFERROR(CORREL(INDEX($D$9:$D$809,ROW()-8-CorrWindow+1):D649,INDEX($E$9:$E$809,ROW()-8-CorrWindow+1):E649),""))</f>
        <v/>
      </c>
      <c r="G649">
        <f>IF(A649="","",0)</f>
        <v/>
      </c>
    </row>
    <row r="650">
      <c r="A650" s="23">
        <f>IFERROR(INDEX($R$9:$R$809,ROW()-8),"")</f>
        <v/>
      </c>
      <c r="B650">
        <f>IFERROR(INDEX($S$9:$S$809,ROW()-8),"")</f>
        <v/>
      </c>
      <c r="C650">
        <f>IFERROR(INDEX($W$9:$W$809,ROW()-8),"")</f>
        <v/>
      </c>
      <c r="D650" s="26">
        <f>IF(COUNT(B649:B650)=2,LN(B650/B649),"")</f>
        <v/>
      </c>
      <c r="E650" s="27">
        <f>IF(COUNT(C649:C650)=2,(C650-C649)*100,"")</f>
        <v/>
      </c>
      <c r="F650" s="28">
        <f>IF(ROW()-8&lt;CorrWindow,"",IFERROR(CORREL(INDEX($D$9:$D$809,ROW()-8-CorrWindow+1):D650,INDEX($E$9:$E$809,ROW()-8-CorrWindow+1):E650),""))</f>
        <v/>
      </c>
      <c r="G650">
        <f>IF(A650="","",0)</f>
        <v/>
      </c>
    </row>
    <row r="651">
      <c r="A651" s="23">
        <f>IFERROR(INDEX($R$9:$R$809,ROW()-8),"")</f>
        <v/>
      </c>
      <c r="B651">
        <f>IFERROR(INDEX($S$9:$S$809,ROW()-8),"")</f>
        <v/>
      </c>
      <c r="C651">
        <f>IFERROR(INDEX($W$9:$W$809,ROW()-8),"")</f>
        <v/>
      </c>
      <c r="D651" s="26">
        <f>IF(COUNT(B650:B651)=2,LN(B651/B650),"")</f>
        <v/>
      </c>
      <c r="E651" s="27">
        <f>IF(COUNT(C650:C651)=2,(C651-C650)*100,"")</f>
        <v/>
      </c>
      <c r="F651" s="28">
        <f>IF(ROW()-8&lt;CorrWindow,"",IFERROR(CORREL(INDEX($D$9:$D$809,ROW()-8-CorrWindow+1):D651,INDEX($E$9:$E$809,ROW()-8-CorrWindow+1):E651),""))</f>
        <v/>
      </c>
      <c r="G651">
        <f>IF(A651="","",0)</f>
        <v/>
      </c>
    </row>
    <row r="652">
      <c r="A652" s="23">
        <f>IFERROR(INDEX($R$9:$R$809,ROW()-8),"")</f>
        <v/>
      </c>
      <c r="B652">
        <f>IFERROR(INDEX($S$9:$S$809,ROW()-8),"")</f>
        <v/>
      </c>
      <c r="C652">
        <f>IFERROR(INDEX($W$9:$W$809,ROW()-8),"")</f>
        <v/>
      </c>
      <c r="D652" s="26">
        <f>IF(COUNT(B651:B652)=2,LN(B652/B651),"")</f>
        <v/>
      </c>
      <c r="E652" s="27">
        <f>IF(COUNT(C651:C652)=2,(C652-C651)*100,"")</f>
        <v/>
      </c>
      <c r="F652" s="28">
        <f>IF(ROW()-8&lt;CorrWindow,"",IFERROR(CORREL(INDEX($D$9:$D$809,ROW()-8-CorrWindow+1):D652,INDEX($E$9:$E$809,ROW()-8-CorrWindow+1):E652),""))</f>
        <v/>
      </c>
      <c r="G652">
        <f>IF(A652="","",0)</f>
        <v/>
      </c>
    </row>
    <row r="653">
      <c r="A653" s="23">
        <f>IFERROR(INDEX($R$9:$R$809,ROW()-8),"")</f>
        <v/>
      </c>
      <c r="B653">
        <f>IFERROR(INDEX($S$9:$S$809,ROW()-8),"")</f>
        <v/>
      </c>
      <c r="C653">
        <f>IFERROR(INDEX($W$9:$W$809,ROW()-8),"")</f>
        <v/>
      </c>
      <c r="D653" s="26">
        <f>IF(COUNT(B652:B653)=2,LN(B653/B652),"")</f>
        <v/>
      </c>
      <c r="E653" s="27">
        <f>IF(COUNT(C652:C653)=2,(C653-C652)*100,"")</f>
        <v/>
      </c>
      <c r="F653" s="28">
        <f>IF(ROW()-8&lt;CorrWindow,"",IFERROR(CORREL(INDEX($D$9:$D$809,ROW()-8-CorrWindow+1):D653,INDEX($E$9:$E$809,ROW()-8-CorrWindow+1):E653),""))</f>
        <v/>
      </c>
      <c r="G653">
        <f>IF(A653="","",0)</f>
        <v/>
      </c>
    </row>
    <row r="654">
      <c r="A654" s="23">
        <f>IFERROR(INDEX($R$9:$R$809,ROW()-8),"")</f>
        <v/>
      </c>
      <c r="B654">
        <f>IFERROR(INDEX($S$9:$S$809,ROW()-8),"")</f>
        <v/>
      </c>
      <c r="C654">
        <f>IFERROR(INDEX($W$9:$W$809,ROW()-8),"")</f>
        <v/>
      </c>
      <c r="D654" s="26">
        <f>IF(COUNT(B653:B654)=2,LN(B654/B653),"")</f>
        <v/>
      </c>
      <c r="E654" s="27">
        <f>IF(COUNT(C653:C654)=2,(C654-C653)*100,"")</f>
        <v/>
      </c>
      <c r="F654" s="28">
        <f>IF(ROW()-8&lt;CorrWindow,"",IFERROR(CORREL(INDEX($D$9:$D$809,ROW()-8-CorrWindow+1):D654,INDEX($E$9:$E$809,ROW()-8-CorrWindow+1):E654),""))</f>
        <v/>
      </c>
      <c r="G654">
        <f>IF(A654="","",0)</f>
        <v/>
      </c>
    </row>
    <row r="655">
      <c r="A655" s="23">
        <f>IFERROR(INDEX($R$9:$R$809,ROW()-8),"")</f>
        <v/>
      </c>
      <c r="B655">
        <f>IFERROR(INDEX($S$9:$S$809,ROW()-8),"")</f>
        <v/>
      </c>
      <c r="C655">
        <f>IFERROR(INDEX($W$9:$W$809,ROW()-8),"")</f>
        <v/>
      </c>
      <c r="D655" s="26">
        <f>IF(COUNT(B654:B655)=2,LN(B655/B654),"")</f>
        <v/>
      </c>
      <c r="E655" s="27">
        <f>IF(COUNT(C654:C655)=2,(C655-C654)*100,"")</f>
        <v/>
      </c>
      <c r="F655" s="28">
        <f>IF(ROW()-8&lt;CorrWindow,"",IFERROR(CORREL(INDEX($D$9:$D$809,ROW()-8-CorrWindow+1):D655,INDEX($E$9:$E$809,ROW()-8-CorrWindow+1):E655),""))</f>
        <v/>
      </c>
      <c r="G655">
        <f>IF(A655="","",0)</f>
        <v/>
      </c>
    </row>
    <row r="656">
      <c r="A656" s="23">
        <f>IFERROR(INDEX($R$9:$R$809,ROW()-8),"")</f>
        <v/>
      </c>
      <c r="B656">
        <f>IFERROR(INDEX($S$9:$S$809,ROW()-8),"")</f>
        <v/>
      </c>
      <c r="C656">
        <f>IFERROR(INDEX($W$9:$W$809,ROW()-8),"")</f>
        <v/>
      </c>
      <c r="D656" s="26">
        <f>IF(COUNT(B655:B656)=2,LN(B656/B655),"")</f>
        <v/>
      </c>
      <c r="E656" s="27">
        <f>IF(COUNT(C655:C656)=2,(C656-C655)*100,"")</f>
        <v/>
      </c>
      <c r="F656" s="28">
        <f>IF(ROW()-8&lt;CorrWindow,"",IFERROR(CORREL(INDEX($D$9:$D$809,ROW()-8-CorrWindow+1):D656,INDEX($E$9:$E$809,ROW()-8-CorrWindow+1):E656),""))</f>
        <v/>
      </c>
      <c r="G656">
        <f>IF(A656="","",0)</f>
        <v/>
      </c>
    </row>
    <row r="657">
      <c r="A657" s="23">
        <f>IFERROR(INDEX($R$9:$R$809,ROW()-8),"")</f>
        <v/>
      </c>
      <c r="B657">
        <f>IFERROR(INDEX($S$9:$S$809,ROW()-8),"")</f>
        <v/>
      </c>
      <c r="C657">
        <f>IFERROR(INDEX($W$9:$W$809,ROW()-8),"")</f>
        <v/>
      </c>
      <c r="D657" s="26">
        <f>IF(COUNT(B656:B657)=2,LN(B657/B656),"")</f>
        <v/>
      </c>
      <c r="E657" s="27">
        <f>IF(COUNT(C656:C657)=2,(C657-C656)*100,"")</f>
        <v/>
      </c>
      <c r="F657" s="28">
        <f>IF(ROW()-8&lt;CorrWindow,"",IFERROR(CORREL(INDEX($D$9:$D$809,ROW()-8-CorrWindow+1):D657,INDEX($E$9:$E$809,ROW()-8-CorrWindow+1):E657),""))</f>
        <v/>
      </c>
      <c r="G657">
        <f>IF(A657="","",0)</f>
        <v/>
      </c>
    </row>
    <row r="658">
      <c r="A658" s="23">
        <f>IFERROR(INDEX($R$9:$R$809,ROW()-8),"")</f>
        <v/>
      </c>
      <c r="B658">
        <f>IFERROR(INDEX($S$9:$S$809,ROW()-8),"")</f>
        <v/>
      </c>
      <c r="C658">
        <f>IFERROR(INDEX($W$9:$W$809,ROW()-8),"")</f>
        <v/>
      </c>
      <c r="D658" s="26">
        <f>IF(COUNT(B657:B658)=2,LN(B658/B657),"")</f>
        <v/>
      </c>
      <c r="E658" s="27">
        <f>IF(COUNT(C657:C658)=2,(C658-C657)*100,"")</f>
        <v/>
      </c>
      <c r="F658" s="28">
        <f>IF(ROW()-8&lt;CorrWindow,"",IFERROR(CORREL(INDEX($D$9:$D$809,ROW()-8-CorrWindow+1):D658,INDEX($E$9:$E$809,ROW()-8-CorrWindow+1):E658),""))</f>
        <v/>
      </c>
      <c r="G658">
        <f>IF(A658="","",0)</f>
        <v/>
      </c>
    </row>
    <row r="659">
      <c r="A659" s="23">
        <f>IFERROR(INDEX($R$9:$R$809,ROW()-8),"")</f>
        <v/>
      </c>
      <c r="B659">
        <f>IFERROR(INDEX($S$9:$S$809,ROW()-8),"")</f>
        <v/>
      </c>
      <c r="C659">
        <f>IFERROR(INDEX($W$9:$W$809,ROW()-8),"")</f>
        <v/>
      </c>
      <c r="D659" s="26">
        <f>IF(COUNT(B658:B659)=2,LN(B659/B658),"")</f>
        <v/>
      </c>
      <c r="E659" s="27">
        <f>IF(COUNT(C658:C659)=2,(C659-C658)*100,"")</f>
        <v/>
      </c>
      <c r="F659" s="28">
        <f>IF(ROW()-8&lt;CorrWindow,"",IFERROR(CORREL(INDEX($D$9:$D$809,ROW()-8-CorrWindow+1):D659,INDEX($E$9:$E$809,ROW()-8-CorrWindow+1):E659),""))</f>
        <v/>
      </c>
      <c r="G659">
        <f>IF(A659="","",0)</f>
        <v/>
      </c>
    </row>
    <row r="660">
      <c r="A660" s="23">
        <f>IFERROR(INDEX($R$9:$R$809,ROW()-8),"")</f>
        <v/>
      </c>
      <c r="B660">
        <f>IFERROR(INDEX($S$9:$S$809,ROW()-8),"")</f>
        <v/>
      </c>
      <c r="C660">
        <f>IFERROR(INDEX($W$9:$W$809,ROW()-8),"")</f>
        <v/>
      </c>
      <c r="D660" s="26">
        <f>IF(COUNT(B659:B660)=2,LN(B660/B659),"")</f>
        <v/>
      </c>
      <c r="E660" s="27">
        <f>IF(COUNT(C659:C660)=2,(C660-C659)*100,"")</f>
        <v/>
      </c>
      <c r="F660" s="28">
        <f>IF(ROW()-8&lt;CorrWindow,"",IFERROR(CORREL(INDEX($D$9:$D$809,ROW()-8-CorrWindow+1):D660,INDEX($E$9:$E$809,ROW()-8-CorrWindow+1):E660),""))</f>
        <v/>
      </c>
      <c r="G660">
        <f>IF(A660="","",0)</f>
        <v/>
      </c>
    </row>
    <row r="661">
      <c r="A661" s="23">
        <f>IFERROR(INDEX($R$9:$R$809,ROW()-8),"")</f>
        <v/>
      </c>
      <c r="B661">
        <f>IFERROR(INDEX($S$9:$S$809,ROW()-8),"")</f>
        <v/>
      </c>
      <c r="C661">
        <f>IFERROR(INDEX($W$9:$W$809,ROW()-8),"")</f>
        <v/>
      </c>
      <c r="D661" s="26">
        <f>IF(COUNT(B660:B661)=2,LN(B661/B660),"")</f>
        <v/>
      </c>
      <c r="E661" s="27">
        <f>IF(COUNT(C660:C661)=2,(C661-C660)*100,"")</f>
        <v/>
      </c>
      <c r="F661" s="28">
        <f>IF(ROW()-8&lt;CorrWindow,"",IFERROR(CORREL(INDEX($D$9:$D$809,ROW()-8-CorrWindow+1):D661,INDEX($E$9:$E$809,ROW()-8-CorrWindow+1):E661),""))</f>
        <v/>
      </c>
      <c r="G661">
        <f>IF(A661="","",0)</f>
        <v/>
      </c>
    </row>
    <row r="662">
      <c r="A662" s="23">
        <f>IFERROR(INDEX($R$9:$R$809,ROW()-8),"")</f>
        <v/>
      </c>
      <c r="B662">
        <f>IFERROR(INDEX($S$9:$S$809,ROW()-8),"")</f>
        <v/>
      </c>
      <c r="C662">
        <f>IFERROR(INDEX($W$9:$W$809,ROW()-8),"")</f>
        <v/>
      </c>
      <c r="D662" s="26">
        <f>IF(COUNT(B661:B662)=2,LN(B662/B661),"")</f>
        <v/>
      </c>
      <c r="E662" s="27">
        <f>IF(COUNT(C661:C662)=2,(C662-C661)*100,"")</f>
        <v/>
      </c>
      <c r="F662" s="28">
        <f>IF(ROW()-8&lt;CorrWindow,"",IFERROR(CORREL(INDEX($D$9:$D$809,ROW()-8-CorrWindow+1):D662,INDEX($E$9:$E$809,ROW()-8-CorrWindow+1):E662),""))</f>
        <v/>
      </c>
      <c r="G662">
        <f>IF(A662="","",0)</f>
        <v/>
      </c>
    </row>
    <row r="663">
      <c r="A663" s="23">
        <f>IFERROR(INDEX($R$9:$R$809,ROW()-8),"")</f>
        <v/>
      </c>
      <c r="B663">
        <f>IFERROR(INDEX($S$9:$S$809,ROW()-8),"")</f>
        <v/>
      </c>
      <c r="C663">
        <f>IFERROR(INDEX($W$9:$W$809,ROW()-8),"")</f>
        <v/>
      </c>
      <c r="D663" s="26">
        <f>IF(COUNT(B662:B663)=2,LN(B663/B662),"")</f>
        <v/>
      </c>
      <c r="E663" s="27">
        <f>IF(COUNT(C662:C663)=2,(C663-C662)*100,"")</f>
        <v/>
      </c>
      <c r="F663" s="28">
        <f>IF(ROW()-8&lt;CorrWindow,"",IFERROR(CORREL(INDEX($D$9:$D$809,ROW()-8-CorrWindow+1):D663,INDEX($E$9:$E$809,ROW()-8-CorrWindow+1):E663),""))</f>
        <v/>
      </c>
      <c r="G663">
        <f>IF(A663="","",0)</f>
        <v/>
      </c>
    </row>
    <row r="664">
      <c r="A664" s="23">
        <f>IFERROR(INDEX($R$9:$R$809,ROW()-8),"")</f>
        <v/>
      </c>
      <c r="B664">
        <f>IFERROR(INDEX($S$9:$S$809,ROW()-8),"")</f>
        <v/>
      </c>
      <c r="C664">
        <f>IFERROR(INDEX($W$9:$W$809,ROW()-8),"")</f>
        <v/>
      </c>
      <c r="D664" s="26">
        <f>IF(COUNT(B663:B664)=2,LN(B664/B663),"")</f>
        <v/>
      </c>
      <c r="E664" s="27">
        <f>IF(COUNT(C663:C664)=2,(C664-C663)*100,"")</f>
        <v/>
      </c>
      <c r="F664" s="28">
        <f>IF(ROW()-8&lt;CorrWindow,"",IFERROR(CORREL(INDEX($D$9:$D$809,ROW()-8-CorrWindow+1):D664,INDEX($E$9:$E$809,ROW()-8-CorrWindow+1):E664),""))</f>
        <v/>
      </c>
      <c r="G664">
        <f>IF(A664="","",0)</f>
        <v/>
      </c>
    </row>
    <row r="665">
      <c r="A665" s="23">
        <f>IFERROR(INDEX($R$9:$R$809,ROW()-8),"")</f>
        <v/>
      </c>
      <c r="B665">
        <f>IFERROR(INDEX($S$9:$S$809,ROW()-8),"")</f>
        <v/>
      </c>
      <c r="C665">
        <f>IFERROR(INDEX($W$9:$W$809,ROW()-8),"")</f>
        <v/>
      </c>
      <c r="D665" s="26">
        <f>IF(COUNT(B664:B665)=2,LN(B665/B664),"")</f>
        <v/>
      </c>
      <c r="E665" s="27">
        <f>IF(COUNT(C664:C665)=2,(C665-C664)*100,"")</f>
        <v/>
      </c>
      <c r="F665" s="28">
        <f>IF(ROW()-8&lt;CorrWindow,"",IFERROR(CORREL(INDEX($D$9:$D$809,ROW()-8-CorrWindow+1):D665,INDEX($E$9:$E$809,ROW()-8-CorrWindow+1):E665),""))</f>
        <v/>
      </c>
      <c r="G665">
        <f>IF(A665="","",0)</f>
        <v/>
      </c>
    </row>
    <row r="666">
      <c r="A666" s="23">
        <f>IFERROR(INDEX($R$9:$R$809,ROW()-8),"")</f>
        <v/>
      </c>
      <c r="B666">
        <f>IFERROR(INDEX($S$9:$S$809,ROW()-8),"")</f>
        <v/>
      </c>
      <c r="C666">
        <f>IFERROR(INDEX($W$9:$W$809,ROW()-8),"")</f>
        <v/>
      </c>
      <c r="D666" s="26">
        <f>IF(COUNT(B665:B666)=2,LN(B666/B665),"")</f>
        <v/>
      </c>
      <c r="E666" s="27">
        <f>IF(COUNT(C665:C666)=2,(C666-C665)*100,"")</f>
        <v/>
      </c>
      <c r="F666" s="28">
        <f>IF(ROW()-8&lt;CorrWindow,"",IFERROR(CORREL(INDEX($D$9:$D$809,ROW()-8-CorrWindow+1):D666,INDEX($E$9:$E$809,ROW()-8-CorrWindow+1):E666),""))</f>
        <v/>
      </c>
      <c r="G666">
        <f>IF(A666="","",0)</f>
        <v/>
      </c>
    </row>
    <row r="667">
      <c r="A667" s="23">
        <f>IFERROR(INDEX($R$9:$R$809,ROW()-8),"")</f>
        <v/>
      </c>
      <c r="B667">
        <f>IFERROR(INDEX($S$9:$S$809,ROW()-8),"")</f>
        <v/>
      </c>
      <c r="C667">
        <f>IFERROR(INDEX($W$9:$W$809,ROW()-8),"")</f>
        <v/>
      </c>
      <c r="D667" s="26">
        <f>IF(COUNT(B666:B667)=2,LN(B667/B666),"")</f>
        <v/>
      </c>
      <c r="E667" s="27">
        <f>IF(COUNT(C666:C667)=2,(C667-C666)*100,"")</f>
        <v/>
      </c>
      <c r="F667" s="28">
        <f>IF(ROW()-8&lt;CorrWindow,"",IFERROR(CORREL(INDEX($D$9:$D$809,ROW()-8-CorrWindow+1):D667,INDEX($E$9:$E$809,ROW()-8-CorrWindow+1):E667),""))</f>
        <v/>
      </c>
      <c r="G667">
        <f>IF(A667="","",0)</f>
        <v/>
      </c>
    </row>
    <row r="668">
      <c r="A668" s="23">
        <f>IFERROR(INDEX($R$9:$R$809,ROW()-8),"")</f>
        <v/>
      </c>
      <c r="B668">
        <f>IFERROR(INDEX($S$9:$S$809,ROW()-8),"")</f>
        <v/>
      </c>
      <c r="C668">
        <f>IFERROR(INDEX($W$9:$W$809,ROW()-8),"")</f>
        <v/>
      </c>
      <c r="D668" s="26">
        <f>IF(COUNT(B667:B668)=2,LN(B668/B667),"")</f>
        <v/>
      </c>
      <c r="E668" s="27">
        <f>IF(COUNT(C667:C668)=2,(C668-C667)*100,"")</f>
        <v/>
      </c>
      <c r="F668" s="28">
        <f>IF(ROW()-8&lt;CorrWindow,"",IFERROR(CORREL(INDEX($D$9:$D$809,ROW()-8-CorrWindow+1):D668,INDEX($E$9:$E$809,ROW()-8-CorrWindow+1):E668),""))</f>
        <v/>
      </c>
      <c r="G668">
        <f>IF(A668="","",0)</f>
        <v/>
      </c>
    </row>
    <row r="669">
      <c r="A669" s="23">
        <f>IFERROR(INDEX($R$9:$R$809,ROW()-8),"")</f>
        <v/>
      </c>
      <c r="B669">
        <f>IFERROR(INDEX($S$9:$S$809,ROW()-8),"")</f>
        <v/>
      </c>
      <c r="C669">
        <f>IFERROR(INDEX($W$9:$W$809,ROW()-8),"")</f>
        <v/>
      </c>
      <c r="D669" s="26">
        <f>IF(COUNT(B668:B669)=2,LN(B669/B668),"")</f>
        <v/>
      </c>
      <c r="E669" s="27">
        <f>IF(COUNT(C668:C669)=2,(C669-C668)*100,"")</f>
        <v/>
      </c>
      <c r="F669" s="28">
        <f>IF(ROW()-8&lt;CorrWindow,"",IFERROR(CORREL(INDEX($D$9:$D$809,ROW()-8-CorrWindow+1):D669,INDEX($E$9:$E$809,ROW()-8-CorrWindow+1):E669),""))</f>
        <v/>
      </c>
      <c r="G669">
        <f>IF(A669="","",0)</f>
        <v/>
      </c>
    </row>
    <row r="670">
      <c r="A670" s="23">
        <f>IFERROR(INDEX($R$9:$R$809,ROW()-8),"")</f>
        <v/>
      </c>
      <c r="B670">
        <f>IFERROR(INDEX($S$9:$S$809,ROW()-8),"")</f>
        <v/>
      </c>
      <c r="C670">
        <f>IFERROR(INDEX($W$9:$W$809,ROW()-8),"")</f>
        <v/>
      </c>
      <c r="D670" s="26">
        <f>IF(COUNT(B669:B670)=2,LN(B670/B669),"")</f>
        <v/>
      </c>
      <c r="E670" s="27">
        <f>IF(COUNT(C669:C670)=2,(C670-C669)*100,"")</f>
        <v/>
      </c>
      <c r="F670" s="28">
        <f>IF(ROW()-8&lt;CorrWindow,"",IFERROR(CORREL(INDEX($D$9:$D$809,ROW()-8-CorrWindow+1):D670,INDEX($E$9:$E$809,ROW()-8-CorrWindow+1):E670),""))</f>
        <v/>
      </c>
      <c r="G670">
        <f>IF(A670="","",0)</f>
        <v/>
      </c>
    </row>
    <row r="671">
      <c r="A671" s="23">
        <f>IFERROR(INDEX($R$9:$R$809,ROW()-8),"")</f>
        <v/>
      </c>
      <c r="B671">
        <f>IFERROR(INDEX($S$9:$S$809,ROW()-8),"")</f>
        <v/>
      </c>
      <c r="C671">
        <f>IFERROR(INDEX($W$9:$W$809,ROW()-8),"")</f>
        <v/>
      </c>
      <c r="D671" s="26">
        <f>IF(COUNT(B670:B671)=2,LN(B671/B670),"")</f>
        <v/>
      </c>
      <c r="E671" s="27">
        <f>IF(COUNT(C670:C671)=2,(C671-C670)*100,"")</f>
        <v/>
      </c>
      <c r="F671" s="28">
        <f>IF(ROW()-8&lt;CorrWindow,"",IFERROR(CORREL(INDEX($D$9:$D$809,ROW()-8-CorrWindow+1):D671,INDEX($E$9:$E$809,ROW()-8-CorrWindow+1):E671),""))</f>
        <v/>
      </c>
      <c r="G671">
        <f>IF(A671="","",0)</f>
        <v/>
      </c>
    </row>
    <row r="672">
      <c r="A672" s="23">
        <f>IFERROR(INDEX($R$9:$R$809,ROW()-8),"")</f>
        <v/>
      </c>
      <c r="B672">
        <f>IFERROR(INDEX($S$9:$S$809,ROW()-8),"")</f>
        <v/>
      </c>
      <c r="C672">
        <f>IFERROR(INDEX($W$9:$W$809,ROW()-8),"")</f>
        <v/>
      </c>
      <c r="D672" s="26">
        <f>IF(COUNT(B671:B672)=2,LN(B672/B671),"")</f>
        <v/>
      </c>
      <c r="E672" s="27">
        <f>IF(COUNT(C671:C672)=2,(C672-C671)*100,"")</f>
        <v/>
      </c>
      <c r="F672" s="28">
        <f>IF(ROW()-8&lt;CorrWindow,"",IFERROR(CORREL(INDEX($D$9:$D$809,ROW()-8-CorrWindow+1):D672,INDEX($E$9:$E$809,ROW()-8-CorrWindow+1):E672),""))</f>
        <v/>
      </c>
      <c r="G672">
        <f>IF(A672="","",0)</f>
        <v/>
      </c>
    </row>
    <row r="673">
      <c r="A673" s="23">
        <f>IFERROR(INDEX($R$9:$R$809,ROW()-8),"")</f>
        <v/>
      </c>
      <c r="B673">
        <f>IFERROR(INDEX($S$9:$S$809,ROW()-8),"")</f>
        <v/>
      </c>
      <c r="C673">
        <f>IFERROR(INDEX($W$9:$W$809,ROW()-8),"")</f>
        <v/>
      </c>
      <c r="D673" s="26">
        <f>IF(COUNT(B672:B673)=2,LN(B673/B672),"")</f>
        <v/>
      </c>
      <c r="E673" s="27">
        <f>IF(COUNT(C672:C673)=2,(C673-C672)*100,"")</f>
        <v/>
      </c>
      <c r="F673" s="28">
        <f>IF(ROW()-8&lt;CorrWindow,"",IFERROR(CORREL(INDEX($D$9:$D$809,ROW()-8-CorrWindow+1):D673,INDEX($E$9:$E$809,ROW()-8-CorrWindow+1):E673),""))</f>
        <v/>
      </c>
      <c r="G673">
        <f>IF(A673="","",0)</f>
        <v/>
      </c>
    </row>
    <row r="674">
      <c r="A674" s="23">
        <f>IFERROR(INDEX($R$9:$R$809,ROW()-8),"")</f>
        <v/>
      </c>
      <c r="B674">
        <f>IFERROR(INDEX($S$9:$S$809,ROW()-8),"")</f>
        <v/>
      </c>
      <c r="C674">
        <f>IFERROR(INDEX($W$9:$W$809,ROW()-8),"")</f>
        <v/>
      </c>
      <c r="D674" s="26">
        <f>IF(COUNT(B673:B674)=2,LN(B674/B673),"")</f>
        <v/>
      </c>
      <c r="E674" s="27">
        <f>IF(COUNT(C673:C674)=2,(C674-C673)*100,"")</f>
        <v/>
      </c>
      <c r="F674" s="28">
        <f>IF(ROW()-8&lt;CorrWindow,"",IFERROR(CORREL(INDEX($D$9:$D$809,ROW()-8-CorrWindow+1):D674,INDEX($E$9:$E$809,ROW()-8-CorrWindow+1):E674),""))</f>
        <v/>
      </c>
      <c r="G674">
        <f>IF(A674="","",0)</f>
        <v/>
      </c>
    </row>
    <row r="675">
      <c r="A675" s="23">
        <f>IFERROR(INDEX($R$9:$R$809,ROW()-8),"")</f>
        <v/>
      </c>
      <c r="B675">
        <f>IFERROR(INDEX($S$9:$S$809,ROW()-8),"")</f>
        <v/>
      </c>
      <c r="C675">
        <f>IFERROR(INDEX($W$9:$W$809,ROW()-8),"")</f>
        <v/>
      </c>
      <c r="D675" s="26">
        <f>IF(COUNT(B674:B675)=2,LN(B675/B674),"")</f>
        <v/>
      </c>
      <c r="E675" s="27">
        <f>IF(COUNT(C674:C675)=2,(C675-C674)*100,"")</f>
        <v/>
      </c>
      <c r="F675" s="28">
        <f>IF(ROW()-8&lt;CorrWindow,"",IFERROR(CORREL(INDEX($D$9:$D$809,ROW()-8-CorrWindow+1):D675,INDEX($E$9:$E$809,ROW()-8-CorrWindow+1):E675),""))</f>
        <v/>
      </c>
      <c r="G675">
        <f>IF(A675="","",0)</f>
        <v/>
      </c>
    </row>
    <row r="676">
      <c r="A676" s="23">
        <f>IFERROR(INDEX($R$9:$R$809,ROW()-8),"")</f>
        <v/>
      </c>
      <c r="B676">
        <f>IFERROR(INDEX($S$9:$S$809,ROW()-8),"")</f>
        <v/>
      </c>
      <c r="C676">
        <f>IFERROR(INDEX($W$9:$W$809,ROW()-8),"")</f>
        <v/>
      </c>
      <c r="D676" s="26">
        <f>IF(COUNT(B675:B676)=2,LN(B676/B675),"")</f>
        <v/>
      </c>
      <c r="E676" s="27">
        <f>IF(COUNT(C675:C676)=2,(C676-C675)*100,"")</f>
        <v/>
      </c>
      <c r="F676" s="28">
        <f>IF(ROW()-8&lt;CorrWindow,"",IFERROR(CORREL(INDEX($D$9:$D$809,ROW()-8-CorrWindow+1):D676,INDEX($E$9:$E$809,ROW()-8-CorrWindow+1):E676),""))</f>
        <v/>
      </c>
      <c r="G676">
        <f>IF(A676="","",0)</f>
        <v/>
      </c>
    </row>
    <row r="677">
      <c r="A677" s="23">
        <f>IFERROR(INDEX($R$9:$R$809,ROW()-8),"")</f>
        <v/>
      </c>
      <c r="B677">
        <f>IFERROR(INDEX($S$9:$S$809,ROW()-8),"")</f>
        <v/>
      </c>
      <c r="C677">
        <f>IFERROR(INDEX($W$9:$W$809,ROW()-8),"")</f>
        <v/>
      </c>
      <c r="D677" s="26">
        <f>IF(COUNT(B676:B677)=2,LN(B677/B676),"")</f>
        <v/>
      </c>
      <c r="E677" s="27">
        <f>IF(COUNT(C676:C677)=2,(C677-C676)*100,"")</f>
        <v/>
      </c>
      <c r="F677" s="28">
        <f>IF(ROW()-8&lt;CorrWindow,"",IFERROR(CORREL(INDEX($D$9:$D$809,ROW()-8-CorrWindow+1):D677,INDEX($E$9:$E$809,ROW()-8-CorrWindow+1):E677),""))</f>
        <v/>
      </c>
      <c r="G677">
        <f>IF(A677="","",0)</f>
        <v/>
      </c>
    </row>
    <row r="678">
      <c r="A678" s="23">
        <f>IFERROR(INDEX($R$9:$R$809,ROW()-8),"")</f>
        <v/>
      </c>
      <c r="B678">
        <f>IFERROR(INDEX($S$9:$S$809,ROW()-8),"")</f>
        <v/>
      </c>
      <c r="C678">
        <f>IFERROR(INDEX($W$9:$W$809,ROW()-8),"")</f>
        <v/>
      </c>
      <c r="D678" s="26">
        <f>IF(COUNT(B677:B678)=2,LN(B678/B677),"")</f>
        <v/>
      </c>
      <c r="E678" s="27">
        <f>IF(COUNT(C677:C678)=2,(C678-C677)*100,"")</f>
        <v/>
      </c>
      <c r="F678" s="28">
        <f>IF(ROW()-8&lt;CorrWindow,"",IFERROR(CORREL(INDEX($D$9:$D$809,ROW()-8-CorrWindow+1):D678,INDEX($E$9:$E$809,ROW()-8-CorrWindow+1):E678),""))</f>
        <v/>
      </c>
      <c r="G678">
        <f>IF(A678="","",0)</f>
        <v/>
      </c>
    </row>
    <row r="679">
      <c r="A679" s="23">
        <f>IFERROR(INDEX($R$9:$R$809,ROW()-8),"")</f>
        <v/>
      </c>
      <c r="B679">
        <f>IFERROR(INDEX($S$9:$S$809,ROW()-8),"")</f>
        <v/>
      </c>
      <c r="C679">
        <f>IFERROR(INDEX($W$9:$W$809,ROW()-8),"")</f>
        <v/>
      </c>
      <c r="D679" s="26">
        <f>IF(COUNT(B678:B679)=2,LN(B679/B678),"")</f>
        <v/>
      </c>
      <c r="E679" s="27">
        <f>IF(COUNT(C678:C679)=2,(C679-C678)*100,"")</f>
        <v/>
      </c>
      <c r="F679" s="28">
        <f>IF(ROW()-8&lt;CorrWindow,"",IFERROR(CORREL(INDEX($D$9:$D$809,ROW()-8-CorrWindow+1):D679,INDEX($E$9:$E$809,ROW()-8-CorrWindow+1):E679),""))</f>
        <v/>
      </c>
      <c r="G679">
        <f>IF(A679="","",0)</f>
        <v/>
      </c>
    </row>
    <row r="680">
      <c r="A680" s="23">
        <f>IFERROR(INDEX($R$9:$R$809,ROW()-8),"")</f>
        <v/>
      </c>
      <c r="B680">
        <f>IFERROR(INDEX($S$9:$S$809,ROW()-8),"")</f>
        <v/>
      </c>
      <c r="C680">
        <f>IFERROR(INDEX($W$9:$W$809,ROW()-8),"")</f>
        <v/>
      </c>
      <c r="D680" s="26">
        <f>IF(COUNT(B679:B680)=2,LN(B680/B679),"")</f>
        <v/>
      </c>
      <c r="E680" s="27">
        <f>IF(COUNT(C679:C680)=2,(C680-C679)*100,"")</f>
        <v/>
      </c>
      <c r="F680" s="28">
        <f>IF(ROW()-8&lt;CorrWindow,"",IFERROR(CORREL(INDEX($D$9:$D$809,ROW()-8-CorrWindow+1):D680,INDEX($E$9:$E$809,ROW()-8-CorrWindow+1):E680),""))</f>
        <v/>
      </c>
      <c r="G680">
        <f>IF(A680="","",0)</f>
        <v/>
      </c>
    </row>
    <row r="681">
      <c r="A681" s="23">
        <f>IFERROR(INDEX($R$9:$R$809,ROW()-8),"")</f>
        <v/>
      </c>
      <c r="B681">
        <f>IFERROR(INDEX($S$9:$S$809,ROW()-8),"")</f>
        <v/>
      </c>
      <c r="C681">
        <f>IFERROR(INDEX($W$9:$W$809,ROW()-8),"")</f>
        <v/>
      </c>
      <c r="D681" s="26">
        <f>IF(COUNT(B680:B681)=2,LN(B681/B680),"")</f>
        <v/>
      </c>
      <c r="E681" s="27">
        <f>IF(COUNT(C680:C681)=2,(C681-C680)*100,"")</f>
        <v/>
      </c>
      <c r="F681" s="28">
        <f>IF(ROW()-8&lt;CorrWindow,"",IFERROR(CORREL(INDEX($D$9:$D$809,ROW()-8-CorrWindow+1):D681,INDEX($E$9:$E$809,ROW()-8-CorrWindow+1):E681),""))</f>
        <v/>
      </c>
      <c r="G681">
        <f>IF(A681="","",0)</f>
        <v/>
      </c>
    </row>
    <row r="682">
      <c r="A682" s="23">
        <f>IFERROR(INDEX($R$9:$R$809,ROW()-8),"")</f>
        <v/>
      </c>
      <c r="B682">
        <f>IFERROR(INDEX($S$9:$S$809,ROW()-8),"")</f>
        <v/>
      </c>
      <c r="C682">
        <f>IFERROR(INDEX($W$9:$W$809,ROW()-8),"")</f>
        <v/>
      </c>
      <c r="D682" s="26">
        <f>IF(COUNT(B681:B682)=2,LN(B682/B681),"")</f>
        <v/>
      </c>
      <c r="E682" s="27">
        <f>IF(COUNT(C681:C682)=2,(C682-C681)*100,"")</f>
        <v/>
      </c>
      <c r="F682" s="28">
        <f>IF(ROW()-8&lt;CorrWindow,"",IFERROR(CORREL(INDEX($D$9:$D$809,ROW()-8-CorrWindow+1):D682,INDEX($E$9:$E$809,ROW()-8-CorrWindow+1):E682),""))</f>
        <v/>
      </c>
      <c r="G682">
        <f>IF(A682="","",0)</f>
        <v/>
      </c>
    </row>
    <row r="683">
      <c r="A683" s="23">
        <f>IFERROR(INDEX($R$9:$R$809,ROW()-8),"")</f>
        <v/>
      </c>
      <c r="B683">
        <f>IFERROR(INDEX($S$9:$S$809,ROW()-8),"")</f>
        <v/>
      </c>
      <c r="C683">
        <f>IFERROR(INDEX($W$9:$W$809,ROW()-8),"")</f>
        <v/>
      </c>
      <c r="D683" s="26">
        <f>IF(COUNT(B682:B683)=2,LN(B683/B682),"")</f>
        <v/>
      </c>
      <c r="E683" s="27">
        <f>IF(COUNT(C682:C683)=2,(C683-C682)*100,"")</f>
        <v/>
      </c>
      <c r="F683" s="28">
        <f>IF(ROW()-8&lt;CorrWindow,"",IFERROR(CORREL(INDEX($D$9:$D$809,ROW()-8-CorrWindow+1):D683,INDEX($E$9:$E$809,ROW()-8-CorrWindow+1):E683),""))</f>
        <v/>
      </c>
      <c r="G683">
        <f>IF(A683="","",0)</f>
        <v/>
      </c>
    </row>
    <row r="684">
      <c r="A684" s="23">
        <f>IFERROR(INDEX($R$9:$R$809,ROW()-8),"")</f>
        <v/>
      </c>
      <c r="B684">
        <f>IFERROR(INDEX($S$9:$S$809,ROW()-8),"")</f>
        <v/>
      </c>
      <c r="C684">
        <f>IFERROR(INDEX($W$9:$W$809,ROW()-8),"")</f>
        <v/>
      </c>
      <c r="D684" s="26">
        <f>IF(COUNT(B683:B684)=2,LN(B684/B683),"")</f>
        <v/>
      </c>
      <c r="E684" s="27">
        <f>IF(COUNT(C683:C684)=2,(C684-C683)*100,"")</f>
        <v/>
      </c>
      <c r="F684" s="28">
        <f>IF(ROW()-8&lt;CorrWindow,"",IFERROR(CORREL(INDEX($D$9:$D$809,ROW()-8-CorrWindow+1):D684,INDEX($E$9:$E$809,ROW()-8-CorrWindow+1):E684),""))</f>
        <v/>
      </c>
      <c r="G684">
        <f>IF(A684="","",0)</f>
        <v/>
      </c>
    </row>
    <row r="685">
      <c r="A685" s="23">
        <f>IFERROR(INDEX($R$9:$R$809,ROW()-8),"")</f>
        <v/>
      </c>
      <c r="B685">
        <f>IFERROR(INDEX($S$9:$S$809,ROW()-8),"")</f>
        <v/>
      </c>
      <c r="C685">
        <f>IFERROR(INDEX($W$9:$W$809,ROW()-8),"")</f>
        <v/>
      </c>
      <c r="D685" s="26">
        <f>IF(COUNT(B684:B685)=2,LN(B685/B684),"")</f>
        <v/>
      </c>
      <c r="E685" s="27">
        <f>IF(COUNT(C684:C685)=2,(C685-C684)*100,"")</f>
        <v/>
      </c>
      <c r="F685" s="28">
        <f>IF(ROW()-8&lt;CorrWindow,"",IFERROR(CORREL(INDEX($D$9:$D$809,ROW()-8-CorrWindow+1):D685,INDEX($E$9:$E$809,ROW()-8-CorrWindow+1):E685),""))</f>
        <v/>
      </c>
      <c r="G685">
        <f>IF(A685="","",0)</f>
        <v/>
      </c>
    </row>
    <row r="686">
      <c r="A686" s="23">
        <f>IFERROR(INDEX($R$9:$R$809,ROW()-8),"")</f>
        <v/>
      </c>
      <c r="B686">
        <f>IFERROR(INDEX($S$9:$S$809,ROW()-8),"")</f>
        <v/>
      </c>
      <c r="C686">
        <f>IFERROR(INDEX($W$9:$W$809,ROW()-8),"")</f>
        <v/>
      </c>
      <c r="D686" s="26">
        <f>IF(COUNT(B685:B686)=2,LN(B686/B685),"")</f>
        <v/>
      </c>
      <c r="E686" s="27">
        <f>IF(COUNT(C685:C686)=2,(C686-C685)*100,"")</f>
        <v/>
      </c>
      <c r="F686" s="28">
        <f>IF(ROW()-8&lt;CorrWindow,"",IFERROR(CORREL(INDEX($D$9:$D$809,ROW()-8-CorrWindow+1):D686,INDEX($E$9:$E$809,ROW()-8-CorrWindow+1):E686),""))</f>
        <v/>
      </c>
      <c r="G686">
        <f>IF(A686="","",0)</f>
        <v/>
      </c>
    </row>
    <row r="687">
      <c r="A687" s="23">
        <f>IFERROR(INDEX($R$9:$R$809,ROW()-8),"")</f>
        <v/>
      </c>
      <c r="B687">
        <f>IFERROR(INDEX($S$9:$S$809,ROW()-8),"")</f>
        <v/>
      </c>
      <c r="C687">
        <f>IFERROR(INDEX($W$9:$W$809,ROW()-8),"")</f>
        <v/>
      </c>
      <c r="D687" s="26">
        <f>IF(COUNT(B686:B687)=2,LN(B687/B686),"")</f>
        <v/>
      </c>
      <c r="E687" s="27">
        <f>IF(COUNT(C686:C687)=2,(C687-C686)*100,"")</f>
        <v/>
      </c>
      <c r="F687" s="28">
        <f>IF(ROW()-8&lt;CorrWindow,"",IFERROR(CORREL(INDEX($D$9:$D$809,ROW()-8-CorrWindow+1):D687,INDEX($E$9:$E$809,ROW()-8-CorrWindow+1):E687),""))</f>
        <v/>
      </c>
      <c r="G687">
        <f>IF(A687="","",0)</f>
        <v/>
      </c>
    </row>
    <row r="688">
      <c r="A688" s="23">
        <f>IFERROR(INDEX($R$9:$R$809,ROW()-8),"")</f>
        <v/>
      </c>
      <c r="B688">
        <f>IFERROR(INDEX($S$9:$S$809,ROW()-8),"")</f>
        <v/>
      </c>
      <c r="C688">
        <f>IFERROR(INDEX($W$9:$W$809,ROW()-8),"")</f>
        <v/>
      </c>
      <c r="D688" s="26">
        <f>IF(COUNT(B687:B688)=2,LN(B688/B687),"")</f>
        <v/>
      </c>
      <c r="E688" s="27">
        <f>IF(COUNT(C687:C688)=2,(C688-C687)*100,"")</f>
        <v/>
      </c>
      <c r="F688" s="28">
        <f>IF(ROW()-8&lt;CorrWindow,"",IFERROR(CORREL(INDEX($D$9:$D$809,ROW()-8-CorrWindow+1):D688,INDEX($E$9:$E$809,ROW()-8-CorrWindow+1):E688),""))</f>
        <v/>
      </c>
      <c r="G688">
        <f>IF(A688="","",0)</f>
        <v/>
      </c>
    </row>
    <row r="689">
      <c r="A689" s="23">
        <f>IFERROR(INDEX($R$9:$R$809,ROW()-8),"")</f>
        <v/>
      </c>
      <c r="B689">
        <f>IFERROR(INDEX($S$9:$S$809,ROW()-8),"")</f>
        <v/>
      </c>
      <c r="C689">
        <f>IFERROR(INDEX($W$9:$W$809,ROW()-8),"")</f>
        <v/>
      </c>
      <c r="D689" s="26">
        <f>IF(COUNT(B688:B689)=2,LN(B689/B688),"")</f>
        <v/>
      </c>
      <c r="E689" s="27">
        <f>IF(COUNT(C688:C689)=2,(C689-C688)*100,"")</f>
        <v/>
      </c>
      <c r="F689" s="28">
        <f>IF(ROW()-8&lt;CorrWindow,"",IFERROR(CORREL(INDEX($D$9:$D$809,ROW()-8-CorrWindow+1):D689,INDEX($E$9:$E$809,ROW()-8-CorrWindow+1):E689),""))</f>
        <v/>
      </c>
      <c r="G689">
        <f>IF(A689="","",0)</f>
        <v/>
      </c>
    </row>
    <row r="690">
      <c r="A690" s="23">
        <f>IFERROR(INDEX($R$9:$R$809,ROW()-8),"")</f>
        <v/>
      </c>
      <c r="B690">
        <f>IFERROR(INDEX($S$9:$S$809,ROW()-8),"")</f>
        <v/>
      </c>
      <c r="C690">
        <f>IFERROR(INDEX($W$9:$W$809,ROW()-8),"")</f>
        <v/>
      </c>
      <c r="D690" s="26">
        <f>IF(COUNT(B689:B690)=2,LN(B690/B689),"")</f>
        <v/>
      </c>
      <c r="E690" s="27">
        <f>IF(COUNT(C689:C690)=2,(C690-C689)*100,"")</f>
        <v/>
      </c>
      <c r="F690" s="28">
        <f>IF(ROW()-8&lt;CorrWindow,"",IFERROR(CORREL(INDEX($D$9:$D$809,ROW()-8-CorrWindow+1):D690,INDEX($E$9:$E$809,ROW()-8-CorrWindow+1):E690),""))</f>
        <v/>
      </c>
      <c r="G690">
        <f>IF(A690="","",0)</f>
        <v/>
      </c>
    </row>
    <row r="691">
      <c r="A691" s="23">
        <f>IFERROR(INDEX($R$9:$R$809,ROW()-8),"")</f>
        <v/>
      </c>
      <c r="B691">
        <f>IFERROR(INDEX($S$9:$S$809,ROW()-8),"")</f>
        <v/>
      </c>
      <c r="C691">
        <f>IFERROR(INDEX($W$9:$W$809,ROW()-8),"")</f>
        <v/>
      </c>
      <c r="D691" s="26">
        <f>IF(COUNT(B690:B691)=2,LN(B691/B690),"")</f>
        <v/>
      </c>
      <c r="E691" s="27">
        <f>IF(COUNT(C690:C691)=2,(C691-C690)*100,"")</f>
        <v/>
      </c>
      <c r="F691" s="28">
        <f>IF(ROW()-8&lt;CorrWindow,"",IFERROR(CORREL(INDEX($D$9:$D$809,ROW()-8-CorrWindow+1):D691,INDEX($E$9:$E$809,ROW()-8-CorrWindow+1):E691),""))</f>
        <v/>
      </c>
      <c r="G691">
        <f>IF(A691="","",0)</f>
        <v/>
      </c>
    </row>
    <row r="692">
      <c r="A692" s="23">
        <f>IFERROR(INDEX($R$9:$R$809,ROW()-8),"")</f>
        <v/>
      </c>
      <c r="B692">
        <f>IFERROR(INDEX($S$9:$S$809,ROW()-8),"")</f>
        <v/>
      </c>
      <c r="C692">
        <f>IFERROR(INDEX($W$9:$W$809,ROW()-8),"")</f>
        <v/>
      </c>
      <c r="D692" s="26">
        <f>IF(COUNT(B691:B692)=2,LN(B692/B691),"")</f>
        <v/>
      </c>
      <c r="E692" s="27">
        <f>IF(COUNT(C691:C692)=2,(C692-C691)*100,"")</f>
        <v/>
      </c>
      <c r="F692" s="28">
        <f>IF(ROW()-8&lt;CorrWindow,"",IFERROR(CORREL(INDEX($D$9:$D$809,ROW()-8-CorrWindow+1):D692,INDEX($E$9:$E$809,ROW()-8-CorrWindow+1):E692),""))</f>
        <v/>
      </c>
      <c r="G692">
        <f>IF(A692="","",0)</f>
        <v/>
      </c>
    </row>
    <row r="693">
      <c r="A693" s="23">
        <f>IFERROR(INDEX($R$9:$R$809,ROW()-8),"")</f>
        <v/>
      </c>
      <c r="B693">
        <f>IFERROR(INDEX($S$9:$S$809,ROW()-8),"")</f>
        <v/>
      </c>
      <c r="C693">
        <f>IFERROR(INDEX($W$9:$W$809,ROW()-8),"")</f>
        <v/>
      </c>
      <c r="D693" s="26">
        <f>IF(COUNT(B692:B693)=2,LN(B693/B692),"")</f>
        <v/>
      </c>
      <c r="E693" s="27">
        <f>IF(COUNT(C692:C693)=2,(C693-C692)*100,"")</f>
        <v/>
      </c>
      <c r="F693" s="28">
        <f>IF(ROW()-8&lt;CorrWindow,"",IFERROR(CORREL(INDEX($D$9:$D$809,ROW()-8-CorrWindow+1):D693,INDEX($E$9:$E$809,ROW()-8-CorrWindow+1):E693),""))</f>
        <v/>
      </c>
      <c r="G693">
        <f>IF(A693="","",0)</f>
        <v/>
      </c>
    </row>
    <row r="694">
      <c r="A694" s="23">
        <f>IFERROR(INDEX($R$9:$R$809,ROW()-8),"")</f>
        <v/>
      </c>
      <c r="B694">
        <f>IFERROR(INDEX($S$9:$S$809,ROW()-8),"")</f>
        <v/>
      </c>
      <c r="C694">
        <f>IFERROR(INDEX($W$9:$W$809,ROW()-8),"")</f>
        <v/>
      </c>
      <c r="D694" s="26">
        <f>IF(COUNT(B693:B694)=2,LN(B694/B693),"")</f>
        <v/>
      </c>
      <c r="E694" s="27">
        <f>IF(COUNT(C693:C694)=2,(C694-C693)*100,"")</f>
        <v/>
      </c>
      <c r="F694" s="28">
        <f>IF(ROW()-8&lt;CorrWindow,"",IFERROR(CORREL(INDEX($D$9:$D$809,ROW()-8-CorrWindow+1):D694,INDEX($E$9:$E$809,ROW()-8-CorrWindow+1):E694),""))</f>
        <v/>
      </c>
      <c r="G694">
        <f>IF(A694="","",0)</f>
        <v/>
      </c>
    </row>
    <row r="695">
      <c r="A695" s="23">
        <f>IFERROR(INDEX($R$9:$R$809,ROW()-8),"")</f>
        <v/>
      </c>
      <c r="B695">
        <f>IFERROR(INDEX($S$9:$S$809,ROW()-8),"")</f>
        <v/>
      </c>
      <c r="C695">
        <f>IFERROR(INDEX($W$9:$W$809,ROW()-8),"")</f>
        <v/>
      </c>
      <c r="D695" s="26">
        <f>IF(COUNT(B694:B695)=2,LN(B695/B694),"")</f>
        <v/>
      </c>
      <c r="E695" s="27">
        <f>IF(COUNT(C694:C695)=2,(C695-C694)*100,"")</f>
        <v/>
      </c>
      <c r="F695" s="28">
        <f>IF(ROW()-8&lt;CorrWindow,"",IFERROR(CORREL(INDEX($D$9:$D$809,ROW()-8-CorrWindow+1):D695,INDEX($E$9:$E$809,ROW()-8-CorrWindow+1):E695),""))</f>
        <v/>
      </c>
      <c r="G695">
        <f>IF(A695="","",0)</f>
        <v/>
      </c>
    </row>
    <row r="696">
      <c r="A696" s="23">
        <f>IFERROR(INDEX($R$9:$R$809,ROW()-8),"")</f>
        <v/>
      </c>
      <c r="B696">
        <f>IFERROR(INDEX($S$9:$S$809,ROW()-8),"")</f>
        <v/>
      </c>
      <c r="C696">
        <f>IFERROR(INDEX($W$9:$W$809,ROW()-8),"")</f>
        <v/>
      </c>
      <c r="D696" s="26">
        <f>IF(COUNT(B695:B696)=2,LN(B696/B695),"")</f>
        <v/>
      </c>
      <c r="E696" s="27">
        <f>IF(COUNT(C695:C696)=2,(C696-C695)*100,"")</f>
        <v/>
      </c>
      <c r="F696" s="28">
        <f>IF(ROW()-8&lt;CorrWindow,"",IFERROR(CORREL(INDEX($D$9:$D$809,ROW()-8-CorrWindow+1):D696,INDEX($E$9:$E$809,ROW()-8-CorrWindow+1):E696),""))</f>
        <v/>
      </c>
      <c r="G696">
        <f>IF(A696="","",0)</f>
        <v/>
      </c>
    </row>
    <row r="697">
      <c r="A697" s="23">
        <f>IFERROR(INDEX($R$9:$R$809,ROW()-8),"")</f>
        <v/>
      </c>
      <c r="B697">
        <f>IFERROR(INDEX($S$9:$S$809,ROW()-8),"")</f>
        <v/>
      </c>
      <c r="C697">
        <f>IFERROR(INDEX($W$9:$W$809,ROW()-8),"")</f>
        <v/>
      </c>
      <c r="D697" s="26">
        <f>IF(COUNT(B696:B697)=2,LN(B697/B696),"")</f>
        <v/>
      </c>
      <c r="E697" s="27">
        <f>IF(COUNT(C696:C697)=2,(C697-C696)*100,"")</f>
        <v/>
      </c>
      <c r="F697" s="28">
        <f>IF(ROW()-8&lt;CorrWindow,"",IFERROR(CORREL(INDEX($D$9:$D$809,ROW()-8-CorrWindow+1):D697,INDEX($E$9:$E$809,ROW()-8-CorrWindow+1):E697),""))</f>
        <v/>
      </c>
      <c r="G697">
        <f>IF(A697="","",0)</f>
        <v/>
      </c>
    </row>
    <row r="698">
      <c r="A698" s="23">
        <f>IFERROR(INDEX($R$9:$R$809,ROW()-8),"")</f>
        <v/>
      </c>
      <c r="B698">
        <f>IFERROR(INDEX($S$9:$S$809,ROW()-8),"")</f>
        <v/>
      </c>
      <c r="C698">
        <f>IFERROR(INDEX($W$9:$W$809,ROW()-8),"")</f>
        <v/>
      </c>
      <c r="D698" s="26">
        <f>IF(COUNT(B697:B698)=2,LN(B698/B697),"")</f>
        <v/>
      </c>
      <c r="E698" s="27">
        <f>IF(COUNT(C697:C698)=2,(C698-C697)*100,"")</f>
        <v/>
      </c>
      <c r="F698" s="28">
        <f>IF(ROW()-8&lt;CorrWindow,"",IFERROR(CORREL(INDEX($D$9:$D$809,ROW()-8-CorrWindow+1):D698,INDEX($E$9:$E$809,ROW()-8-CorrWindow+1):E698),""))</f>
        <v/>
      </c>
      <c r="G698">
        <f>IF(A698="","",0)</f>
        <v/>
      </c>
    </row>
    <row r="699">
      <c r="A699" s="23">
        <f>IFERROR(INDEX($R$9:$R$809,ROW()-8),"")</f>
        <v/>
      </c>
      <c r="B699">
        <f>IFERROR(INDEX($S$9:$S$809,ROW()-8),"")</f>
        <v/>
      </c>
      <c r="C699">
        <f>IFERROR(INDEX($W$9:$W$809,ROW()-8),"")</f>
        <v/>
      </c>
      <c r="D699" s="26">
        <f>IF(COUNT(B698:B699)=2,LN(B699/B698),"")</f>
        <v/>
      </c>
      <c r="E699" s="27">
        <f>IF(COUNT(C698:C699)=2,(C699-C698)*100,"")</f>
        <v/>
      </c>
      <c r="F699" s="28">
        <f>IF(ROW()-8&lt;CorrWindow,"",IFERROR(CORREL(INDEX($D$9:$D$809,ROW()-8-CorrWindow+1):D699,INDEX($E$9:$E$809,ROW()-8-CorrWindow+1):E699),""))</f>
        <v/>
      </c>
      <c r="G699">
        <f>IF(A699="","",0)</f>
        <v/>
      </c>
    </row>
    <row r="700">
      <c r="A700" s="23">
        <f>IFERROR(INDEX($R$9:$R$809,ROW()-8),"")</f>
        <v/>
      </c>
      <c r="B700">
        <f>IFERROR(INDEX($S$9:$S$809,ROW()-8),"")</f>
        <v/>
      </c>
      <c r="C700">
        <f>IFERROR(INDEX($W$9:$W$809,ROW()-8),"")</f>
        <v/>
      </c>
      <c r="D700" s="26">
        <f>IF(COUNT(B699:B700)=2,LN(B700/B699),"")</f>
        <v/>
      </c>
      <c r="E700" s="27">
        <f>IF(COUNT(C699:C700)=2,(C700-C699)*100,"")</f>
        <v/>
      </c>
      <c r="F700" s="28">
        <f>IF(ROW()-8&lt;CorrWindow,"",IFERROR(CORREL(INDEX($D$9:$D$809,ROW()-8-CorrWindow+1):D700,INDEX($E$9:$E$809,ROW()-8-CorrWindow+1):E700),""))</f>
        <v/>
      </c>
      <c r="G700">
        <f>IF(A700="","",0)</f>
        <v/>
      </c>
    </row>
    <row r="701">
      <c r="A701" s="23">
        <f>IFERROR(INDEX($R$9:$R$809,ROW()-8),"")</f>
        <v/>
      </c>
      <c r="B701">
        <f>IFERROR(INDEX($S$9:$S$809,ROW()-8),"")</f>
        <v/>
      </c>
      <c r="C701">
        <f>IFERROR(INDEX($W$9:$W$809,ROW()-8),"")</f>
        <v/>
      </c>
      <c r="D701" s="26">
        <f>IF(COUNT(B700:B701)=2,LN(B701/B700),"")</f>
        <v/>
      </c>
      <c r="E701" s="27">
        <f>IF(COUNT(C700:C701)=2,(C701-C700)*100,"")</f>
        <v/>
      </c>
      <c r="F701" s="28">
        <f>IF(ROW()-8&lt;CorrWindow,"",IFERROR(CORREL(INDEX($D$9:$D$809,ROW()-8-CorrWindow+1):D701,INDEX($E$9:$E$809,ROW()-8-CorrWindow+1):E701),""))</f>
        <v/>
      </c>
      <c r="G701">
        <f>IF(A701="","",0)</f>
        <v/>
      </c>
    </row>
    <row r="702">
      <c r="A702" s="23">
        <f>IFERROR(INDEX($R$9:$R$809,ROW()-8),"")</f>
        <v/>
      </c>
      <c r="B702">
        <f>IFERROR(INDEX($S$9:$S$809,ROW()-8),"")</f>
        <v/>
      </c>
      <c r="C702">
        <f>IFERROR(INDEX($W$9:$W$809,ROW()-8),"")</f>
        <v/>
      </c>
      <c r="D702" s="26">
        <f>IF(COUNT(B701:B702)=2,LN(B702/B701),"")</f>
        <v/>
      </c>
      <c r="E702" s="27">
        <f>IF(COUNT(C701:C702)=2,(C702-C701)*100,"")</f>
        <v/>
      </c>
      <c r="F702" s="28">
        <f>IF(ROW()-8&lt;CorrWindow,"",IFERROR(CORREL(INDEX($D$9:$D$809,ROW()-8-CorrWindow+1):D702,INDEX($E$9:$E$809,ROW()-8-CorrWindow+1):E702),""))</f>
        <v/>
      </c>
      <c r="G702">
        <f>IF(A702="","",0)</f>
        <v/>
      </c>
    </row>
    <row r="703">
      <c r="A703" s="23">
        <f>IFERROR(INDEX($R$9:$R$809,ROW()-8),"")</f>
        <v/>
      </c>
      <c r="B703">
        <f>IFERROR(INDEX($S$9:$S$809,ROW()-8),"")</f>
        <v/>
      </c>
      <c r="C703">
        <f>IFERROR(INDEX($W$9:$W$809,ROW()-8),"")</f>
        <v/>
      </c>
      <c r="D703" s="26">
        <f>IF(COUNT(B702:B703)=2,LN(B703/B702),"")</f>
        <v/>
      </c>
      <c r="E703" s="27">
        <f>IF(COUNT(C702:C703)=2,(C703-C702)*100,"")</f>
        <v/>
      </c>
      <c r="F703" s="28">
        <f>IF(ROW()-8&lt;CorrWindow,"",IFERROR(CORREL(INDEX($D$9:$D$809,ROW()-8-CorrWindow+1):D703,INDEX($E$9:$E$809,ROW()-8-CorrWindow+1):E703),""))</f>
        <v/>
      </c>
      <c r="G703">
        <f>IF(A703="","",0)</f>
        <v/>
      </c>
    </row>
    <row r="704">
      <c r="A704" s="23">
        <f>IFERROR(INDEX($R$9:$R$809,ROW()-8),"")</f>
        <v/>
      </c>
      <c r="B704">
        <f>IFERROR(INDEX($S$9:$S$809,ROW()-8),"")</f>
        <v/>
      </c>
      <c r="C704">
        <f>IFERROR(INDEX($W$9:$W$809,ROW()-8),"")</f>
        <v/>
      </c>
      <c r="D704" s="26">
        <f>IF(COUNT(B703:B704)=2,LN(B704/B703),"")</f>
        <v/>
      </c>
      <c r="E704" s="27">
        <f>IF(COUNT(C703:C704)=2,(C704-C703)*100,"")</f>
        <v/>
      </c>
      <c r="F704" s="28">
        <f>IF(ROW()-8&lt;CorrWindow,"",IFERROR(CORREL(INDEX($D$9:$D$809,ROW()-8-CorrWindow+1):D704,INDEX($E$9:$E$809,ROW()-8-CorrWindow+1):E704),""))</f>
        <v/>
      </c>
      <c r="G704">
        <f>IF(A704="","",0)</f>
        <v/>
      </c>
    </row>
    <row r="705">
      <c r="A705" s="23">
        <f>IFERROR(INDEX($R$9:$R$809,ROW()-8),"")</f>
        <v/>
      </c>
      <c r="B705">
        <f>IFERROR(INDEX($S$9:$S$809,ROW()-8),"")</f>
        <v/>
      </c>
      <c r="C705">
        <f>IFERROR(INDEX($W$9:$W$809,ROW()-8),"")</f>
        <v/>
      </c>
      <c r="D705" s="26">
        <f>IF(COUNT(B704:B705)=2,LN(B705/B704),"")</f>
        <v/>
      </c>
      <c r="E705" s="27">
        <f>IF(COUNT(C704:C705)=2,(C705-C704)*100,"")</f>
        <v/>
      </c>
      <c r="F705" s="28">
        <f>IF(ROW()-8&lt;CorrWindow,"",IFERROR(CORREL(INDEX($D$9:$D$809,ROW()-8-CorrWindow+1):D705,INDEX($E$9:$E$809,ROW()-8-CorrWindow+1):E705),""))</f>
        <v/>
      </c>
      <c r="G705">
        <f>IF(A705="","",0)</f>
        <v/>
      </c>
    </row>
    <row r="706">
      <c r="A706" s="23">
        <f>IFERROR(INDEX($R$9:$R$809,ROW()-8),"")</f>
        <v/>
      </c>
      <c r="B706">
        <f>IFERROR(INDEX($S$9:$S$809,ROW()-8),"")</f>
        <v/>
      </c>
      <c r="C706">
        <f>IFERROR(INDEX($W$9:$W$809,ROW()-8),"")</f>
        <v/>
      </c>
      <c r="D706" s="26">
        <f>IF(COUNT(B705:B706)=2,LN(B706/B705),"")</f>
        <v/>
      </c>
      <c r="E706" s="27">
        <f>IF(COUNT(C705:C706)=2,(C706-C705)*100,"")</f>
        <v/>
      </c>
      <c r="F706" s="28">
        <f>IF(ROW()-8&lt;CorrWindow,"",IFERROR(CORREL(INDEX($D$9:$D$809,ROW()-8-CorrWindow+1):D706,INDEX($E$9:$E$809,ROW()-8-CorrWindow+1):E706),""))</f>
        <v/>
      </c>
      <c r="G706">
        <f>IF(A706="","",0)</f>
        <v/>
      </c>
    </row>
    <row r="707">
      <c r="A707" s="23">
        <f>IFERROR(INDEX($R$9:$R$809,ROW()-8),"")</f>
        <v/>
      </c>
      <c r="B707">
        <f>IFERROR(INDEX($S$9:$S$809,ROW()-8),"")</f>
        <v/>
      </c>
      <c r="C707">
        <f>IFERROR(INDEX($W$9:$W$809,ROW()-8),"")</f>
        <v/>
      </c>
      <c r="D707" s="26">
        <f>IF(COUNT(B706:B707)=2,LN(B707/B706),"")</f>
        <v/>
      </c>
      <c r="E707" s="27">
        <f>IF(COUNT(C706:C707)=2,(C707-C706)*100,"")</f>
        <v/>
      </c>
      <c r="F707" s="28">
        <f>IF(ROW()-8&lt;CorrWindow,"",IFERROR(CORREL(INDEX($D$9:$D$809,ROW()-8-CorrWindow+1):D707,INDEX($E$9:$E$809,ROW()-8-CorrWindow+1):E707),""))</f>
        <v/>
      </c>
      <c r="G707">
        <f>IF(A707="","",0)</f>
        <v/>
      </c>
    </row>
    <row r="708">
      <c r="A708" s="23">
        <f>IFERROR(INDEX($R$9:$R$809,ROW()-8),"")</f>
        <v/>
      </c>
      <c r="B708">
        <f>IFERROR(INDEX($S$9:$S$809,ROW()-8),"")</f>
        <v/>
      </c>
      <c r="C708">
        <f>IFERROR(INDEX($W$9:$W$809,ROW()-8),"")</f>
        <v/>
      </c>
      <c r="D708" s="26">
        <f>IF(COUNT(B707:B708)=2,LN(B708/B707),"")</f>
        <v/>
      </c>
      <c r="E708" s="27">
        <f>IF(COUNT(C707:C708)=2,(C708-C707)*100,"")</f>
        <v/>
      </c>
      <c r="F708" s="28">
        <f>IF(ROW()-8&lt;CorrWindow,"",IFERROR(CORREL(INDEX($D$9:$D$809,ROW()-8-CorrWindow+1):D708,INDEX($E$9:$E$809,ROW()-8-CorrWindow+1):E708),""))</f>
        <v/>
      </c>
      <c r="G708">
        <f>IF(A708="","",0)</f>
        <v/>
      </c>
    </row>
    <row r="709">
      <c r="A709" s="23">
        <f>IFERROR(INDEX($R$9:$R$809,ROW()-8),"")</f>
        <v/>
      </c>
      <c r="B709">
        <f>IFERROR(INDEX($S$9:$S$809,ROW()-8),"")</f>
        <v/>
      </c>
      <c r="C709">
        <f>IFERROR(INDEX($W$9:$W$809,ROW()-8),"")</f>
        <v/>
      </c>
      <c r="D709" s="26">
        <f>IF(COUNT(B708:B709)=2,LN(B709/B708),"")</f>
        <v/>
      </c>
      <c r="E709" s="27">
        <f>IF(COUNT(C708:C709)=2,(C709-C708)*100,"")</f>
        <v/>
      </c>
      <c r="F709" s="28">
        <f>IF(ROW()-8&lt;CorrWindow,"",IFERROR(CORREL(INDEX($D$9:$D$809,ROW()-8-CorrWindow+1):D709,INDEX($E$9:$E$809,ROW()-8-CorrWindow+1):E709),""))</f>
        <v/>
      </c>
      <c r="G709">
        <f>IF(A709="","",0)</f>
        <v/>
      </c>
    </row>
    <row r="710">
      <c r="A710" s="23">
        <f>IFERROR(INDEX($R$9:$R$809,ROW()-8),"")</f>
        <v/>
      </c>
      <c r="B710">
        <f>IFERROR(INDEX($S$9:$S$809,ROW()-8),"")</f>
        <v/>
      </c>
      <c r="C710">
        <f>IFERROR(INDEX($W$9:$W$809,ROW()-8),"")</f>
        <v/>
      </c>
      <c r="D710" s="26">
        <f>IF(COUNT(B709:B710)=2,LN(B710/B709),"")</f>
        <v/>
      </c>
      <c r="E710" s="27">
        <f>IF(COUNT(C709:C710)=2,(C710-C709)*100,"")</f>
        <v/>
      </c>
      <c r="F710" s="28">
        <f>IF(ROW()-8&lt;CorrWindow,"",IFERROR(CORREL(INDEX($D$9:$D$809,ROW()-8-CorrWindow+1):D710,INDEX($E$9:$E$809,ROW()-8-CorrWindow+1):E710),""))</f>
        <v/>
      </c>
      <c r="G710">
        <f>IF(A710="","",0)</f>
        <v/>
      </c>
    </row>
    <row r="711">
      <c r="A711" s="23">
        <f>IFERROR(INDEX($R$9:$R$809,ROW()-8),"")</f>
        <v/>
      </c>
      <c r="B711">
        <f>IFERROR(INDEX($S$9:$S$809,ROW()-8),"")</f>
        <v/>
      </c>
      <c r="C711">
        <f>IFERROR(INDEX($W$9:$W$809,ROW()-8),"")</f>
        <v/>
      </c>
      <c r="D711" s="26">
        <f>IF(COUNT(B710:B711)=2,LN(B711/B710),"")</f>
        <v/>
      </c>
      <c r="E711" s="27">
        <f>IF(COUNT(C710:C711)=2,(C711-C710)*100,"")</f>
        <v/>
      </c>
      <c r="F711" s="28">
        <f>IF(ROW()-8&lt;CorrWindow,"",IFERROR(CORREL(INDEX($D$9:$D$809,ROW()-8-CorrWindow+1):D711,INDEX($E$9:$E$809,ROW()-8-CorrWindow+1):E711),""))</f>
        <v/>
      </c>
      <c r="G711">
        <f>IF(A711="","",0)</f>
        <v/>
      </c>
    </row>
    <row r="712">
      <c r="A712" s="23">
        <f>IFERROR(INDEX($R$9:$R$809,ROW()-8),"")</f>
        <v/>
      </c>
      <c r="B712">
        <f>IFERROR(INDEX($S$9:$S$809,ROW()-8),"")</f>
        <v/>
      </c>
      <c r="C712">
        <f>IFERROR(INDEX($W$9:$W$809,ROW()-8),"")</f>
        <v/>
      </c>
      <c r="D712" s="26">
        <f>IF(COUNT(B711:B712)=2,LN(B712/B711),"")</f>
        <v/>
      </c>
      <c r="E712" s="27">
        <f>IF(COUNT(C711:C712)=2,(C712-C711)*100,"")</f>
        <v/>
      </c>
      <c r="F712" s="28">
        <f>IF(ROW()-8&lt;CorrWindow,"",IFERROR(CORREL(INDEX($D$9:$D$809,ROW()-8-CorrWindow+1):D712,INDEX($E$9:$E$809,ROW()-8-CorrWindow+1):E712),""))</f>
        <v/>
      </c>
      <c r="G712">
        <f>IF(A712="","",0)</f>
        <v/>
      </c>
    </row>
    <row r="713">
      <c r="A713" s="23">
        <f>IFERROR(INDEX($R$9:$R$809,ROW()-8),"")</f>
        <v/>
      </c>
      <c r="B713">
        <f>IFERROR(INDEX($S$9:$S$809,ROW()-8),"")</f>
        <v/>
      </c>
      <c r="C713">
        <f>IFERROR(INDEX($W$9:$W$809,ROW()-8),"")</f>
        <v/>
      </c>
      <c r="D713" s="26">
        <f>IF(COUNT(B712:B713)=2,LN(B713/B712),"")</f>
        <v/>
      </c>
      <c r="E713" s="27">
        <f>IF(COUNT(C712:C713)=2,(C713-C712)*100,"")</f>
        <v/>
      </c>
      <c r="F713" s="28">
        <f>IF(ROW()-8&lt;CorrWindow,"",IFERROR(CORREL(INDEX($D$9:$D$809,ROW()-8-CorrWindow+1):D713,INDEX($E$9:$E$809,ROW()-8-CorrWindow+1):E713),""))</f>
        <v/>
      </c>
      <c r="G713">
        <f>IF(A713="","",0)</f>
        <v/>
      </c>
    </row>
    <row r="714">
      <c r="A714" s="23">
        <f>IFERROR(INDEX($R$9:$R$809,ROW()-8),"")</f>
        <v/>
      </c>
      <c r="B714">
        <f>IFERROR(INDEX($S$9:$S$809,ROW()-8),"")</f>
        <v/>
      </c>
      <c r="C714">
        <f>IFERROR(INDEX($W$9:$W$809,ROW()-8),"")</f>
        <v/>
      </c>
      <c r="D714" s="26">
        <f>IF(COUNT(B713:B714)=2,LN(B714/B713),"")</f>
        <v/>
      </c>
      <c r="E714" s="27">
        <f>IF(COUNT(C713:C714)=2,(C714-C713)*100,"")</f>
        <v/>
      </c>
      <c r="F714" s="28">
        <f>IF(ROW()-8&lt;CorrWindow,"",IFERROR(CORREL(INDEX($D$9:$D$809,ROW()-8-CorrWindow+1):D714,INDEX($E$9:$E$809,ROW()-8-CorrWindow+1):E714),""))</f>
        <v/>
      </c>
      <c r="G714">
        <f>IF(A714="","",0)</f>
        <v/>
      </c>
    </row>
    <row r="715">
      <c r="A715" s="23">
        <f>IFERROR(INDEX($R$9:$R$809,ROW()-8),"")</f>
        <v/>
      </c>
      <c r="B715">
        <f>IFERROR(INDEX($S$9:$S$809,ROW()-8),"")</f>
        <v/>
      </c>
      <c r="C715">
        <f>IFERROR(INDEX($W$9:$W$809,ROW()-8),"")</f>
        <v/>
      </c>
      <c r="D715" s="26">
        <f>IF(COUNT(B714:B715)=2,LN(B715/B714),"")</f>
        <v/>
      </c>
      <c r="E715" s="27">
        <f>IF(COUNT(C714:C715)=2,(C715-C714)*100,"")</f>
        <v/>
      </c>
      <c r="F715" s="28">
        <f>IF(ROW()-8&lt;CorrWindow,"",IFERROR(CORREL(INDEX($D$9:$D$809,ROW()-8-CorrWindow+1):D715,INDEX($E$9:$E$809,ROW()-8-CorrWindow+1):E715),""))</f>
        <v/>
      </c>
      <c r="G715">
        <f>IF(A715="","",0)</f>
        <v/>
      </c>
    </row>
    <row r="716">
      <c r="A716" s="23">
        <f>IFERROR(INDEX($R$9:$R$809,ROW()-8),"")</f>
        <v/>
      </c>
      <c r="B716">
        <f>IFERROR(INDEX($S$9:$S$809,ROW()-8),"")</f>
        <v/>
      </c>
      <c r="C716">
        <f>IFERROR(INDEX($W$9:$W$809,ROW()-8),"")</f>
        <v/>
      </c>
      <c r="D716" s="26">
        <f>IF(COUNT(B715:B716)=2,LN(B716/B715),"")</f>
        <v/>
      </c>
      <c r="E716" s="27">
        <f>IF(COUNT(C715:C716)=2,(C716-C715)*100,"")</f>
        <v/>
      </c>
      <c r="F716" s="28">
        <f>IF(ROW()-8&lt;CorrWindow,"",IFERROR(CORREL(INDEX($D$9:$D$809,ROW()-8-CorrWindow+1):D716,INDEX($E$9:$E$809,ROW()-8-CorrWindow+1):E716),""))</f>
        <v/>
      </c>
      <c r="G716">
        <f>IF(A716="","",0)</f>
        <v/>
      </c>
    </row>
    <row r="717">
      <c r="A717" s="23">
        <f>IFERROR(INDEX($R$9:$R$809,ROW()-8),"")</f>
        <v/>
      </c>
      <c r="B717">
        <f>IFERROR(INDEX($S$9:$S$809,ROW()-8),"")</f>
        <v/>
      </c>
      <c r="C717">
        <f>IFERROR(INDEX($W$9:$W$809,ROW()-8),"")</f>
        <v/>
      </c>
      <c r="D717" s="26">
        <f>IF(COUNT(B716:B717)=2,LN(B717/B716),"")</f>
        <v/>
      </c>
      <c r="E717" s="27">
        <f>IF(COUNT(C716:C717)=2,(C717-C716)*100,"")</f>
        <v/>
      </c>
      <c r="F717" s="28">
        <f>IF(ROW()-8&lt;CorrWindow,"",IFERROR(CORREL(INDEX($D$9:$D$809,ROW()-8-CorrWindow+1):D717,INDEX($E$9:$E$809,ROW()-8-CorrWindow+1):E717),""))</f>
        <v/>
      </c>
      <c r="G717">
        <f>IF(A717="","",0)</f>
        <v/>
      </c>
    </row>
    <row r="718">
      <c r="A718" s="23">
        <f>IFERROR(INDEX($R$9:$R$809,ROW()-8),"")</f>
        <v/>
      </c>
      <c r="B718">
        <f>IFERROR(INDEX($S$9:$S$809,ROW()-8),"")</f>
        <v/>
      </c>
      <c r="C718">
        <f>IFERROR(INDEX($W$9:$W$809,ROW()-8),"")</f>
        <v/>
      </c>
      <c r="D718" s="26">
        <f>IF(COUNT(B717:B718)=2,LN(B718/B717),"")</f>
        <v/>
      </c>
      <c r="E718" s="27">
        <f>IF(COUNT(C717:C718)=2,(C718-C717)*100,"")</f>
        <v/>
      </c>
      <c r="F718" s="28">
        <f>IF(ROW()-8&lt;CorrWindow,"",IFERROR(CORREL(INDEX($D$9:$D$809,ROW()-8-CorrWindow+1):D718,INDEX($E$9:$E$809,ROW()-8-CorrWindow+1):E718),""))</f>
        <v/>
      </c>
      <c r="G718">
        <f>IF(A718="","",0)</f>
        <v/>
      </c>
    </row>
    <row r="719">
      <c r="A719" s="23">
        <f>IFERROR(INDEX($R$9:$R$809,ROW()-8),"")</f>
        <v/>
      </c>
      <c r="B719">
        <f>IFERROR(INDEX($S$9:$S$809,ROW()-8),"")</f>
        <v/>
      </c>
      <c r="C719">
        <f>IFERROR(INDEX($W$9:$W$809,ROW()-8),"")</f>
        <v/>
      </c>
      <c r="D719" s="26">
        <f>IF(COUNT(B718:B719)=2,LN(B719/B718),"")</f>
        <v/>
      </c>
      <c r="E719" s="27">
        <f>IF(COUNT(C718:C719)=2,(C719-C718)*100,"")</f>
        <v/>
      </c>
      <c r="F719" s="28">
        <f>IF(ROW()-8&lt;CorrWindow,"",IFERROR(CORREL(INDEX($D$9:$D$809,ROW()-8-CorrWindow+1):D719,INDEX($E$9:$E$809,ROW()-8-CorrWindow+1):E719),""))</f>
        <v/>
      </c>
      <c r="G719">
        <f>IF(A719="","",0)</f>
        <v/>
      </c>
    </row>
    <row r="720">
      <c r="A720" s="23">
        <f>IFERROR(INDEX($R$9:$R$809,ROW()-8),"")</f>
        <v/>
      </c>
      <c r="B720">
        <f>IFERROR(INDEX($S$9:$S$809,ROW()-8),"")</f>
        <v/>
      </c>
      <c r="C720">
        <f>IFERROR(INDEX($W$9:$W$809,ROW()-8),"")</f>
        <v/>
      </c>
      <c r="D720" s="26">
        <f>IF(COUNT(B719:B720)=2,LN(B720/B719),"")</f>
        <v/>
      </c>
      <c r="E720" s="27">
        <f>IF(COUNT(C719:C720)=2,(C720-C719)*100,"")</f>
        <v/>
      </c>
      <c r="F720" s="28">
        <f>IF(ROW()-8&lt;CorrWindow,"",IFERROR(CORREL(INDEX($D$9:$D$809,ROW()-8-CorrWindow+1):D720,INDEX($E$9:$E$809,ROW()-8-CorrWindow+1):E720),""))</f>
        <v/>
      </c>
      <c r="G720">
        <f>IF(A720="","",0)</f>
        <v/>
      </c>
    </row>
    <row r="721">
      <c r="A721" s="23">
        <f>IFERROR(INDEX($R$9:$R$809,ROW()-8),"")</f>
        <v/>
      </c>
      <c r="B721">
        <f>IFERROR(INDEX($S$9:$S$809,ROW()-8),"")</f>
        <v/>
      </c>
      <c r="C721">
        <f>IFERROR(INDEX($W$9:$W$809,ROW()-8),"")</f>
        <v/>
      </c>
      <c r="D721" s="26">
        <f>IF(COUNT(B720:B721)=2,LN(B721/B720),"")</f>
        <v/>
      </c>
      <c r="E721" s="27">
        <f>IF(COUNT(C720:C721)=2,(C721-C720)*100,"")</f>
        <v/>
      </c>
      <c r="F721" s="28">
        <f>IF(ROW()-8&lt;CorrWindow,"",IFERROR(CORREL(INDEX($D$9:$D$809,ROW()-8-CorrWindow+1):D721,INDEX($E$9:$E$809,ROW()-8-CorrWindow+1):E721),""))</f>
        <v/>
      </c>
      <c r="G721">
        <f>IF(A721="","",0)</f>
        <v/>
      </c>
    </row>
    <row r="722">
      <c r="A722" s="23">
        <f>IFERROR(INDEX($R$9:$R$809,ROW()-8),"")</f>
        <v/>
      </c>
      <c r="B722">
        <f>IFERROR(INDEX($S$9:$S$809,ROW()-8),"")</f>
        <v/>
      </c>
      <c r="C722">
        <f>IFERROR(INDEX($W$9:$W$809,ROW()-8),"")</f>
        <v/>
      </c>
      <c r="D722" s="26">
        <f>IF(COUNT(B721:B722)=2,LN(B722/B721),"")</f>
        <v/>
      </c>
      <c r="E722" s="27">
        <f>IF(COUNT(C721:C722)=2,(C722-C721)*100,"")</f>
        <v/>
      </c>
      <c r="F722" s="28">
        <f>IF(ROW()-8&lt;CorrWindow,"",IFERROR(CORREL(INDEX($D$9:$D$809,ROW()-8-CorrWindow+1):D722,INDEX($E$9:$E$809,ROW()-8-CorrWindow+1):E722),""))</f>
        <v/>
      </c>
      <c r="G722">
        <f>IF(A722="","",0)</f>
        <v/>
      </c>
    </row>
    <row r="723">
      <c r="A723" s="23">
        <f>IFERROR(INDEX($R$9:$R$809,ROW()-8),"")</f>
        <v/>
      </c>
      <c r="B723">
        <f>IFERROR(INDEX($S$9:$S$809,ROW()-8),"")</f>
        <v/>
      </c>
      <c r="C723">
        <f>IFERROR(INDEX($W$9:$W$809,ROW()-8),"")</f>
        <v/>
      </c>
      <c r="D723" s="26">
        <f>IF(COUNT(B722:B723)=2,LN(B723/B722),"")</f>
        <v/>
      </c>
      <c r="E723" s="27">
        <f>IF(COUNT(C722:C723)=2,(C723-C722)*100,"")</f>
        <v/>
      </c>
      <c r="F723" s="28">
        <f>IF(ROW()-8&lt;CorrWindow,"",IFERROR(CORREL(INDEX($D$9:$D$809,ROW()-8-CorrWindow+1):D723,INDEX($E$9:$E$809,ROW()-8-CorrWindow+1):E723),""))</f>
        <v/>
      </c>
      <c r="G723">
        <f>IF(A723="","",0)</f>
        <v/>
      </c>
    </row>
    <row r="724">
      <c r="A724" s="23">
        <f>IFERROR(INDEX($R$9:$R$809,ROW()-8),"")</f>
        <v/>
      </c>
      <c r="B724">
        <f>IFERROR(INDEX($S$9:$S$809,ROW()-8),"")</f>
        <v/>
      </c>
      <c r="C724">
        <f>IFERROR(INDEX($W$9:$W$809,ROW()-8),"")</f>
        <v/>
      </c>
      <c r="D724" s="26">
        <f>IF(COUNT(B723:B724)=2,LN(B724/B723),"")</f>
        <v/>
      </c>
      <c r="E724" s="27">
        <f>IF(COUNT(C723:C724)=2,(C724-C723)*100,"")</f>
        <v/>
      </c>
      <c r="F724" s="28">
        <f>IF(ROW()-8&lt;CorrWindow,"",IFERROR(CORREL(INDEX($D$9:$D$809,ROW()-8-CorrWindow+1):D724,INDEX($E$9:$E$809,ROW()-8-CorrWindow+1):E724),""))</f>
        <v/>
      </c>
      <c r="G724">
        <f>IF(A724="","",0)</f>
        <v/>
      </c>
    </row>
    <row r="725">
      <c r="A725" s="23">
        <f>IFERROR(INDEX($R$9:$R$809,ROW()-8),"")</f>
        <v/>
      </c>
      <c r="B725">
        <f>IFERROR(INDEX($S$9:$S$809,ROW()-8),"")</f>
        <v/>
      </c>
      <c r="C725">
        <f>IFERROR(INDEX($W$9:$W$809,ROW()-8),"")</f>
        <v/>
      </c>
      <c r="D725" s="26">
        <f>IF(COUNT(B724:B725)=2,LN(B725/B724),"")</f>
        <v/>
      </c>
      <c r="E725" s="27">
        <f>IF(COUNT(C724:C725)=2,(C725-C724)*100,"")</f>
        <v/>
      </c>
      <c r="F725" s="28">
        <f>IF(ROW()-8&lt;CorrWindow,"",IFERROR(CORREL(INDEX($D$9:$D$809,ROW()-8-CorrWindow+1):D725,INDEX($E$9:$E$809,ROW()-8-CorrWindow+1):E725),""))</f>
        <v/>
      </c>
      <c r="G725">
        <f>IF(A725="","",0)</f>
        <v/>
      </c>
    </row>
    <row r="726">
      <c r="A726" s="23">
        <f>IFERROR(INDEX($R$9:$R$809,ROW()-8),"")</f>
        <v/>
      </c>
      <c r="B726">
        <f>IFERROR(INDEX($S$9:$S$809,ROW()-8),"")</f>
        <v/>
      </c>
      <c r="C726">
        <f>IFERROR(INDEX($W$9:$W$809,ROW()-8),"")</f>
        <v/>
      </c>
      <c r="D726" s="26">
        <f>IF(COUNT(B725:B726)=2,LN(B726/B725),"")</f>
        <v/>
      </c>
      <c r="E726" s="27">
        <f>IF(COUNT(C725:C726)=2,(C726-C725)*100,"")</f>
        <v/>
      </c>
      <c r="F726" s="28">
        <f>IF(ROW()-8&lt;CorrWindow,"",IFERROR(CORREL(INDEX($D$9:$D$809,ROW()-8-CorrWindow+1):D726,INDEX($E$9:$E$809,ROW()-8-CorrWindow+1):E726),""))</f>
        <v/>
      </c>
      <c r="G726">
        <f>IF(A726="","",0)</f>
        <v/>
      </c>
    </row>
    <row r="727">
      <c r="A727" s="23">
        <f>IFERROR(INDEX($R$9:$R$809,ROW()-8),"")</f>
        <v/>
      </c>
      <c r="B727">
        <f>IFERROR(INDEX($S$9:$S$809,ROW()-8),"")</f>
        <v/>
      </c>
      <c r="C727">
        <f>IFERROR(INDEX($W$9:$W$809,ROW()-8),"")</f>
        <v/>
      </c>
      <c r="D727" s="26">
        <f>IF(COUNT(B726:B727)=2,LN(B727/B726),"")</f>
        <v/>
      </c>
      <c r="E727" s="27">
        <f>IF(COUNT(C726:C727)=2,(C727-C726)*100,"")</f>
        <v/>
      </c>
      <c r="F727" s="28">
        <f>IF(ROW()-8&lt;CorrWindow,"",IFERROR(CORREL(INDEX($D$9:$D$809,ROW()-8-CorrWindow+1):D727,INDEX($E$9:$E$809,ROW()-8-CorrWindow+1):E727),""))</f>
        <v/>
      </c>
      <c r="G727">
        <f>IF(A727="","",0)</f>
        <v/>
      </c>
    </row>
    <row r="728">
      <c r="A728" s="23">
        <f>IFERROR(INDEX($R$9:$R$809,ROW()-8),"")</f>
        <v/>
      </c>
      <c r="B728">
        <f>IFERROR(INDEX($S$9:$S$809,ROW()-8),"")</f>
        <v/>
      </c>
      <c r="C728">
        <f>IFERROR(INDEX($W$9:$W$809,ROW()-8),"")</f>
        <v/>
      </c>
      <c r="D728" s="26">
        <f>IF(COUNT(B727:B728)=2,LN(B728/B727),"")</f>
        <v/>
      </c>
      <c r="E728" s="27">
        <f>IF(COUNT(C727:C728)=2,(C728-C727)*100,"")</f>
        <v/>
      </c>
      <c r="F728" s="28">
        <f>IF(ROW()-8&lt;CorrWindow,"",IFERROR(CORREL(INDEX($D$9:$D$809,ROW()-8-CorrWindow+1):D728,INDEX($E$9:$E$809,ROW()-8-CorrWindow+1):E728),""))</f>
        <v/>
      </c>
      <c r="G728">
        <f>IF(A728="","",0)</f>
        <v/>
      </c>
    </row>
    <row r="729">
      <c r="A729" s="23">
        <f>IFERROR(INDEX($R$9:$R$809,ROW()-8),"")</f>
        <v/>
      </c>
      <c r="B729">
        <f>IFERROR(INDEX($S$9:$S$809,ROW()-8),"")</f>
        <v/>
      </c>
      <c r="C729">
        <f>IFERROR(INDEX($W$9:$W$809,ROW()-8),"")</f>
        <v/>
      </c>
      <c r="D729" s="26">
        <f>IF(COUNT(B728:B729)=2,LN(B729/B728),"")</f>
        <v/>
      </c>
      <c r="E729" s="27">
        <f>IF(COUNT(C728:C729)=2,(C729-C728)*100,"")</f>
        <v/>
      </c>
      <c r="F729" s="28">
        <f>IF(ROW()-8&lt;CorrWindow,"",IFERROR(CORREL(INDEX($D$9:$D$809,ROW()-8-CorrWindow+1):D729,INDEX($E$9:$E$809,ROW()-8-CorrWindow+1):E729),""))</f>
        <v/>
      </c>
      <c r="G729">
        <f>IF(A729="","",0)</f>
        <v/>
      </c>
    </row>
    <row r="730">
      <c r="A730" s="23">
        <f>IFERROR(INDEX($R$9:$R$809,ROW()-8),"")</f>
        <v/>
      </c>
      <c r="B730">
        <f>IFERROR(INDEX($S$9:$S$809,ROW()-8),"")</f>
        <v/>
      </c>
      <c r="C730">
        <f>IFERROR(INDEX($W$9:$W$809,ROW()-8),"")</f>
        <v/>
      </c>
      <c r="D730" s="26">
        <f>IF(COUNT(B729:B730)=2,LN(B730/B729),"")</f>
        <v/>
      </c>
      <c r="E730" s="27">
        <f>IF(COUNT(C729:C730)=2,(C730-C729)*100,"")</f>
        <v/>
      </c>
      <c r="F730" s="28">
        <f>IF(ROW()-8&lt;CorrWindow,"",IFERROR(CORREL(INDEX($D$9:$D$809,ROW()-8-CorrWindow+1):D730,INDEX($E$9:$E$809,ROW()-8-CorrWindow+1):E730),""))</f>
        <v/>
      </c>
      <c r="G730">
        <f>IF(A730="","",0)</f>
        <v/>
      </c>
    </row>
    <row r="731">
      <c r="A731" s="23">
        <f>IFERROR(INDEX($R$9:$R$809,ROW()-8),"")</f>
        <v/>
      </c>
      <c r="B731">
        <f>IFERROR(INDEX($S$9:$S$809,ROW()-8),"")</f>
        <v/>
      </c>
      <c r="C731">
        <f>IFERROR(INDEX($W$9:$W$809,ROW()-8),"")</f>
        <v/>
      </c>
      <c r="D731" s="26">
        <f>IF(COUNT(B730:B731)=2,LN(B731/B730),"")</f>
        <v/>
      </c>
      <c r="E731" s="27">
        <f>IF(COUNT(C730:C731)=2,(C731-C730)*100,"")</f>
        <v/>
      </c>
      <c r="F731" s="28">
        <f>IF(ROW()-8&lt;CorrWindow,"",IFERROR(CORREL(INDEX($D$9:$D$809,ROW()-8-CorrWindow+1):D731,INDEX($E$9:$E$809,ROW()-8-CorrWindow+1):E731),""))</f>
        <v/>
      </c>
      <c r="G731">
        <f>IF(A731="","",0)</f>
        <v/>
      </c>
    </row>
    <row r="732">
      <c r="A732" s="23">
        <f>IFERROR(INDEX($R$9:$R$809,ROW()-8),"")</f>
        <v/>
      </c>
      <c r="B732">
        <f>IFERROR(INDEX($S$9:$S$809,ROW()-8),"")</f>
        <v/>
      </c>
      <c r="C732">
        <f>IFERROR(INDEX($W$9:$W$809,ROW()-8),"")</f>
        <v/>
      </c>
      <c r="D732" s="26">
        <f>IF(COUNT(B731:B732)=2,LN(B732/B731),"")</f>
        <v/>
      </c>
      <c r="E732" s="27">
        <f>IF(COUNT(C731:C732)=2,(C732-C731)*100,"")</f>
        <v/>
      </c>
      <c r="F732" s="28">
        <f>IF(ROW()-8&lt;CorrWindow,"",IFERROR(CORREL(INDEX($D$9:$D$809,ROW()-8-CorrWindow+1):D732,INDEX($E$9:$E$809,ROW()-8-CorrWindow+1):E732),""))</f>
        <v/>
      </c>
      <c r="G732">
        <f>IF(A732="","",0)</f>
        <v/>
      </c>
    </row>
    <row r="733">
      <c r="A733" s="23">
        <f>IFERROR(INDEX($R$9:$R$809,ROW()-8),"")</f>
        <v/>
      </c>
      <c r="B733">
        <f>IFERROR(INDEX($S$9:$S$809,ROW()-8),"")</f>
        <v/>
      </c>
      <c r="C733">
        <f>IFERROR(INDEX($W$9:$W$809,ROW()-8),"")</f>
        <v/>
      </c>
      <c r="D733" s="26">
        <f>IF(COUNT(B732:B733)=2,LN(B733/B732),"")</f>
        <v/>
      </c>
      <c r="E733" s="27">
        <f>IF(COUNT(C732:C733)=2,(C733-C732)*100,"")</f>
        <v/>
      </c>
      <c r="F733" s="28">
        <f>IF(ROW()-8&lt;CorrWindow,"",IFERROR(CORREL(INDEX($D$9:$D$809,ROW()-8-CorrWindow+1):D733,INDEX($E$9:$E$809,ROW()-8-CorrWindow+1):E733),""))</f>
        <v/>
      </c>
      <c r="G733">
        <f>IF(A733="","",0)</f>
        <v/>
      </c>
    </row>
    <row r="734">
      <c r="A734" s="23">
        <f>IFERROR(INDEX($R$9:$R$809,ROW()-8),"")</f>
        <v/>
      </c>
      <c r="B734">
        <f>IFERROR(INDEX($S$9:$S$809,ROW()-8),"")</f>
        <v/>
      </c>
      <c r="C734">
        <f>IFERROR(INDEX($W$9:$W$809,ROW()-8),"")</f>
        <v/>
      </c>
      <c r="D734" s="26">
        <f>IF(COUNT(B733:B734)=2,LN(B734/B733),"")</f>
        <v/>
      </c>
      <c r="E734" s="27">
        <f>IF(COUNT(C733:C734)=2,(C734-C733)*100,"")</f>
        <v/>
      </c>
      <c r="F734" s="28">
        <f>IF(ROW()-8&lt;CorrWindow,"",IFERROR(CORREL(INDEX($D$9:$D$809,ROW()-8-CorrWindow+1):D734,INDEX($E$9:$E$809,ROW()-8-CorrWindow+1):E734),""))</f>
        <v/>
      </c>
      <c r="G734">
        <f>IF(A734="","",0)</f>
        <v/>
      </c>
    </row>
    <row r="735">
      <c r="A735" s="23">
        <f>IFERROR(INDEX($R$9:$R$809,ROW()-8),"")</f>
        <v/>
      </c>
      <c r="B735">
        <f>IFERROR(INDEX($S$9:$S$809,ROW()-8),"")</f>
        <v/>
      </c>
      <c r="C735">
        <f>IFERROR(INDEX($W$9:$W$809,ROW()-8),"")</f>
        <v/>
      </c>
      <c r="D735" s="26">
        <f>IF(COUNT(B734:B735)=2,LN(B735/B734),"")</f>
        <v/>
      </c>
      <c r="E735" s="27">
        <f>IF(COUNT(C734:C735)=2,(C735-C734)*100,"")</f>
        <v/>
      </c>
      <c r="F735" s="28">
        <f>IF(ROW()-8&lt;CorrWindow,"",IFERROR(CORREL(INDEX($D$9:$D$809,ROW()-8-CorrWindow+1):D735,INDEX($E$9:$E$809,ROW()-8-CorrWindow+1):E735),""))</f>
        <v/>
      </c>
      <c r="G735">
        <f>IF(A735="","",0)</f>
        <v/>
      </c>
    </row>
    <row r="736">
      <c r="A736" s="23">
        <f>IFERROR(INDEX($R$9:$R$809,ROW()-8),"")</f>
        <v/>
      </c>
      <c r="B736">
        <f>IFERROR(INDEX($S$9:$S$809,ROW()-8),"")</f>
        <v/>
      </c>
      <c r="C736">
        <f>IFERROR(INDEX($W$9:$W$809,ROW()-8),"")</f>
        <v/>
      </c>
      <c r="D736" s="26">
        <f>IF(COUNT(B735:B736)=2,LN(B736/B735),"")</f>
        <v/>
      </c>
      <c r="E736" s="27">
        <f>IF(COUNT(C735:C736)=2,(C736-C735)*100,"")</f>
        <v/>
      </c>
      <c r="F736" s="28">
        <f>IF(ROW()-8&lt;CorrWindow,"",IFERROR(CORREL(INDEX($D$9:$D$809,ROW()-8-CorrWindow+1):D736,INDEX($E$9:$E$809,ROW()-8-CorrWindow+1):E736),""))</f>
        <v/>
      </c>
      <c r="G736">
        <f>IF(A736="","",0)</f>
        <v/>
      </c>
    </row>
    <row r="737">
      <c r="A737" s="23">
        <f>IFERROR(INDEX($R$9:$R$809,ROW()-8),"")</f>
        <v/>
      </c>
      <c r="B737">
        <f>IFERROR(INDEX($S$9:$S$809,ROW()-8),"")</f>
        <v/>
      </c>
      <c r="C737">
        <f>IFERROR(INDEX($W$9:$W$809,ROW()-8),"")</f>
        <v/>
      </c>
      <c r="D737" s="26">
        <f>IF(COUNT(B736:B737)=2,LN(B737/B736),"")</f>
        <v/>
      </c>
      <c r="E737" s="27">
        <f>IF(COUNT(C736:C737)=2,(C737-C736)*100,"")</f>
        <v/>
      </c>
      <c r="F737" s="28">
        <f>IF(ROW()-8&lt;CorrWindow,"",IFERROR(CORREL(INDEX($D$9:$D$809,ROW()-8-CorrWindow+1):D737,INDEX($E$9:$E$809,ROW()-8-CorrWindow+1):E737),""))</f>
        <v/>
      </c>
      <c r="G737">
        <f>IF(A737="","",0)</f>
        <v/>
      </c>
    </row>
    <row r="738">
      <c r="A738" s="23">
        <f>IFERROR(INDEX($R$9:$R$809,ROW()-8),"")</f>
        <v/>
      </c>
      <c r="B738">
        <f>IFERROR(INDEX($S$9:$S$809,ROW()-8),"")</f>
        <v/>
      </c>
      <c r="C738">
        <f>IFERROR(INDEX($W$9:$W$809,ROW()-8),"")</f>
        <v/>
      </c>
      <c r="D738" s="26">
        <f>IF(COUNT(B737:B738)=2,LN(B738/B737),"")</f>
        <v/>
      </c>
      <c r="E738" s="27">
        <f>IF(COUNT(C737:C738)=2,(C738-C737)*100,"")</f>
        <v/>
      </c>
      <c r="F738" s="28">
        <f>IF(ROW()-8&lt;CorrWindow,"",IFERROR(CORREL(INDEX($D$9:$D$809,ROW()-8-CorrWindow+1):D738,INDEX($E$9:$E$809,ROW()-8-CorrWindow+1):E738),""))</f>
        <v/>
      </c>
      <c r="G738">
        <f>IF(A738="","",0)</f>
        <v/>
      </c>
    </row>
    <row r="739">
      <c r="A739" s="23">
        <f>IFERROR(INDEX($R$9:$R$809,ROW()-8),"")</f>
        <v/>
      </c>
      <c r="B739">
        <f>IFERROR(INDEX($S$9:$S$809,ROW()-8),"")</f>
        <v/>
      </c>
      <c r="C739">
        <f>IFERROR(INDEX($W$9:$W$809,ROW()-8),"")</f>
        <v/>
      </c>
      <c r="D739" s="26">
        <f>IF(COUNT(B738:B739)=2,LN(B739/B738),"")</f>
        <v/>
      </c>
      <c r="E739" s="27">
        <f>IF(COUNT(C738:C739)=2,(C739-C738)*100,"")</f>
        <v/>
      </c>
      <c r="F739" s="28">
        <f>IF(ROW()-8&lt;CorrWindow,"",IFERROR(CORREL(INDEX($D$9:$D$809,ROW()-8-CorrWindow+1):D739,INDEX($E$9:$E$809,ROW()-8-CorrWindow+1):E739),""))</f>
        <v/>
      </c>
      <c r="G739">
        <f>IF(A739="","",0)</f>
        <v/>
      </c>
    </row>
    <row r="740">
      <c r="A740" s="23">
        <f>IFERROR(INDEX($R$9:$R$809,ROW()-8),"")</f>
        <v/>
      </c>
      <c r="B740">
        <f>IFERROR(INDEX($S$9:$S$809,ROW()-8),"")</f>
        <v/>
      </c>
      <c r="C740">
        <f>IFERROR(INDEX($W$9:$W$809,ROW()-8),"")</f>
        <v/>
      </c>
      <c r="D740" s="26">
        <f>IF(COUNT(B739:B740)=2,LN(B740/B739),"")</f>
        <v/>
      </c>
      <c r="E740" s="27">
        <f>IF(COUNT(C739:C740)=2,(C740-C739)*100,"")</f>
        <v/>
      </c>
      <c r="F740" s="28">
        <f>IF(ROW()-8&lt;CorrWindow,"",IFERROR(CORREL(INDEX($D$9:$D$809,ROW()-8-CorrWindow+1):D740,INDEX($E$9:$E$809,ROW()-8-CorrWindow+1):E740),""))</f>
        <v/>
      </c>
      <c r="G740">
        <f>IF(A740="","",0)</f>
        <v/>
      </c>
    </row>
    <row r="741">
      <c r="A741" s="23">
        <f>IFERROR(INDEX($R$9:$R$809,ROW()-8),"")</f>
        <v/>
      </c>
      <c r="B741">
        <f>IFERROR(INDEX($S$9:$S$809,ROW()-8),"")</f>
        <v/>
      </c>
      <c r="C741">
        <f>IFERROR(INDEX($W$9:$W$809,ROW()-8),"")</f>
        <v/>
      </c>
      <c r="D741" s="26">
        <f>IF(COUNT(B740:B741)=2,LN(B741/B740),"")</f>
        <v/>
      </c>
      <c r="E741" s="27">
        <f>IF(COUNT(C740:C741)=2,(C741-C740)*100,"")</f>
        <v/>
      </c>
      <c r="F741" s="28">
        <f>IF(ROW()-8&lt;CorrWindow,"",IFERROR(CORREL(INDEX($D$9:$D$809,ROW()-8-CorrWindow+1):D741,INDEX($E$9:$E$809,ROW()-8-CorrWindow+1):E741),""))</f>
        <v/>
      </c>
      <c r="G741">
        <f>IF(A741="","",0)</f>
        <v/>
      </c>
    </row>
    <row r="742">
      <c r="A742" s="23">
        <f>IFERROR(INDEX($R$9:$R$809,ROW()-8),"")</f>
        <v/>
      </c>
      <c r="B742">
        <f>IFERROR(INDEX($S$9:$S$809,ROW()-8),"")</f>
        <v/>
      </c>
      <c r="C742">
        <f>IFERROR(INDEX($W$9:$W$809,ROW()-8),"")</f>
        <v/>
      </c>
      <c r="D742" s="26">
        <f>IF(COUNT(B741:B742)=2,LN(B742/B741),"")</f>
        <v/>
      </c>
      <c r="E742" s="27">
        <f>IF(COUNT(C741:C742)=2,(C742-C741)*100,"")</f>
        <v/>
      </c>
      <c r="F742" s="28">
        <f>IF(ROW()-8&lt;CorrWindow,"",IFERROR(CORREL(INDEX($D$9:$D$809,ROW()-8-CorrWindow+1):D742,INDEX($E$9:$E$809,ROW()-8-CorrWindow+1):E742),""))</f>
        <v/>
      </c>
      <c r="G742">
        <f>IF(A742="","",0)</f>
        <v/>
      </c>
    </row>
    <row r="743">
      <c r="A743" s="23">
        <f>IFERROR(INDEX($R$9:$R$809,ROW()-8),"")</f>
        <v/>
      </c>
      <c r="B743">
        <f>IFERROR(INDEX($S$9:$S$809,ROW()-8),"")</f>
        <v/>
      </c>
      <c r="C743">
        <f>IFERROR(INDEX($W$9:$W$809,ROW()-8),"")</f>
        <v/>
      </c>
      <c r="D743" s="26">
        <f>IF(COUNT(B742:B743)=2,LN(B743/B742),"")</f>
        <v/>
      </c>
      <c r="E743" s="27">
        <f>IF(COUNT(C742:C743)=2,(C743-C742)*100,"")</f>
        <v/>
      </c>
      <c r="F743" s="28">
        <f>IF(ROW()-8&lt;CorrWindow,"",IFERROR(CORREL(INDEX($D$9:$D$809,ROW()-8-CorrWindow+1):D743,INDEX($E$9:$E$809,ROW()-8-CorrWindow+1):E743),""))</f>
        <v/>
      </c>
      <c r="G743">
        <f>IF(A743="","",0)</f>
        <v/>
      </c>
    </row>
    <row r="744">
      <c r="A744" s="23">
        <f>IFERROR(INDEX($R$9:$R$809,ROW()-8),"")</f>
        <v/>
      </c>
      <c r="B744">
        <f>IFERROR(INDEX($S$9:$S$809,ROW()-8),"")</f>
        <v/>
      </c>
      <c r="C744">
        <f>IFERROR(INDEX($W$9:$W$809,ROW()-8),"")</f>
        <v/>
      </c>
      <c r="D744" s="26">
        <f>IF(COUNT(B743:B744)=2,LN(B744/B743),"")</f>
        <v/>
      </c>
      <c r="E744" s="27">
        <f>IF(COUNT(C743:C744)=2,(C744-C743)*100,"")</f>
        <v/>
      </c>
      <c r="F744" s="28">
        <f>IF(ROW()-8&lt;CorrWindow,"",IFERROR(CORREL(INDEX($D$9:$D$809,ROW()-8-CorrWindow+1):D744,INDEX($E$9:$E$809,ROW()-8-CorrWindow+1):E744),""))</f>
        <v/>
      </c>
      <c r="G744">
        <f>IF(A744="","",0)</f>
        <v/>
      </c>
    </row>
    <row r="745">
      <c r="A745" s="23">
        <f>IFERROR(INDEX($R$9:$R$809,ROW()-8),"")</f>
        <v/>
      </c>
      <c r="B745">
        <f>IFERROR(INDEX($S$9:$S$809,ROW()-8),"")</f>
        <v/>
      </c>
      <c r="C745">
        <f>IFERROR(INDEX($W$9:$W$809,ROW()-8),"")</f>
        <v/>
      </c>
      <c r="D745" s="26">
        <f>IF(COUNT(B744:B745)=2,LN(B745/B744),"")</f>
        <v/>
      </c>
      <c r="E745" s="27">
        <f>IF(COUNT(C744:C745)=2,(C745-C744)*100,"")</f>
        <v/>
      </c>
      <c r="F745" s="28">
        <f>IF(ROW()-8&lt;CorrWindow,"",IFERROR(CORREL(INDEX($D$9:$D$809,ROW()-8-CorrWindow+1):D745,INDEX($E$9:$E$809,ROW()-8-CorrWindow+1):E745),""))</f>
        <v/>
      </c>
      <c r="G745">
        <f>IF(A745="","",0)</f>
        <v/>
      </c>
    </row>
    <row r="746">
      <c r="A746" s="23">
        <f>IFERROR(INDEX($R$9:$R$809,ROW()-8),"")</f>
        <v/>
      </c>
      <c r="B746">
        <f>IFERROR(INDEX($S$9:$S$809,ROW()-8),"")</f>
        <v/>
      </c>
      <c r="C746">
        <f>IFERROR(INDEX($W$9:$W$809,ROW()-8),"")</f>
        <v/>
      </c>
      <c r="D746" s="26">
        <f>IF(COUNT(B745:B746)=2,LN(B746/B745),"")</f>
        <v/>
      </c>
      <c r="E746" s="27">
        <f>IF(COUNT(C745:C746)=2,(C746-C745)*100,"")</f>
        <v/>
      </c>
      <c r="F746" s="28">
        <f>IF(ROW()-8&lt;CorrWindow,"",IFERROR(CORREL(INDEX($D$9:$D$809,ROW()-8-CorrWindow+1):D746,INDEX($E$9:$E$809,ROW()-8-CorrWindow+1):E746),""))</f>
        <v/>
      </c>
      <c r="G746">
        <f>IF(A746="","",0)</f>
        <v/>
      </c>
    </row>
    <row r="747">
      <c r="A747" s="23">
        <f>IFERROR(INDEX($R$9:$R$809,ROW()-8),"")</f>
        <v/>
      </c>
      <c r="B747">
        <f>IFERROR(INDEX($S$9:$S$809,ROW()-8),"")</f>
        <v/>
      </c>
      <c r="C747">
        <f>IFERROR(INDEX($W$9:$W$809,ROW()-8),"")</f>
        <v/>
      </c>
      <c r="D747" s="26">
        <f>IF(COUNT(B746:B747)=2,LN(B747/B746),"")</f>
        <v/>
      </c>
      <c r="E747" s="27">
        <f>IF(COUNT(C746:C747)=2,(C747-C746)*100,"")</f>
        <v/>
      </c>
      <c r="F747" s="28">
        <f>IF(ROW()-8&lt;CorrWindow,"",IFERROR(CORREL(INDEX($D$9:$D$809,ROW()-8-CorrWindow+1):D747,INDEX($E$9:$E$809,ROW()-8-CorrWindow+1):E747),""))</f>
        <v/>
      </c>
      <c r="G747">
        <f>IF(A747="","",0)</f>
        <v/>
      </c>
    </row>
    <row r="748">
      <c r="A748" s="23">
        <f>IFERROR(INDEX($R$9:$R$809,ROW()-8),"")</f>
        <v/>
      </c>
      <c r="B748">
        <f>IFERROR(INDEX($S$9:$S$809,ROW()-8),"")</f>
        <v/>
      </c>
      <c r="C748">
        <f>IFERROR(INDEX($W$9:$W$809,ROW()-8),"")</f>
        <v/>
      </c>
      <c r="D748" s="26">
        <f>IF(COUNT(B747:B748)=2,LN(B748/B747),"")</f>
        <v/>
      </c>
      <c r="E748" s="27">
        <f>IF(COUNT(C747:C748)=2,(C748-C747)*100,"")</f>
        <v/>
      </c>
      <c r="F748" s="28">
        <f>IF(ROW()-8&lt;CorrWindow,"",IFERROR(CORREL(INDEX($D$9:$D$809,ROW()-8-CorrWindow+1):D748,INDEX($E$9:$E$809,ROW()-8-CorrWindow+1):E748),""))</f>
        <v/>
      </c>
      <c r="G748">
        <f>IF(A748="","",0)</f>
        <v/>
      </c>
    </row>
    <row r="749">
      <c r="A749" s="23">
        <f>IFERROR(INDEX($R$9:$R$809,ROW()-8),"")</f>
        <v/>
      </c>
      <c r="B749">
        <f>IFERROR(INDEX($S$9:$S$809,ROW()-8),"")</f>
        <v/>
      </c>
      <c r="C749">
        <f>IFERROR(INDEX($W$9:$W$809,ROW()-8),"")</f>
        <v/>
      </c>
      <c r="D749" s="26">
        <f>IF(COUNT(B748:B749)=2,LN(B749/B748),"")</f>
        <v/>
      </c>
      <c r="E749" s="27">
        <f>IF(COUNT(C748:C749)=2,(C749-C748)*100,"")</f>
        <v/>
      </c>
      <c r="F749" s="28">
        <f>IF(ROW()-8&lt;CorrWindow,"",IFERROR(CORREL(INDEX($D$9:$D$809,ROW()-8-CorrWindow+1):D749,INDEX($E$9:$E$809,ROW()-8-CorrWindow+1):E749),""))</f>
        <v/>
      </c>
      <c r="G749">
        <f>IF(A749="","",0)</f>
        <v/>
      </c>
    </row>
    <row r="750">
      <c r="A750" s="23">
        <f>IFERROR(INDEX($R$9:$R$809,ROW()-8),"")</f>
        <v/>
      </c>
      <c r="B750">
        <f>IFERROR(INDEX($S$9:$S$809,ROW()-8),"")</f>
        <v/>
      </c>
      <c r="C750">
        <f>IFERROR(INDEX($W$9:$W$809,ROW()-8),"")</f>
        <v/>
      </c>
      <c r="D750" s="26">
        <f>IF(COUNT(B749:B750)=2,LN(B750/B749),"")</f>
        <v/>
      </c>
      <c r="E750" s="27">
        <f>IF(COUNT(C749:C750)=2,(C750-C749)*100,"")</f>
        <v/>
      </c>
      <c r="F750" s="28">
        <f>IF(ROW()-8&lt;CorrWindow,"",IFERROR(CORREL(INDEX($D$9:$D$809,ROW()-8-CorrWindow+1):D750,INDEX($E$9:$E$809,ROW()-8-CorrWindow+1):E750),""))</f>
        <v/>
      </c>
      <c r="G750">
        <f>IF(A750="","",0)</f>
        <v/>
      </c>
    </row>
    <row r="751">
      <c r="A751" s="23">
        <f>IFERROR(INDEX($R$9:$R$809,ROW()-8),"")</f>
        <v/>
      </c>
      <c r="B751">
        <f>IFERROR(INDEX($S$9:$S$809,ROW()-8),"")</f>
        <v/>
      </c>
      <c r="C751">
        <f>IFERROR(INDEX($W$9:$W$809,ROW()-8),"")</f>
        <v/>
      </c>
      <c r="D751" s="26">
        <f>IF(COUNT(B750:B751)=2,LN(B751/B750),"")</f>
        <v/>
      </c>
      <c r="E751" s="27">
        <f>IF(COUNT(C750:C751)=2,(C751-C750)*100,"")</f>
        <v/>
      </c>
      <c r="F751" s="28">
        <f>IF(ROW()-8&lt;CorrWindow,"",IFERROR(CORREL(INDEX($D$9:$D$809,ROW()-8-CorrWindow+1):D751,INDEX($E$9:$E$809,ROW()-8-CorrWindow+1):E751),""))</f>
        <v/>
      </c>
      <c r="G751">
        <f>IF(A751="","",0)</f>
        <v/>
      </c>
    </row>
    <row r="752">
      <c r="A752" s="23">
        <f>IFERROR(INDEX($R$9:$R$809,ROW()-8),"")</f>
        <v/>
      </c>
      <c r="B752">
        <f>IFERROR(INDEX($S$9:$S$809,ROW()-8),"")</f>
        <v/>
      </c>
      <c r="C752">
        <f>IFERROR(INDEX($W$9:$W$809,ROW()-8),"")</f>
        <v/>
      </c>
      <c r="D752" s="26">
        <f>IF(COUNT(B751:B752)=2,LN(B752/B751),"")</f>
        <v/>
      </c>
      <c r="E752" s="27">
        <f>IF(COUNT(C751:C752)=2,(C752-C751)*100,"")</f>
        <v/>
      </c>
      <c r="F752" s="28">
        <f>IF(ROW()-8&lt;CorrWindow,"",IFERROR(CORREL(INDEX($D$9:$D$809,ROW()-8-CorrWindow+1):D752,INDEX($E$9:$E$809,ROW()-8-CorrWindow+1):E752),""))</f>
        <v/>
      </c>
      <c r="G752">
        <f>IF(A752="","",0)</f>
        <v/>
      </c>
    </row>
    <row r="753">
      <c r="A753" s="23">
        <f>IFERROR(INDEX($R$9:$R$809,ROW()-8),"")</f>
        <v/>
      </c>
      <c r="B753">
        <f>IFERROR(INDEX($S$9:$S$809,ROW()-8),"")</f>
        <v/>
      </c>
      <c r="C753">
        <f>IFERROR(INDEX($W$9:$W$809,ROW()-8),"")</f>
        <v/>
      </c>
      <c r="D753" s="26">
        <f>IF(COUNT(B752:B753)=2,LN(B753/B752),"")</f>
        <v/>
      </c>
      <c r="E753" s="27">
        <f>IF(COUNT(C752:C753)=2,(C753-C752)*100,"")</f>
        <v/>
      </c>
      <c r="F753" s="28">
        <f>IF(ROW()-8&lt;CorrWindow,"",IFERROR(CORREL(INDEX($D$9:$D$809,ROW()-8-CorrWindow+1):D753,INDEX($E$9:$E$809,ROW()-8-CorrWindow+1):E753),""))</f>
        <v/>
      </c>
      <c r="G753">
        <f>IF(A753="","",0)</f>
        <v/>
      </c>
    </row>
    <row r="754">
      <c r="A754" s="23">
        <f>IFERROR(INDEX($R$9:$R$809,ROW()-8),"")</f>
        <v/>
      </c>
      <c r="B754">
        <f>IFERROR(INDEX($S$9:$S$809,ROW()-8),"")</f>
        <v/>
      </c>
      <c r="C754">
        <f>IFERROR(INDEX($W$9:$W$809,ROW()-8),"")</f>
        <v/>
      </c>
      <c r="D754" s="26">
        <f>IF(COUNT(B753:B754)=2,LN(B754/B753),"")</f>
        <v/>
      </c>
      <c r="E754" s="27">
        <f>IF(COUNT(C753:C754)=2,(C754-C753)*100,"")</f>
        <v/>
      </c>
      <c r="F754" s="28">
        <f>IF(ROW()-8&lt;CorrWindow,"",IFERROR(CORREL(INDEX($D$9:$D$809,ROW()-8-CorrWindow+1):D754,INDEX($E$9:$E$809,ROW()-8-CorrWindow+1):E754),""))</f>
        <v/>
      </c>
      <c r="G754">
        <f>IF(A754="","",0)</f>
        <v/>
      </c>
    </row>
    <row r="755">
      <c r="A755" s="23">
        <f>IFERROR(INDEX($R$9:$R$809,ROW()-8),"")</f>
        <v/>
      </c>
      <c r="B755">
        <f>IFERROR(INDEX($S$9:$S$809,ROW()-8),"")</f>
        <v/>
      </c>
      <c r="C755">
        <f>IFERROR(INDEX($W$9:$W$809,ROW()-8),"")</f>
        <v/>
      </c>
      <c r="D755" s="26">
        <f>IF(COUNT(B754:B755)=2,LN(B755/B754),"")</f>
        <v/>
      </c>
      <c r="E755" s="27">
        <f>IF(COUNT(C754:C755)=2,(C755-C754)*100,"")</f>
        <v/>
      </c>
      <c r="F755" s="28">
        <f>IF(ROW()-8&lt;CorrWindow,"",IFERROR(CORREL(INDEX($D$9:$D$809,ROW()-8-CorrWindow+1):D755,INDEX($E$9:$E$809,ROW()-8-CorrWindow+1):E755),""))</f>
        <v/>
      </c>
      <c r="G755">
        <f>IF(A755="","",0)</f>
        <v/>
      </c>
    </row>
    <row r="756">
      <c r="A756" s="23">
        <f>IFERROR(INDEX($R$9:$R$809,ROW()-8),"")</f>
        <v/>
      </c>
      <c r="B756">
        <f>IFERROR(INDEX($S$9:$S$809,ROW()-8),"")</f>
        <v/>
      </c>
      <c r="C756">
        <f>IFERROR(INDEX($W$9:$W$809,ROW()-8),"")</f>
        <v/>
      </c>
      <c r="D756" s="26">
        <f>IF(COUNT(B755:B756)=2,LN(B756/B755),"")</f>
        <v/>
      </c>
      <c r="E756" s="27">
        <f>IF(COUNT(C755:C756)=2,(C756-C755)*100,"")</f>
        <v/>
      </c>
      <c r="F756" s="28">
        <f>IF(ROW()-8&lt;CorrWindow,"",IFERROR(CORREL(INDEX($D$9:$D$809,ROW()-8-CorrWindow+1):D756,INDEX($E$9:$E$809,ROW()-8-CorrWindow+1):E756),""))</f>
        <v/>
      </c>
      <c r="G756">
        <f>IF(A756="","",0)</f>
        <v/>
      </c>
    </row>
    <row r="757">
      <c r="A757" s="23">
        <f>IFERROR(INDEX($R$9:$R$809,ROW()-8),"")</f>
        <v/>
      </c>
      <c r="B757">
        <f>IFERROR(INDEX($S$9:$S$809,ROW()-8),"")</f>
        <v/>
      </c>
      <c r="C757">
        <f>IFERROR(INDEX($W$9:$W$809,ROW()-8),"")</f>
        <v/>
      </c>
      <c r="D757" s="26">
        <f>IF(COUNT(B756:B757)=2,LN(B757/B756),"")</f>
        <v/>
      </c>
      <c r="E757" s="27">
        <f>IF(COUNT(C756:C757)=2,(C757-C756)*100,"")</f>
        <v/>
      </c>
      <c r="F757" s="28">
        <f>IF(ROW()-8&lt;CorrWindow,"",IFERROR(CORREL(INDEX($D$9:$D$809,ROW()-8-CorrWindow+1):D757,INDEX($E$9:$E$809,ROW()-8-CorrWindow+1):E757),""))</f>
        <v/>
      </c>
      <c r="G757">
        <f>IF(A757="","",0)</f>
        <v/>
      </c>
    </row>
    <row r="758">
      <c r="A758" s="23">
        <f>IFERROR(INDEX($R$9:$R$809,ROW()-8),"")</f>
        <v/>
      </c>
      <c r="B758">
        <f>IFERROR(INDEX($S$9:$S$809,ROW()-8),"")</f>
        <v/>
      </c>
      <c r="C758">
        <f>IFERROR(INDEX($W$9:$W$809,ROW()-8),"")</f>
        <v/>
      </c>
      <c r="D758" s="26">
        <f>IF(COUNT(B757:B758)=2,LN(B758/B757),"")</f>
        <v/>
      </c>
      <c r="E758" s="27">
        <f>IF(COUNT(C757:C758)=2,(C758-C757)*100,"")</f>
        <v/>
      </c>
      <c r="F758" s="28">
        <f>IF(ROW()-8&lt;CorrWindow,"",IFERROR(CORREL(INDEX($D$9:$D$809,ROW()-8-CorrWindow+1):D758,INDEX($E$9:$E$809,ROW()-8-CorrWindow+1):E758),""))</f>
        <v/>
      </c>
      <c r="G758">
        <f>IF(A758="","",0)</f>
        <v/>
      </c>
    </row>
    <row r="759">
      <c r="A759" s="23">
        <f>IFERROR(INDEX($R$9:$R$809,ROW()-8),"")</f>
        <v/>
      </c>
      <c r="B759">
        <f>IFERROR(INDEX($S$9:$S$809,ROW()-8),"")</f>
        <v/>
      </c>
      <c r="C759">
        <f>IFERROR(INDEX($W$9:$W$809,ROW()-8),"")</f>
        <v/>
      </c>
      <c r="D759" s="26">
        <f>IF(COUNT(B758:B759)=2,LN(B759/B758),"")</f>
        <v/>
      </c>
      <c r="E759" s="27">
        <f>IF(COUNT(C758:C759)=2,(C759-C758)*100,"")</f>
        <v/>
      </c>
      <c r="F759" s="28">
        <f>IF(ROW()-8&lt;CorrWindow,"",IFERROR(CORREL(INDEX($D$9:$D$809,ROW()-8-CorrWindow+1):D759,INDEX($E$9:$E$809,ROW()-8-CorrWindow+1):E759),""))</f>
        <v/>
      </c>
      <c r="G759">
        <f>IF(A759="","",0)</f>
        <v/>
      </c>
    </row>
    <row r="760">
      <c r="A760" s="23">
        <f>IFERROR(INDEX($R$9:$R$809,ROW()-8),"")</f>
        <v/>
      </c>
      <c r="B760">
        <f>IFERROR(INDEX($S$9:$S$809,ROW()-8),"")</f>
        <v/>
      </c>
      <c r="C760">
        <f>IFERROR(INDEX($W$9:$W$809,ROW()-8),"")</f>
        <v/>
      </c>
      <c r="D760" s="26">
        <f>IF(COUNT(B759:B760)=2,LN(B760/B759),"")</f>
        <v/>
      </c>
      <c r="E760" s="27">
        <f>IF(COUNT(C759:C760)=2,(C760-C759)*100,"")</f>
        <v/>
      </c>
      <c r="F760" s="28">
        <f>IF(ROW()-8&lt;CorrWindow,"",IFERROR(CORREL(INDEX($D$9:$D$809,ROW()-8-CorrWindow+1):D760,INDEX($E$9:$E$809,ROW()-8-CorrWindow+1):E760),""))</f>
        <v/>
      </c>
      <c r="G760">
        <f>IF(A760="","",0)</f>
        <v/>
      </c>
    </row>
    <row r="761">
      <c r="A761" s="23">
        <f>IFERROR(INDEX($R$9:$R$809,ROW()-8),"")</f>
        <v/>
      </c>
      <c r="B761">
        <f>IFERROR(INDEX($S$9:$S$809,ROW()-8),"")</f>
        <v/>
      </c>
      <c r="C761">
        <f>IFERROR(INDEX($W$9:$W$809,ROW()-8),"")</f>
        <v/>
      </c>
      <c r="D761" s="26">
        <f>IF(COUNT(B760:B761)=2,LN(B761/B760),"")</f>
        <v/>
      </c>
      <c r="E761" s="27">
        <f>IF(COUNT(C760:C761)=2,(C761-C760)*100,"")</f>
        <v/>
      </c>
      <c r="F761" s="28">
        <f>IF(ROW()-8&lt;CorrWindow,"",IFERROR(CORREL(INDEX($D$9:$D$809,ROW()-8-CorrWindow+1):D761,INDEX($E$9:$E$809,ROW()-8-CorrWindow+1):E761),""))</f>
        <v/>
      </c>
      <c r="G761">
        <f>IF(A761="","",0)</f>
        <v/>
      </c>
    </row>
    <row r="762">
      <c r="A762" s="23">
        <f>IFERROR(INDEX($R$9:$R$809,ROW()-8),"")</f>
        <v/>
      </c>
      <c r="B762">
        <f>IFERROR(INDEX($S$9:$S$809,ROW()-8),"")</f>
        <v/>
      </c>
      <c r="C762">
        <f>IFERROR(INDEX($W$9:$W$809,ROW()-8),"")</f>
        <v/>
      </c>
      <c r="D762" s="26">
        <f>IF(COUNT(B761:B762)=2,LN(B762/B761),"")</f>
        <v/>
      </c>
      <c r="E762" s="27">
        <f>IF(COUNT(C761:C762)=2,(C762-C761)*100,"")</f>
        <v/>
      </c>
      <c r="F762" s="28">
        <f>IF(ROW()-8&lt;CorrWindow,"",IFERROR(CORREL(INDEX($D$9:$D$809,ROW()-8-CorrWindow+1):D762,INDEX($E$9:$E$809,ROW()-8-CorrWindow+1):E762),""))</f>
        <v/>
      </c>
      <c r="G762">
        <f>IF(A762="","",0)</f>
        <v/>
      </c>
    </row>
    <row r="763">
      <c r="A763" s="23">
        <f>IFERROR(INDEX($R$9:$R$809,ROW()-8),"")</f>
        <v/>
      </c>
      <c r="B763">
        <f>IFERROR(INDEX($S$9:$S$809,ROW()-8),"")</f>
        <v/>
      </c>
      <c r="C763">
        <f>IFERROR(INDEX($W$9:$W$809,ROW()-8),"")</f>
        <v/>
      </c>
      <c r="D763" s="26">
        <f>IF(COUNT(B762:B763)=2,LN(B763/B762),"")</f>
        <v/>
      </c>
      <c r="E763" s="27">
        <f>IF(COUNT(C762:C763)=2,(C763-C762)*100,"")</f>
        <v/>
      </c>
      <c r="F763" s="28">
        <f>IF(ROW()-8&lt;CorrWindow,"",IFERROR(CORREL(INDEX($D$9:$D$809,ROW()-8-CorrWindow+1):D763,INDEX($E$9:$E$809,ROW()-8-CorrWindow+1):E763),""))</f>
        <v/>
      </c>
      <c r="G763">
        <f>IF(A763="","",0)</f>
        <v/>
      </c>
    </row>
    <row r="764">
      <c r="A764" s="23">
        <f>IFERROR(INDEX($R$9:$R$809,ROW()-8),"")</f>
        <v/>
      </c>
      <c r="B764">
        <f>IFERROR(INDEX($S$9:$S$809,ROW()-8),"")</f>
        <v/>
      </c>
      <c r="C764">
        <f>IFERROR(INDEX($W$9:$W$809,ROW()-8),"")</f>
        <v/>
      </c>
      <c r="D764" s="26">
        <f>IF(COUNT(B763:B764)=2,LN(B764/B763),"")</f>
        <v/>
      </c>
      <c r="E764" s="27">
        <f>IF(COUNT(C763:C764)=2,(C764-C763)*100,"")</f>
        <v/>
      </c>
      <c r="F764" s="28">
        <f>IF(ROW()-8&lt;CorrWindow,"",IFERROR(CORREL(INDEX($D$9:$D$809,ROW()-8-CorrWindow+1):D764,INDEX($E$9:$E$809,ROW()-8-CorrWindow+1):E764),""))</f>
        <v/>
      </c>
      <c r="G764">
        <f>IF(A764="","",0)</f>
        <v/>
      </c>
    </row>
    <row r="765">
      <c r="A765" s="23">
        <f>IFERROR(INDEX($R$9:$R$809,ROW()-8),"")</f>
        <v/>
      </c>
      <c r="B765">
        <f>IFERROR(INDEX($S$9:$S$809,ROW()-8),"")</f>
        <v/>
      </c>
      <c r="C765">
        <f>IFERROR(INDEX($W$9:$W$809,ROW()-8),"")</f>
        <v/>
      </c>
      <c r="D765" s="26">
        <f>IF(COUNT(B764:B765)=2,LN(B765/B764),"")</f>
        <v/>
      </c>
      <c r="E765" s="27">
        <f>IF(COUNT(C764:C765)=2,(C765-C764)*100,"")</f>
        <v/>
      </c>
      <c r="F765" s="28">
        <f>IF(ROW()-8&lt;CorrWindow,"",IFERROR(CORREL(INDEX($D$9:$D$809,ROW()-8-CorrWindow+1):D765,INDEX($E$9:$E$809,ROW()-8-CorrWindow+1):E765),""))</f>
        <v/>
      </c>
      <c r="G765">
        <f>IF(A765="","",0)</f>
        <v/>
      </c>
    </row>
    <row r="766">
      <c r="A766" s="23">
        <f>IFERROR(INDEX($R$9:$R$809,ROW()-8),"")</f>
        <v/>
      </c>
      <c r="B766">
        <f>IFERROR(INDEX($S$9:$S$809,ROW()-8),"")</f>
        <v/>
      </c>
      <c r="C766">
        <f>IFERROR(INDEX($W$9:$W$809,ROW()-8),"")</f>
        <v/>
      </c>
      <c r="D766" s="26">
        <f>IF(COUNT(B765:B766)=2,LN(B766/B765),"")</f>
        <v/>
      </c>
      <c r="E766" s="27">
        <f>IF(COUNT(C765:C766)=2,(C766-C765)*100,"")</f>
        <v/>
      </c>
      <c r="F766" s="28">
        <f>IF(ROW()-8&lt;CorrWindow,"",IFERROR(CORREL(INDEX($D$9:$D$809,ROW()-8-CorrWindow+1):D766,INDEX($E$9:$E$809,ROW()-8-CorrWindow+1):E766),""))</f>
        <v/>
      </c>
      <c r="G766">
        <f>IF(A766="","",0)</f>
        <v/>
      </c>
    </row>
    <row r="767">
      <c r="A767" s="23">
        <f>IFERROR(INDEX($R$9:$R$809,ROW()-8),"")</f>
        <v/>
      </c>
      <c r="B767">
        <f>IFERROR(INDEX($S$9:$S$809,ROW()-8),"")</f>
        <v/>
      </c>
      <c r="C767">
        <f>IFERROR(INDEX($W$9:$W$809,ROW()-8),"")</f>
        <v/>
      </c>
      <c r="D767" s="26">
        <f>IF(COUNT(B766:B767)=2,LN(B767/B766),"")</f>
        <v/>
      </c>
      <c r="E767" s="27">
        <f>IF(COUNT(C766:C767)=2,(C767-C766)*100,"")</f>
        <v/>
      </c>
      <c r="F767" s="28">
        <f>IF(ROW()-8&lt;CorrWindow,"",IFERROR(CORREL(INDEX($D$9:$D$809,ROW()-8-CorrWindow+1):D767,INDEX($E$9:$E$809,ROW()-8-CorrWindow+1):E767),""))</f>
        <v/>
      </c>
      <c r="G767">
        <f>IF(A767="","",0)</f>
        <v/>
      </c>
    </row>
    <row r="768">
      <c r="A768" s="23">
        <f>IFERROR(INDEX($R$9:$R$809,ROW()-8),"")</f>
        <v/>
      </c>
      <c r="B768">
        <f>IFERROR(INDEX($S$9:$S$809,ROW()-8),"")</f>
        <v/>
      </c>
      <c r="C768">
        <f>IFERROR(INDEX($W$9:$W$809,ROW()-8),"")</f>
        <v/>
      </c>
      <c r="D768" s="26">
        <f>IF(COUNT(B767:B768)=2,LN(B768/B767),"")</f>
        <v/>
      </c>
      <c r="E768" s="27">
        <f>IF(COUNT(C767:C768)=2,(C768-C767)*100,"")</f>
        <v/>
      </c>
      <c r="F768" s="28">
        <f>IF(ROW()-8&lt;CorrWindow,"",IFERROR(CORREL(INDEX($D$9:$D$809,ROW()-8-CorrWindow+1):D768,INDEX($E$9:$E$809,ROW()-8-CorrWindow+1):E768),""))</f>
        <v/>
      </c>
      <c r="G768">
        <f>IF(A768="","",0)</f>
        <v/>
      </c>
    </row>
    <row r="769">
      <c r="A769" s="23">
        <f>IFERROR(INDEX($R$9:$R$809,ROW()-8),"")</f>
        <v/>
      </c>
      <c r="B769">
        <f>IFERROR(INDEX($S$9:$S$809,ROW()-8),"")</f>
        <v/>
      </c>
      <c r="C769">
        <f>IFERROR(INDEX($W$9:$W$809,ROW()-8),"")</f>
        <v/>
      </c>
      <c r="D769" s="26">
        <f>IF(COUNT(B768:B769)=2,LN(B769/B768),"")</f>
        <v/>
      </c>
      <c r="E769" s="27">
        <f>IF(COUNT(C768:C769)=2,(C769-C768)*100,"")</f>
        <v/>
      </c>
      <c r="F769" s="28">
        <f>IF(ROW()-8&lt;CorrWindow,"",IFERROR(CORREL(INDEX($D$9:$D$809,ROW()-8-CorrWindow+1):D769,INDEX($E$9:$E$809,ROW()-8-CorrWindow+1):E769),""))</f>
        <v/>
      </c>
      <c r="G769">
        <f>IF(A769="","",0)</f>
        <v/>
      </c>
    </row>
    <row r="770">
      <c r="A770" s="23">
        <f>IFERROR(INDEX($R$9:$R$809,ROW()-8),"")</f>
        <v/>
      </c>
      <c r="B770">
        <f>IFERROR(INDEX($S$9:$S$809,ROW()-8),"")</f>
        <v/>
      </c>
      <c r="C770">
        <f>IFERROR(INDEX($W$9:$W$809,ROW()-8),"")</f>
        <v/>
      </c>
      <c r="D770" s="26">
        <f>IF(COUNT(B769:B770)=2,LN(B770/B769),"")</f>
        <v/>
      </c>
      <c r="E770" s="27">
        <f>IF(COUNT(C769:C770)=2,(C770-C769)*100,"")</f>
        <v/>
      </c>
      <c r="F770" s="28">
        <f>IF(ROW()-8&lt;CorrWindow,"",IFERROR(CORREL(INDEX($D$9:$D$809,ROW()-8-CorrWindow+1):D770,INDEX($E$9:$E$809,ROW()-8-CorrWindow+1):E770),""))</f>
        <v/>
      </c>
      <c r="G770">
        <f>IF(A770="","",0)</f>
        <v/>
      </c>
    </row>
    <row r="771">
      <c r="A771" s="23">
        <f>IFERROR(INDEX($R$9:$R$809,ROW()-8),"")</f>
        <v/>
      </c>
      <c r="B771">
        <f>IFERROR(INDEX($S$9:$S$809,ROW()-8),"")</f>
        <v/>
      </c>
      <c r="C771">
        <f>IFERROR(INDEX($W$9:$W$809,ROW()-8),"")</f>
        <v/>
      </c>
      <c r="D771" s="26">
        <f>IF(COUNT(B770:B771)=2,LN(B771/B770),"")</f>
        <v/>
      </c>
      <c r="E771" s="27">
        <f>IF(COUNT(C770:C771)=2,(C771-C770)*100,"")</f>
        <v/>
      </c>
      <c r="F771" s="28">
        <f>IF(ROW()-8&lt;CorrWindow,"",IFERROR(CORREL(INDEX($D$9:$D$809,ROW()-8-CorrWindow+1):D771,INDEX($E$9:$E$809,ROW()-8-CorrWindow+1):E771),""))</f>
        <v/>
      </c>
      <c r="G771">
        <f>IF(A771="","",0)</f>
        <v/>
      </c>
    </row>
    <row r="772">
      <c r="A772" s="23">
        <f>IFERROR(INDEX($R$9:$R$809,ROW()-8),"")</f>
        <v/>
      </c>
      <c r="B772">
        <f>IFERROR(INDEX($S$9:$S$809,ROW()-8),"")</f>
        <v/>
      </c>
      <c r="C772">
        <f>IFERROR(INDEX($W$9:$W$809,ROW()-8),"")</f>
        <v/>
      </c>
      <c r="D772" s="26">
        <f>IF(COUNT(B771:B772)=2,LN(B772/B771),"")</f>
        <v/>
      </c>
      <c r="E772" s="27">
        <f>IF(COUNT(C771:C772)=2,(C772-C771)*100,"")</f>
        <v/>
      </c>
      <c r="F772" s="28">
        <f>IF(ROW()-8&lt;CorrWindow,"",IFERROR(CORREL(INDEX($D$9:$D$809,ROW()-8-CorrWindow+1):D772,INDEX($E$9:$E$809,ROW()-8-CorrWindow+1):E772),""))</f>
        <v/>
      </c>
      <c r="G772">
        <f>IF(A772="","",0)</f>
        <v/>
      </c>
    </row>
    <row r="773">
      <c r="A773" s="23">
        <f>IFERROR(INDEX($R$9:$R$809,ROW()-8),"")</f>
        <v/>
      </c>
      <c r="B773">
        <f>IFERROR(INDEX($S$9:$S$809,ROW()-8),"")</f>
        <v/>
      </c>
      <c r="C773">
        <f>IFERROR(INDEX($W$9:$W$809,ROW()-8),"")</f>
        <v/>
      </c>
      <c r="D773" s="26">
        <f>IF(COUNT(B772:B773)=2,LN(B773/B772),"")</f>
        <v/>
      </c>
      <c r="E773" s="27">
        <f>IF(COUNT(C772:C773)=2,(C773-C772)*100,"")</f>
        <v/>
      </c>
      <c r="F773" s="28">
        <f>IF(ROW()-8&lt;CorrWindow,"",IFERROR(CORREL(INDEX($D$9:$D$809,ROW()-8-CorrWindow+1):D773,INDEX($E$9:$E$809,ROW()-8-CorrWindow+1):E773),""))</f>
        <v/>
      </c>
      <c r="G773">
        <f>IF(A773="","",0)</f>
        <v/>
      </c>
    </row>
    <row r="774">
      <c r="A774" s="23">
        <f>IFERROR(INDEX($R$9:$R$809,ROW()-8),"")</f>
        <v/>
      </c>
      <c r="B774">
        <f>IFERROR(INDEX($S$9:$S$809,ROW()-8),"")</f>
        <v/>
      </c>
      <c r="C774">
        <f>IFERROR(INDEX($W$9:$W$809,ROW()-8),"")</f>
        <v/>
      </c>
      <c r="D774" s="26">
        <f>IF(COUNT(B773:B774)=2,LN(B774/B773),"")</f>
        <v/>
      </c>
      <c r="E774" s="27">
        <f>IF(COUNT(C773:C774)=2,(C774-C773)*100,"")</f>
        <v/>
      </c>
      <c r="F774" s="28">
        <f>IF(ROW()-8&lt;CorrWindow,"",IFERROR(CORREL(INDEX($D$9:$D$809,ROW()-8-CorrWindow+1):D774,INDEX($E$9:$E$809,ROW()-8-CorrWindow+1):E774),""))</f>
        <v/>
      </c>
      <c r="G774">
        <f>IF(A774="","",0)</f>
        <v/>
      </c>
    </row>
    <row r="775">
      <c r="A775" s="23">
        <f>IFERROR(INDEX($R$9:$R$809,ROW()-8),"")</f>
        <v/>
      </c>
      <c r="B775">
        <f>IFERROR(INDEX($S$9:$S$809,ROW()-8),"")</f>
        <v/>
      </c>
      <c r="C775">
        <f>IFERROR(INDEX($W$9:$W$809,ROW()-8),"")</f>
        <v/>
      </c>
      <c r="D775" s="26">
        <f>IF(COUNT(B774:B775)=2,LN(B775/B774),"")</f>
        <v/>
      </c>
      <c r="E775" s="27">
        <f>IF(COUNT(C774:C775)=2,(C775-C774)*100,"")</f>
        <v/>
      </c>
      <c r="F775" s="28">
        <f>IF(ROW()-8&lt;CorrWindow,"",IFERROR(CORREL(INDEX($D$9:$D$809,ROW()-8-CorrWindow+1):D775,INDEX($E$9:$E$809,ROW()-8-CorrWindow+1):E775),""))</f>
        <v/>
      </c>
      <c r="G775">
        <f>IF(A775="","",0)</f>
        <v/>
      </c>
    </row>
    <row r="776">
      <c r="A776" s="23">
        <f>IFERROR(INDEX($R$9:$R$809,ROW()-8),"")</f>
        <v/>
      </c>
      <c r="B776">
        <f>IFERROR(INDEX($S$9:$S$809,ROW()-8),"")</f>
        <v/>
      </c>
      <c r="C776">
        <f>IFERROR(INDEX($W$9:$W$809,ROW()-8),"")</f>
        <v/>
      </c>
      <c r="D776" s="26">
        <f>IF(COUNT(B775:B776)=2,LN(B776/B775),"")</f>
        <v/>
      </c>
      <c r="E776" s="27">
        <f>IF(COUNT(C775:C776)=2,(C776-C775)*100,"")</f>
        <v/>
      </c>
      <c r="F776" s="28">
        <f>IF(ROW()-8&lt;CorrWindow,"",IFERROR(CORREL(INDEX($D$9:$D$809,ROW()-8-CorrWindow+1):D776,INDEX($E$9:$E$809,ROW()-8-CorrWindow+1):E776),""))</f>
        <v/>
      </c>
      <c r="G776">
        <f>IF(A776="","",0)</f>
        <v/>
      </c>
    </row>
    <row r="777">
      <c r="A777" s="23">
        <f>IFERROR(INDEX($R$9:$R$809,ROW()-8),"")</f>
        <v/>
      </c>
      <c r="B777">
        <f>IFERROR(INDEX($S$9:$S$809,ROW()-8),"")</f>
        <v/>
      </c>
      <c r="C777">
        <f>IFERROR(INDEX($W$9:$W$809,ROW()-8),"")</f>
        <v/>
      </c>
      <c r="D777" s="26">
        <f>IF(COUNT(B776:B777)=2,LN(B777/B776),"")</f>
        <v/>
      </c>
      <c r="E777" s="27">
        <f>IF(COUNT(C776:C777)=2,(C777-C776)*100,"")</f>
        <v/>
      </c>
      <c r="F777" s="28">
        <f>IF(ROW()-8&lt;CorrWindow,"",IFERROR(CORREL(INDEX($D$9:$D$809,ROW()-8-CorrWindow+1):D777,INDEX($E$9:$E$809,ROW()-8-CorrWindow+1):E777),""))</f>
        <v/>
      </c>
      <c r="G777">
        <f>IF(A777="","",0)</f>
        <v/>
      </c>
    </row>
    <row r="778">
      <c r="A778" s="23">
        <f>IFERROR(INDEX($R$9:$R$809,ROW()-8),"")</f>
        <v/>
      </c>
      <c r="B778">
        <f>IFERROR(INDEX($S$9:$S$809,ROW()-8),"")</f>
        <v/>
      </c>
      <c r="C778">
        <f>IFERROR(INDEX($W$9:$W$809,ROW()-8),"")</f>
        <v/>
      </c>
      <c r="D778" s="26">
        <f>IF(COUNT(B777:B778)=2,LN(B778/B777),"")</f>
        <v/>
      </c>
      <c r="E778" s="27">
        <f>IF(COUNT(C777:C778)=2,(C778-C777)*100,"")</f>
        <v/>
      </c>
      <c r="F778" s="28">
        <f>IF(ROW()-8&lt;CorrWindow,"",IFERROR(CORREL(INDEX($D$9:$D$809,ROW()-8-CorrWindow+1):D778,INDEX($E$9:$E$809,ROW()-8-CorrWindow+1):E778),""))</f>
        <v/>
      </c>
      <c r="G778">
        <f>IF(A778="","",0)</f>
        <v/>
      </c>
    </row>
    <row r="779">
      <c r="A779" s="23">
        <f>IFERROR(INDEX($R$9:$R$809,ROW()-8),"")</f>
        <v/>
      </c>
      <c r="B779">
        <f>IFERROR(INDEX($S$9:$S$809,ROW()-8),"")</f>
        <v/>
      </c>
      <c r="C779">
        <f>IFERROR(INDEX($W$9:$W$809,ROW()-8),"")</f>
        <v/>
      </c>
      <c r="D779" s="26">
        <f>IF(COUNT(B778:B779)=2,LN(B779/B778),"")</f>
        <v/>
      </c>
      <c r="E779" s="27">
        <f>IF(COUNT(C778:C779)=2,(C779-C778)*100,"")</f>
        <v/>
      </c>
      <c r="F779" s="28">
        <f>IF(ROW()-8&lt;CorrWindow,"",IFERROR(CORREL(INDEX($D$9:$D$809,ROW()-8-CorrWindow+1):D779,INDEX($E$9:$E$809,ROW()-8-CorrWindow+1):E779),""))</f>
        <v/>
      </c>
      <c r="G779">
        <f>IF(A779="","",0)</f>
        <v/>
      </c>
    </row>
    <row r="780">
      <c r="A780" s="23">
        <f>IFERROR(INDEX($R$9:$R$809,ROW()-8),"")</f>
        <v/>
      </c>
      <c r="B780">
        <f>IFERROR(INDEX($S$9:$S$809,ROW()-8),"")</f>
        <v/>
      </c>
      <c r="C780">
        <f>IFERROR(INDEX($W$9:$W$809,ROW()-8),"")</f>
        <v/>
      </c>
      <c r="D780" s="26">
        <f>IF(COUNT(B779:B780)=2,LN(B780/B779),"")</f>
        <v/>
      </c>
      <c r="E780" s="27">
        <f>IF(COUNT(C779:C780)=2,(C780-C779)*100,"")</f>
        <v/>
      </c>
      <c r="F780" s="28">
        <f>IF(ROW()-8&lt;CorrWindow,"",IFERROR(CORREL(INDEX($D$9:$D$809,ROW()-8-CorrWindow+1):D780,INDEX($E$9:$E$809,ROW()-8-CorrWindow+1):E780),""))</f>
        <v/>
      </c>
      <c r="G780">
        <f>IF(A780="","",0)</f>
        <v/>
      </c>
    </row>
    <row r="781">
      <c r="A781" s="23">
        <f>IFERROR(INDEX($R$9:$R$809,ROW()-8),"")</f>
        <v/>
      </c>
      <c r="B781">
        <f>IFERROR(INDEX($S$9:$S$809,ROW()-8),"")</f>
        <v/>
      </c>
      <c r="C781">
        <f>IFERROR(INDEX($W$9:$W$809,ROW()-8),"")</f>
        <v/>
      </c>
      <c r="D781" s="26">
        <f>IF(COUNT(B780:B781)=2,LN(B781/B780),"")</f>
        <v/>
      </c>
      <c r="E781" s="27">
        <f>IF(COUNT(C780:C781)=2,(C781-C780)*100,"")</f>
        <v/>
      </c>
      <c r="F781" s="28">
        <f>IF(ROW()-8&lt;CorrWindow,"",IFERROR(CORREL(INDEX($D$9:$D$809,ROW()-8-CorrWindow+1):D781,INDEX($E$9:$E$809,ROW()-8-CorrWindow+1):E781),""))</f>
        <v/>
      </c>
      <c r="G781">
        <f>IF(A781="","",0)</f>
        <v/>
      </c>
    </row>
    <row r="782">
      <c r="A782" s="23">
        <f>IFERROR(INDEX($R$9:$R$809,ROW()-8),"")</f>
        <v/>
      </c>
      <c r="B782">
        <f>IFERROR(INDEX($S$9:$S$809,ROW()-8),"")</f>
        <v/>
      </c>
      <c r="C782">
        <f>IFERROR(INDEX($W$9:$W$809,ROW()-8),"")</f>
        <v/>
      </c>
      <c r="D782" s="26">
        <f>IF(COUNT(B781:B782)=2,LN(B782/B781),"")</f>
        <v/>
      </c>
      <c r="E782" s="27">
        <f>IF(COUNT(C781:C782)=2,(C782-C781)*100,"")</f>
        <v/>
      </c>
      <c r="F782" s="28">
        <f>IF(ROW()-8&lt;CorrWindow,"",IFERROR(CORREL(INDEX($D$9:$D$809,ROW()-8-CorrWindow+1):D782,INDEX($E$9:$E$809,ROW()-8-CorrWindow+1):E782),""))</f>
        <v/>
      </c>
      <c r="G782">
        <f>IF(A782="","",0)</f>
        <v/>
      </c>
    </row>
    <row r="783">
      <c r="A783" s="23">
        <f>IFERROR(INDEX($R$9:$R$809,ROW()-8),"")</f>
        <v/>
      </c>
      <c r="B783">
        <f>IFERROR(INDEX($S$9:$S$809,ROW()-8),"")</f>
        <v/>
      </c>
      <c r="C783">
        <f>IFERROR(INDEX($W$9:$W$809,ROW()-8),"")</f>
        <v/>
      </c>
      <c r="D783" s="26">
        <f>IF(COUNT(B782:B783)=2,LN(B783/B782),"")</f>
        <v/>
      </c>
      <c r="E783" s="27">
        <f>IF(COUNT(C782:C783)=2,(C783-C782)*100,"")</f>
        <v/>
      </c>
      <c r="F783" s="28">
        <f>IF(ROW()-8&lt;CorrWindow,"",IFERROR(CORREL(INDEX($D$9:$D$809,ROW()-8-CorrWindow+1):D783,INDEX($E$9:$E$809,ROW()-8-CorrWindow+1):E783),""))</f>
        <v/>
      </c>
      <c r="G783">
        <f>IF(A783="","",0)</f>
        <v/>
      </c>
    </row>
    <row r="784">
      <c r="A784" s="23">
        <f>IFERROR(INDEX($R$9:$R$809,ROW()-8),"")</f>
        <v/>
      </c>
      <c r="B784">
        <f>IFERROR(INDEX($S$9:$S$809,ROW()-8),"")</f>
        <v/>
      </c>
      <c r="C784">
        <f>IFERROR(INDEX($W$9:$W$809,ROW()-8),"")</f>
        <v/>
      </c>
      <c r="D784" s="26">
        <f>IF(COUNT(B783:B784)=2,LN(B784/B783),"")</f>
        <v/>
      </c>
      <c r="E784" s="27">
        <f>IF(COUNT(C783:C784)=2,(C784-C783)*100,"")</f>
        <v/>
      </c>
      <c r="F784" s="28">
        <f>IF(ROW()-8&lt;CorrWindow,"",IFERROR(CORREL(INDEX($D$9:$D$809,ROW()-8-CorrWindow+1):D784,INDEX($E$9:$E$809,ROW()-8-CorrWindow+1):E784),""))</f>
        <v/>
      </c>
      <c r="G784">
        <f>IF(A784="","",0)</f>
        <v/>
      </c>
    </row>
    <row r="785">
      <c r="A785" s="23">
        <f>IFERROR(INDEX($R$9:$R$809,ROW()-8),"")</f>
        <v/>
      </c>
      <c r="B785">
        <f>IFERROR(INDEX($S$9:$S$809,ROW()-8),"")</f>
        <v/>
      </c>
      <c r="C785">
        <f>IFERROR(INDEX($W$9:$W$809,ROW()-8),"")</f>
        <v/>
      </c>
      <c r="D785" s="26">
        <f>IF(COUNT(B784:B785)=2,LN(B785/B784),"")</f>
        <v/>
      </c>
      <c r="E785" s="27">
        <f>IF(COUNT(C784:C785)=2,(C785-C784)*100,"")</f>
        <v/>
      </c>
      <c r="F785" s="28">
        <f>IF(ROW()-8&lt;CorrWindow,"",IFERROR(CORREL(INDEX($D$9:$D$809,ROW()-8-CorrWindow+1):D785,INDEX($E$9:$E$809,ROW()-8-CorrWindow+1):E785),""))</f>
        <v/>
      </c>
      <c r="G785">
        <f>IF(A785="","",0)</f>
        <v/>
      </c>
    </row>
    <row r="786">
      <c r="A786" s="23">
        <f>IFERROR(INDEX($R$9:$R$809,ROW()-8),"")</f>
        <v/>
      </c>
      <c r="B786">
        <f>IFERROR(INDEX($S$9:$S$809,ROW()-8),"")</f>
        <v/>
      </c>
      <c r="C786">
        <f>IFERROR(INDEX($W$9:$W$809,ROW()-8),"")</f>
        <v/>
      </c>
      <c r="D786" s="26">
        <f>IF(COUNT(B785:B786)=2,LN(B786/B785),"")</f>
        <v/>
      </c>
      <c r="E786" s="27">
        <f>IF(COUNT(C785:C786)=2,(C786-C785)*100,"")</f>
        <v/>
      </c>
      <c r="F786" s="28">
        <f>IF(ROW()-8&lt;CorrWindow,"",IFERROR(CORREL(INDEX($D$9:$D$809,ROW()-8-CorrWindow+1):D786,INDEX($E$9:$E$809,ROW()-8-CorrWindow+1):E786),""))</f>
        <v/>
      </c>
      <c r="G786">
        <f>IF(A786="","",0)</f>
        <v/>
      </c>
    </row>
    <row r="787">
      <c r="A787" s="23">
        <f>IFERROR(INDEX($R$9:$R$809,ROW()-8),"")</f>
        <v/>
      </c>
      <c r="B787">
        <f>IFERROR(INDEX($S$9:$S$809,ROW()-8),"")</f>
        <v/>
      </c>
      <c r="C787">
        <f>IFERROR(INDEX($W$9:$W$809,ROW()-8),"")</f>
        <v/>
      </c>
      <c r="D787" s="26">
        <f>IF(COUNT(B786:B787)=2,LN(B787/B786),"")</f>
        <v/>
      </c>
      <c r="E787" s="27">
        <f>IF(COUNT(C786:C787)=2,(C787-C786)*100,"")</f>
        <v/>
      </c>
      <c r="F787" s="28">
        <f>IF(ROW()-8&lt;CorrWindow,"",IFERROR(CORREL(INDEX($D$9:$D$809,ROW()-8-CorrWindow+1):D787,INDEX($E$9:$E$809,ROW()-8-CorrWindow+1):E787),""))</f>
        <v/>
      </c>
      <c r="G787">
        <f>IF(A787="","",0)</f>
        <v/>
      </c>
    </row>
    <row r="788">
      <c r="A788" s="23">
        <f>IFERROR(INDEX($R$9:$R$809,ROW()-8),"")</f>
        <v/>
      </c>
      <c r="B788">
        <f>IFERROR(INDEX($S$9:$S$809,ROW()-8),"")</f>
        <v/>
      </c>
      <c r="C788">
        <f>IFERROR(INDEX($W$9:$W$809,ROW()-8),"")</f>
        <v/>
      </c>
      <c r="D788" s="26">
        <f>IF(COUNT(B787:B788)=2,LN(B788/B787),"")</f>
        <v/>
      </c>
      <c r="E788" s="27">
        <f>IF(COUNT(C787:C788)=2,(C788-C787)*100,"")</f>
        <v/>
      </c>
      <c r="F788" s="28">
        <f>IF(ROW()-8&lt;CorrWindow,"",IFERROR(CORREL(INDEX($D$9:$D$809,ROW()-8-CorrWindow+1):D788,INDEX($E$9:$E$809,ROW()-8-CorrWindow+1):E788),""))</f>
        <v/>
      </c>
      <c r="G788">
        <f>IF(A788="","",0)</f>
        <v/>
      </c>
    </row>
    <row r="789">
      <c r="A789" s="23">
        <f>IFERROR(INDEX($R$9:$R$809,ROW()-8),"")</f>
        <v/>
      </c>
      <c r="B789">
        <f>IFERROR(INDEX($S$9:$S$809,ROW()-8),"")</f>
        <v/>
      </c>
      <c r="C789">
        <f>IFERROR(INDEX($W$9:$W$809,ROW()-8),"")</f>
        <v/>
      </c>
      <c r="D789" s="26">
        <f>IF(COUNT(B788:B789)=2,LN(B789/B788),"")</f>
        <v/>
      </c>
      <c r="E789" s="27">
        <f>IF(COUNT(C788:C789)=2,(C789-C788)*100,"")</f>
        <v/>
      </c>
      <c r="F789" s="28">
        <f>IF(ROW()-8&lt;CorrWindow,"",IFERROR(CORREL(INDEX($D$9:$D$809,ROW()-8-CorrWindow+1):D789,INDEX($E$9:$E$809,ROW()-8-CorrWindow+1):E789),""))</f>
        <v/>
      </c>
      <c r="G789">
        <f>IF(A789="","",0)</f>
        <v/>
      </c>
    </row>
    <row r="790">
      <c r="A790" s="23">
        <f>IFERROR(INDEX($R$9:$R$809,ROW()-8),"")</f>
        <v/>
      </c>
      <c r="B790">
        <f>IFERROR(INDEX($S$9:$S$809,ROW()-8),"")</f>
        <v/>
      </c>
      <c r="C790">
        <f>IFERROR(INDEX($W$9:$W$809,ROW()-8),"")</f>
        <v/>
      </c>
      <c r="D790" s="26">
        <f>IF(COUNT(B789:B790)=2,LN(B790/B789),"")</f>
        <v/>
      </c>
      <c r="E790" s="27">
        <f>IF(COUNT(C789:C790)=2,(C790-C789)*100,"")</f>
        <v/>
      </c>
      <c r="F790" s="28">
        <f>IF(ROW()-8&lt;CorrWindow,"",IFERROR(CORREL(INDEX($D$9:$D$809,ROW()-8-CorrWindow+1):D790,INDEX($E$9:$E$809,ROW()-8-CorrWindow+1):E790),""))</f>
        <v/>
      </c>
      <c r="G790">
        <f>IF(A790="","",0)</f>
        <v/>
      </c>
    </row>
    <row r="791">
      <c r="A791" s="23">
        <f>IFERROR(INDEX($R$9:$R$809,ROW()-8),"")</f>
        <v/>
      </c>
      <c r="B791">
        <f>IFERROR(INDEX($S$9:$S$809,ROW()-8),"")</f>
        <v/>
      </c>
      <c r="C791">
        <f>IFERROR(INDEX($W$9:$W$809,ROW()-8),"")</f>
        <v/>
      </c>
      <c r="D791" s="26">
        <f>IF(COUNT(B790:B791)=2,LN(B791/B790),"")</f>
        <v/>
      </c>
      <c r="E791" s="27">
        <f>IF(COUNT(C790:C791)=2,(C791-C790)*100,"")</f>
        <v/>
      </c>
      <c r="F791" s="28">
        <f>IF(ROW()-8&lt;CorrWindow,"",IFERROR(CORREL(INDEX($D$9:$D$809,ROW()-8-CorrWindow+1):D791,INDEX($E$9:$E$809,ROW()-8-CorrWindow+1):E791),""))</f>
        <v/>
      </c>
      <c r="G791">
        <f>IF(A791="","",0)</f>
        <v/>
      </c>
    </row>
    <row r="792">
      <c r="A792" s="23">
        <f>IFERROR(INDEX($R$9:$R$809,ROW()-8),"")</f>
        <v/>
      </c>
      <c r="B792">
        <f>IFERROR(INDEX($S$9:$S$809,ROW()-8),"")</f>
        <v/>
      </c>
      <c r="C792">
        <f>IFERROR(INDEX($W$9:$W$809,ROW()-8),"")</f>
        <v/>
      </c>
      <c r="D792" s="26">
        <f>IF(COUNT(B791:B792)=2,LN(B792/B791),"")</f>
        <v/>
      </c>
      <c r="E792" s="27">
        <f>IF(COUNT(C791:C792)=2,(C792-C791)*100,"")</f>
        <v/>
      </c>
      <c r="F792" s="28">
        <f>IF(ROW()-8&lt;CorrWindow,"",IFERROR(CORREL(INDEX($D$9:$D$809,ROW()-8-CorrWindow+1):D792,INDEX($E$9:$E$809,ROW()-8-CorrWindow+1):E792),""))</f>
        <v/>
      </c>
      <c r="G792">
        <f>IF(A792="","",0)</f>
        <v/>
      </c>
    </row>
    <row r="793">
      <c r="A793" s="23">
        <f>IFERROR(INDEX($R$9:$R$809,ROW()-8),"")</f>
        <v/>
      </c>
      <c r="B793">
        <f>IFERROR(INDEX($S$9:$S$809,ROW()-8),"")</f>
        <v/>
      </c>
      <c r="C793">
        <f>IFERROR(INDEX($W$9:$W$809,ROW()-8),"")</f>
        <v/>
      </c>
      <c r="D793" s="26">
        <f>IF(COUNT(B792:B793)=2,LN(B793/B792),"")</f>
        <v/>
      </c>
      <c r="E793" s="27">
        <f>IF(COUNT(C792:C793)=2,(C793-C792)*100,"")</f>
        <v/>
      </c>
      <c r="F793" s="28">
        <f>IF(ROW()-8&lt;CorrWindow,"",IFERROR(CORREL(INDEX($D$9:$D$809,ROW()-8-CorrWindow+1):D793,INDEX($E$9:$E$809,ROW()-8-CorrWindow+1):E793),""))</f>
        <v/>
      </c>
      <c r="G793">
        <f>IF(A793="","",0)</f>
        <v/>
      </c>
    </row>
    <row r="794">
      <c r="A794" s="23">
        <f>IFERROR(INDEX($R$9:$R$809,ROW()-8),"")</f>
        <v/>
      </c>
      <c r="B794">
        <f>IFERROR(INDEX($S$9:$S$809,ROW()-8),"")</f>
        <v/>
      </c>
      <c r="C794">
        <f>IFERROR(INDEX($W$9:$W$809,ROW()-8),"")</f>
        <v/>
      </c>
      <c r="D794" s="26">
        <f>IF(COUNT(B793:B794)=2,LN(B794/B793),"")</f>
        <v/>
      </c>
      <c r="E794" s="27">
        <f>IF(COUNT(C793:C794)=2,(C794-C793)*100,"")</f>
        <v/>
      </c>
      <c r="F794" s="28">
        <f>IF(ROW()-8&lt;CorrWindow,"",IFERROR(CORREL(INDEX($D$9:$D$809,ROW()-8-CorrWindow+1):D794,INDEX($E$9:$E$809,ROW()-8-CorrWindow+1):E794),""))</f>
        <v/>
      </c>
      <c r="G794">
        <f>IF(A794="","",0)</f>
        <v/>
      </c>
    </row>
    <row r="795">
      <c r="A795" s="23">
        <f>IFERROR(INDEX($R$9:$R$809,ROW()-8),"")</f>
        <v/>
      </c>
      <c r="B795">
        <f>IFERROR(INDEX($S$9:$S$809,ROW()-8),"")</f>
        <v/>
      </c>
      <c r="C795">
        <f>IFERROR(INDEX($W$9:$W$809,ROW()-8),"")</f>
        <v/>
      </c>
      <c r="D795" s="26">
        <f>IF(COUNT(B794:B795)=2,LN(B795/B794),"")</f>
        <v/>
      </c>
      <c r="E795" s="27">
        <f>IF(COUNT(C794:C795)=2,(C795-C794)*100,"")</f>
        <v/>
      </c>
      <c r="F795" s="28">
        <f>IF(ROW()-8&lt;CorrWindow,"",IFERROR(CORREL(INDEX($D$9:$D$809,ROW()-8-CorrWindow+1):D795,INDEX($E$9:$E$809,ROW()-8-CorrWindow+1):E795),""))</f>
        <v/>
      </c>
      <c r="G795">
        <f>IF(A795="","",0)</f>
        <v/>
      </c>
    </row>
    <row r="796">
      <c r="A796" s="23">
        <f>IFERROR(INDEX($R$9:$R$809,ROW()-8),"")</f>
        <v/>
      </c>
      <c r="B796">
        <f>IFERROR(INDEX($S$9:$S$809,ROW()-8),"")</f>
        <v/>
      </c>
      <c r="C796">
        <f>IFERROR(INDEX($W$9:$W$809,ROW()-8),"")</f>
        <v/>
      </c>
      <c r="D796" s="26">
        <f>IF(COUNT(B795:B796)=2,LN(B796/B795),"")</f>
        <v/>
      </c>
      <c r="E796" s="27">
        <f>IF(COUNT(C795:C796)=2,(C796-C795)*100,"")</f>
        <v/>
      </c>
      <c r="F796" s="28">
        <f>IF(ROW()-8&lt;CorrWindow,"",IFERROR(CORREL(INDEX($D$9:$D$809,ROW()-8-CorrWindow+1):D796,INDEX($E$9:$E$809,ROW()-8-CorrWindow+1):E796),""))</f>
        <v/>
      </c>
      <c r="G796">
        <f>IF(A796="","",0)</f>
        <v/>
      </c>
    </row>
    <row r="797">
      <c r="A797" s="23">
        <f>IFERROR(INDEX($R$9:$R$809,ROW()-8),"")</f>
        <v/>
      </c>
      <c r="B797">
        <f>IFERROR(INDEX($S$9:$S$809,ROW()-8),"")</f>
        <v/>
      </c>
      <c r="C797">
        <f>IFERROR(INDEX($W$9:$W$809,ROW()-8),"")</f>
        <v/>
      </c>
      <c r="D797" s="26">
        <f>IF(COUNT(B796:B797)=2,LN(B797/B796),"")</f>
        <v/>
      </c>
      <c r="E797" s="27">
        <f>IF(COUNT(C796:C797)=2,(C797-C796)*100,"")</f>
        <v/>
      </c>
      <c r="F797" s="28">
        <f>IF(ROW()-8&lt;CorrWindow,"",IFERROR(CORREL(INDEX($D$9:$D$809,ROW()-8-CorrWindow+1):D797,INDEX($E$9:$E$809,ROW()-8-CorrWindow+1):E797),""))</f>
        <v/>
      </c>
      <c r="G797">
        <f>IF(A797="","",0)</f>
        <v/>
      </c>
    </row>
    <row r="798">
      <c r="A798" s="23">
        <f>IFERROR(INDEX($R$9:$R$809,ROW()-8),"")</f>
        <v/>
      </c>
      <c r="B798">
        <f>IFERROR(INDEX($S$9:$S$809,ROW()-8),"")</f>
        <v/>
      </c>
      <c r="C798">
        <f>IFERROR(INDEX($W$9:$W$809,ROW()-8),"")</f>
        <v/>
      </c>
      <c r="D798" s="26">
        <f>IF(COUNT(B797:B798)=2,LN(B798/B797),"")</f>
        <v/>
      </c>
      <c r="E798" s="27">
        <f>IF(COUNT(C797:C798)=2,(C798-C797)*100,"")</f>
        <v/>
      </c>
      <c r="F798" s="28">
        <f>IF(ROW()-8&lt;CorrWindow,"",IFERROR(CORREL(INDEX($D$9:$D$809,ROW()-8-CorrWindow+1):D798,INDEX($E$9:$E$809,ROW()-8-CorrWindow+1):E798),""))</f>
        <v/>
      </c>
      <c r="G798">
        <f>IF(A798="","",0)</f>
        <v/>
      </c>
    </row>
    <row r="799">
      <c r="A799" s="23">
        <f>IFERROR(INDEX($R$9:$R$809,ROW()-8),"")</f>
        <v/>
      </c>
      <c r="B799">
        <f>IFERROR(INDEX($S$9:$S$809,ROW()-8),"")</f>
        <v/>
      </c>
      <c r="C799">
        <f>IFERROR(INDEX($W$9:$W$809,ROW()-8),"")</f>
        <v/>
      </c>
      <c r="D799" s="26">
        <f>IF(COUNT(B798:B799)=2,LN(B799/B798),"")</f>
        <v/>
      </c>
      <c r="E799" s="27">
        <f>IF(COUNT(C798:C799)=2,(C799-C798)*100,"")</f>
        <v/>
      </c>
      <c r="F799" s="28">
        <f>IF(ROW()-8&lt;CorrWindow,"",IFERROR(CORREL(INDEX($D$9:$D$809,ROW()-8-CorrWindow+1):D799,INDEX($E$9:$E$809,ROW()-8-CorrWindow+1):E799),""))</f>
        <v/>
      </c>
      <c r="G799">
        <f>IF(A799="","",0)</f>
        <v/>
      </c>
    </row>
    <row r="800">
      <c r="A800" s="23">
        <f>IFERROR(INDEX($R$9:$R$809,ROW()-8),"")</f>
        <v/>
      </c>
      <c r="B800">
        <f>IFERROR(INDEX($S$9:$S$809,ROW()-8),"")</f>
        <v/>
      </c>
      <c r="C800">
        <f>IFERROR(INDEX($W$9:$W$809,ROW()-8),"")</f>
        <v/>
      </c>
      <c r="D800" s="26">
        <f>IF(COUNT(B799:B800)=2,LN(B800/B799),"")</f>
        <v/>
      </c>
      <c r="E800" s="27">
        <f>IF(COUNT(C799:C800)=2,(C800-C799)*100,"")</f>
        <v/>
      </c>
      <c r="F800" s="28">
        <f>IF(ROW()-8&lt;CorrWindow,"",IFERROR(CORREL(INDEX($D$9:$D$809,ROW()-8-CorrWindow+1):D800,INDEX($E$9:$E$809,ROW()-8-CorrWindow+1):E800),""))</f>
        <v/>
      </c>
      <c r="G800">
        <f>IF(A800="","",0)</f>
        <v/>
      </c>
    </row>
    <row r="801">
      <c r="A801" s="23">
        <f>IFERROR(INDEX($R$9:$R$809,ROW()-8),"")</f>
        <v/>
      </c>
      <c r="B801">
        <f>IFERROR(INDEX($S$9:$S$809,ROW()-8),"")</f>
        <v/>
      </c>
      <c r="C801">
        <f>IFERROR(INDEX($W$9:$W$809,ROW()-8),"")</f>
        <v/>
      </c>
      <c r="D801" s="26">
        <f>IF(COUNT(B800:B801)=2,LN(B801/B800),"")</f>
        <v/>
      </c>
      <c r="E801" s="27">
        <f>IF(COUNT(C800:C801)=2,(C801-C800)*100,"")</f>
        <v/>
      </c>
      <c r="F801" s="28">
        <f>IF(ROW()-8&lt;CorrWindow,"",IFERROR(CORREL(INDEX($D$9:$D$809,ROW()-8-CorrWindow+1):D801,INDEX($E$9:$E$809,ROW()-8-CorrWindow+1):E801),""))</f>
        <v/>
      </c>
      <c r="G801">
        <f>IF(A801="","",0)</f>
        <v/>
      </c>
    </row>
    <row r="802">
      <c r="A802" s="23">
        <f>IFERROR(INDEX($R$9:$R$809,ROW()-8),"")</f>
        <v/>
      </c>
      <c r="B802">
        <f>IFERROR(INDEX($S$9:$S$809,ROW()-8),"")</f>
        <v/>
      </c>
      <c r="C802">
        <f>IFERROR(INDEX($W$9:$W$809,ROW()-8),"")</f>
        <v/>
      </c>
      <c r="D802" s="26">
        <f>IF(COUNT(B801:B802)=2,LN(B802/B801),"")</f>
        <v/>
      </c>
      <c r="E802" s="27">
        <f>IF(COUNT(C801:C802)=2,(C802-C801)*100,"")</f>
        <v/>
      </c>
      <c r="F802" s="28">
        <f>IF(ROW()-8&lt;CorrWindow,"",IFERROR(CORREL(INDEX($D$9:$D$809,ROW()-8-CorrWindow+1):D802,INDEX($E$9:$E$809,ROW()-8-CorrWindow+1):E802),""))</f>
        <v/>
      </c>
      <c r="G802">
        <f>IF(A802="","",0)</f>
        <v/>
      </c>
    </row>
    <row r="803">
      <c r="A803" s="23">
        <f>IFERROR(INDEX($R$9:$R$809,ROW()-8),"")</f>
        <v/>
      </c>
      <c r="B803">
        <f>IFERROR(INDEX($S$9:$S$809,ROW()-8),"")</f>
        <v/>
      </c>
      <c r="C803">
        <f>IFERROR(INDEX($W$9:$W$809,ROW()-8),"")</f>
        <v/>
      </c>
      <c r="D803" s="26">
        <f>IF(COUNT(B802:B803)=2,LN(B803/B802),"")</f>
        <v/>
      </c>
      <c r="E803" s="27">
        <f>IF(COUNT(C802:C803)=2,(C803-C802)*100,"")</f>
        <v/>
      </c>
      <c r="F803" s="28">
        <f>IF(ROW()-8&lt;CorrWindow,"",IFERROR(CORREL(INDEX($D$9:$D$809,ROW()-8-CorrWindow+1):D803,INDEX($E$9:$E$809,ROW()-8-CorrWindow+1):E803),""))</f>
        <v/>
      </c>
      <c r="G803">
        <f>IF(A803="","",0)</f>
        <v/>
      </c>
    </row>
    <row r="804">
      <c r="A804" s="23">
        <f>IFERROR(INDEX($R$9:$R$809,ROW()-8),"")</f>
        <v/>
      </c>
      <c r="B804">
        <f>IFERROR(INDEX($S$9:$S$809,ROW()-8),"")</f>
        <v/>
      </c>
      <c r="C804">
        <f>IFERROR(INDEX($W$9:$W$809,ROW()-8),"")</f>
        <v/>
      </c>
      <c r="D804" s="26">
        <f>IF(COUNT(B803:B804)=2,LN(B804/B803),"")</f>
        <v/>
      </c>
      <c r="E804" s="27">
        <f>IF(COUNT(C803:C804)=2,(C804-C803)*100,"")</f>
        <v/>
      </c>
      <c r="F804" s="28">
        <f>IF(ROW()-8&lt;CorrWindow,"",IFERROR(CORREL(INDEX($D$9:$D$809,ROW()-8-CorrWindow+1):D804,INDEX($E$9:$E$809,ROW()-8-CorrWindow+1):E804),""))</f>
        <v/>
      </c>
      <c r="G804">
        <f>IF(A804="","",0)</f>
        <v/>
      </c>
    </row>
    <row r="805">
      <c r="A805" s="23">
        <f>IFERROR(INDEX($R$9:$R$809,ROW()-8),"")</f>
        <v/>
      </c>
      <c r="B805">
        <f>IFERROR(INDEX($S$9:$S$809,ROW()-8),"")</f>
        <v/>
      </c>
      <c r="C805">
        <f>IFERROR(INDEX($W$9:$W$809,ROW()-8),"")</f>
        <v/>
      </c>
      <c r="D805" s="26">
        <f>IF(COUNT(B804:B805)=2,LN(B805/B804),"")</f>
        <v/>
      </c>
      <c r="E805" s="27">
        <f>IF(COUNT(C804:C805)=2,(C805-C804)*100,"")</f>
        <v/>
      </c>
      <c r="F805" s="28">
        <f>IF(ROW()-8&lt;CorrWindow,"",IFERROR(CORREL(INDEX($D$9:$D$809,ROW()-8-CorrWindow+1):D805,INDEX($E$9:$E$809,ROW()-8-CorrWindow+1):E805),""))</f>
        <v/>
      </c>
      <c r="G805">
        <f>IF(A805="","",0)</f>
        <v/>
      </c>
    </row>
    <row r="806">
      <c r="A806" s="23">
        <f>IFERROR(INDEX($R$9:$R$809,ROW()-8),"")</f>
        <v/>
      </c>
      <c r="B806">
        <f>IFERROR(INDEX($S$9:$S$809,ROW()-8),"")</f>
        <v/>
      </c>
      <c r="C806">
        <f>IFERROR(INDEX($W$9:$W$809,ROW()-8),"")</f>
        <v/>
      </c>
      <c r="D806" s="26">
        <f>IF(COUNT(B805:B806)=2,LN(B806/B805),"")</f>
        <v/>
      </c>
      <c r="E806" s="27">
        <f>IF(COUNT(C805:C806)=2,(C806-C805)*100,"")</f>
        <v/>
      </c>
      <c r="F806" s="28">
        <f>IF(ROW()-8&lt;CorrWindow,"",IFERROR(CORREL(INDEX($D$9:$D$809,ROW()-8-CorrWindow+1):D806,INDEX($E$9:$E$809,ROW()-8-CorrWindow+1):E806),""))</f>
        <v/>
      </c>
      <c r="G806">
        <f>IF(A806="","",0)</f>
        <v/>
      </c>
    </row>
    <row r="807">
      <c r="A807" s="23">
        <f>IFERROR(INDEX($R$9:$R$809,ROW()-8),"")</f>
        <v/>
      </c>
      <c r="B807">
        <f>IFERROR(INDEX($S$9:$S$809,ROW()-8),"")</f>
        <v/>
      </c>
      <c r="C807">
        <f>IFERROR(INDEX($W$9:$W$809,ROW()-8),"")</f>
        <v/>
      </c>
      <c r="D807" s="26">
        <f>IF(COUNT(B806:B807)=2,LN(B807/B806),"")</f>
        <v/>
      </c>
      <c r="E807" s="27">
        <f>IF(COUNT(C806:C807)=2,(C807-C806)*100,"")</f>
        <v/>
      </c>
      <c r="F807" s="28">
        <f>IF(ROW()-8&lt;CorrWindow,"",IFERROR(CORREL(INDEX($D$9:$D$809,ROW()-8-CorrWindow+1):D807,INDEX($E$9:$E$809,ROW()-8-CorrWindow+1):E807),""))</f>
        <v/>
      </c>
      <c r="G807">
        <f>IF(A807="","",0)</f>
        <v/>
      </c>
    </row>
    <row r="808">
      <c r="A808" s="23">
        <f>IFERROR(INDEX($R$9:$R$809,ROW()-8),"")</f>
        <v/>
      </c>
      <c r="B808">
        <f>IFERROR(INDEX($S$9:$S$809,ROW()-8),"")</f>
        <v/>
      </c>
      <c r="C808">
        <f>IFERROR(INDEX($W$9:$W$809,ROW()-8),"")</f>
        <v/>
      </c>
      <c r="D808" s="26">
        <f>IF(COUNT(B807:B808)=2,LN(B808/B807),"")</f>
        <v/>
      </c>
      <c r="E808" s="27">
        <f>IF(COUNT(C807:C808)=2,(C808-C807)*100,"")</f>
        <v/>
      </c>
      <c r="F808" s="28">
        <f>IF(ROW()-8&lt;CorrWindow,"",IFERROR(CORREL(INDEX($D$9:$D$809,ROW()-8-CorrWindow+1):D808,INDEX($E$9:$E$809,ROW()-8-CorrWindow+1):E808),""))</f>
        <v/>
      </c>
      <c r="G808">
        <f>IF(A808="","",0)</f>
        <v/>
      </c>
    </row>
  </sheetData>
  <pageMargins left="0.75" right="0.75" top="1" bottom="1" header="0.5" footer="0.5"/>
  <drawing xmlns:r="http://schemas.openxmlformats.org/officeDocument/2006/relationships" r:id="rId1"/>
</worksheet>
</file>

<file path=xl/worksheets/sheet5.xml><?xml version="1.0" encoding="utf-8"?>
<worksheet xmlns="http://schemas.openxmlformats.org/spreadsheetml/2006/main">
  <sheetPr>
    <outlinePr summaryBelow="1" summaryRight="1"/>
    <pageSetUpPr/>
  </sheetPr>
  <dimension ref="A1:H1665"/>
  <sheetViews>
    <sheetView showGridLines="0" workbookViewId="0">
      <pane ySplit="4" topLeftCell="A5" activePane="bottomLeft" state="frozen"/>
      <selection pane="bottomLeft" activeCell="A1" sqref="A1"/>
    </sheetView>
  </sheetViews>
  <sheetFormatPr baseColWidth="8" defaultRowHeight="15"/>
  <cols>
    <col width="12" customWidth="1" min="1" max="1"/>
    <col width="13" customWidth="1" min="2" max="2"/>
    <col width="12" customWidth="1" min="3" max="3"/>
    <col width="52" customWidth="1" min="4" max="4"/>
  </cols>
  <sheetData>
    <row r="1">
      <c r="A1" s="1" t="inlineStr">
        <is>
          <t>Credit spreads — §5.1 and the §7 verification flags</t>
        </is>
      </c>
    </row>
    <row r="2">
      <c r="A2" s="2" t="inlineStr">
        <is>
          <t>Computes the percentile rather than quoting 'richest decile', and re-pulls the IG OAS the memo flagged as stale.</t>
        </is>
      </c>
    </row>
    <row r="3" ht="4" customHeight="1">
      <c r="A3" s="3" t="n"/>
      <c r="B3" s="3" t="n"/>
      <c r="C3" s="3" t="n"/>
      <c r="D3" s="3" t="n"/>
      <c r="E3" s="3" t="n"/>
      <c r="F3" s="3" t="n"/>
      <c r="G3" s="3" t="n"/>
      <c r="H3" s="3" t="n"/>
    </row>
    <row r="5" ht="18" customHeight="1">
      <c r="A5" s="4" t="inlineStr">
        <is>
          <t>Measure</t>
        </is>
      </c>
      <c r="B5" s="4" t="inlineStr">
        <is>
          <t>Ticker</t>
        </is>
      </c>
      <c r="C5" s="4" t="inlineStr">
        <is>
          <t>Value</t>
        </is>
      </c>
      <c r="D5" s="4" t="inlineStr">
        <is>
          <t>Note</t>
        </is>
      </c>
    </row>
    <row r="6">
      <c r="A6" s="5" t="inlineStr">
        <is>
          <t>US HY OAS, current</t>
        </is>
      </c>
      <c r="B6" s="14" t="inlineStr">
        <is>
          <t>LF98OAS Index</t>
        </is>
      </c>
      <c r="C6" s="21">
        <f>BDP($B6,"PX_LAST")</f>
        <v/>
      </c>
      <c r="D6" s="7" t="inlineStr">
        <is>
          <t>Memo says 284bp at 30 Jul 2026.</t>
        </is>
      </c>
    </row>
    <row r="7">
      <c r="A7" s="5" t="inlineStr">
        <is>
          <t>US HY OAS, historical median</t>
        </is>
      </c>
      <c r="B7" s="29" t="n"/>
      <c r="C7" s="21">
        <f>IFERROR(MEDIAN($B$16:$B$1665),"")</f>
        <v/>
      </c>
      <c r="D7" s="7" t="inlineStr">
        <is>
          <t>Memo says ~450bp long run.</t>
        </is>
      </c>
    </row>
    <row r="8">
      <c r="A8" s="5" t="inlineStr">
        <is>
          <t>US HY OAS, percentile of history</t>
        </is>
      </c>
      <c r="B8" s="29" t="n"/>
      <c r="C8" s="30">
        <f>IFERROR(PERCENTRANK.INC($B$16:$B$1665,$C$6),"")</f>
        <v/>
      </c>
      <c r="D8" s="7" t="inlineStr">
        <is>
          <t>Below 0.10 substantiates 'richest decile'.</t>
        </is>
      </c>
    </row>
    <row r="9">
      <c r="A9" s="5" t="inlineStr">
        <is>
          <t>Compensation vs median</t>
        </is>
      </c>
      <c r="B9" s="29" t="n"/>
      <c r="C9" s="30">
        <f>IFERROR($C$6/$C$7,"")</f>
        <v/>
      </c>
      <c r="D9" s="7" t="inlineStr">
        <is>
          <t>Memo asserts ~60% of the historical median.</t>
        </is>
      </c>
    </row>
    <row r="10">
      <c r="A10" s="5" t="inlineStr">
        <is>
          <t>US IG OAS, current</t>
        </is>
      </c>
      <c r="B10" s="14" t="inlineStr">
        <is>
          <t>LUACOAS Index</t>
        </is>
      </c>
      <c r="C10" s="21">
        <f>BDP($B10,"PX_LAST")</f>
        <v/>
      </c>
      <c r="D10" s="7" t="inlineStr">
        <is>
          <t>§7 flag — the ~81bp figure may be stale.</t>
        </is>
      </c>
    </row>
    <row r="11">
      <c r="A11" s="5" t="inlineStr">
        <is>
          <t>Asia USD IG OAS, current</t>
        </is>
      </c>
      <c r="B11" s="14" t="inlineStr">
        <is>
          <t>BAIGOAS Index</t>
        </is>
      </c>
      <c r="C11" s="21">
        <f>BDP($B11,"PX_LAST")</f>
        <v/>
      </c>
      <c r="D11" s="7" t="inlineStr">
        <is>
          <t>Bloomberg Asia USD IG average OAS. Confirmed by help desk as the substitute for JACI, which is provider-permissioned.</t>
        </is>
      </c>
    </row>
    <row r="12">
      <c r="A12" s="5" t="inlineStr">
        <is>
          <t>Asia USD HY OAS, current</t>
        </is>
      </c>
      <c r="B12" s="14" t="inlineStr">
        <is>
          <t>BAHYOAS Index</t>
        </is>
      </c>
      <c r="C12" s="21">
        <f>BDP($B12,"PX_LAST")</f>
        <v/>
      </c>
      <c r="D12" s="7" t="inlineStr">
        <is>
          <t>Bloomberg Asia USD HY average OAS. Sources the 'Asia credit at the tight end of its range' claim in §5.1.</t>
        </is>
      </c>
    </row>
    <row r="14">
      <c r="A14" s="9" t="inlineStr">
        <is>
          <t>US HY OAS — full history since 1996 (weekly)</t>
        </is>
      </c>
    </row>
    <row r="15" ht="18" customHeight="1">
      <c r="A15" s="4" t="inlineStr">
        <is>
          <t>Date</t>
        </is>
      </c>
      <c r="B15" s="4" t="inlineStr">
        <is>
          <t>HY OAS, bp</t>
        </is>
      </c>
      <c r="C15" s="4" t="inlineStr">
        <is>
          <t>Median</t>
        </is>
      </c>
    </row>
    <row r="16">
      <c r="A16" s="31">
        <f>BDH("LF98OAS Index","PX_LAST",StartCredit,AsOf,"Dir=V","Sort=A","Per=W","Fill=P")</f>
        <v/>
      </c>
      <c r="C16">
        <f>IF(A16="","",$C$7)</f>
        <v/>
      </c>
    </row>
    <row r="17">
      <c r="A17" s="23" t="n"/>
      <c r="C17">
        <f>IF(A17="","",$C$7)</f>
        <v/>
      </c>
    </row>
    <row r="18">
      <c r="A18" s="23" t="n"/>
      <c r="C18">
        <f>IF(A18="","",$C$7)</f>
        <v/>
      </c>
    </row>
    <row r="19">
      <c r="A19" s="23" t="n"/>
      <c r="C19">
        <f>IF(A19="","",$C$7)</f>
        <v/>
      </c>
    </row>
    <row r="20">
      <c r="A20" s="23" t="n"/>
      <c r="C20">
        <f>IF(A20="","",$C$7)</f>
        <v/>
      </c>
    </row>
    <row r="21">
      <c r="A21" s="23" t="n"/>
      <c r="C21">
        <f>IF(A21="","",$C$7)</f>
        <v/>
      </c>
    </row>
    <row r="22">
      <c r="A22" s="23" t="n"/>
      <c r="C22">
        <f>IF(A22="","",$C$7)</f>
        <v/>
      </c>
    </row>
    <row r="23">
      <c r="A23" s="23" t="n"/>
      <c r="C23">
        <f>IF(A23="","",$C$7)</f>
        <v/>
      </c>
    </row>
    <row r="24">
      <c r="A24" s="23" t="n"/>
      <c r="C24">
        <f>IF(A24="","",$C$7)</f>
        <v/>
      </c>
    </row>
    <row r="25">
      <c r="A25" s="23" t="n"/>
      <c r="C25">
        <f>IF(A25="","",$C$7)</f>
        <v/>
      </c>
    </row>
    <row r="26">
      <c r="A26" s="23" t="n"/>
      <c r="C26">
        <f>IF(A26="","",$C$7)</f>
        <v/>
      </c>
    </row>
    <row r="27">
      <c r="A27" s="23" t="n"/>
      <c r="C27">
        <f>IF(A27="","",$C$7)</f>
        <v/>
      </c>
    </row>
    <row r="28">
      <c r="A28" s="23" t="n"/>
      <c r="C28">
        <f>IF(A28="","",$C$7)</f>
        <v/>
      </c>
    </row>
    <row r="29">
      <c r="A29" s="23" t="n"/>
      <c r="C29">
        <f>IF(A29="","",$C$7)</f>
        <v/>
      </c>
    </row>
    <row r="30">
      <c r="A30" s="23" t="n"/>
      <c r="C30">
        <f>IF(A30="","",$C$7)</f>
        <v/>
      </c>
    </row>
    <row r="31">
      <c r="A31" s="23" t="n"/>
      <c r="C31">
        <f>IF(A31="","",$C$7)</f>
        <v/>
      </c>
    </row>
    <row r="32">
      <c r="A32" s="23" t="n"/>
      <c r="C32">
        <f>IF(A32="","",$C$7)</f>
        <v/>
      </c>
    </row>
    <row r="33">
      <c r="A33" s="23" t="n"/>
      <c r="C33">
        <f>IF(A33="","",$C$7)</f>
        <v/>
      </c>
    </row>
    <row r="34">
      <c r="A34" s="23" t="n"/>
      <c r="C34">
        <f>IF(A34="","",$C$7)</f>
        <v/>
      </c>
    </row>
    <row r="35">
      <c r="A35" s="23" t="n"/>
      <c r="C35">
        <f>IF(A35="","",$C$7)</f>
        <v/>
      </c>
    </row>
    <row r="36">
      <c r="A36" s="23" t="n"/>
      <c r="C36">
        <f>IF(A36="","",$C$7)</f>
        <v/>
      </c>
    </row>
    <row r="37">
      <c r="A37" s="23" t="n"/>
      <c r="C37">
        <f>IF(A37="","",$C$7)</f>
        <v/>
      </c>
    </row>
    <row r="38">
      <c r="A38" s="23" t="n"/>
      <c r="C38">
        <f>IF(A38="","",$C$7)</f>
        <v/>
      </c>
    </row>
    <row r="39">
      <c r="A39" s="23" t="n"/>
      <c r="C39">
        <f>IF(A39="","",$C$7)</f>
        <v/>
      </c>
    </row>
    <row r="40">
      <c r="A40" s="23" t="n"/>
      <c r="C40">
        <f>IF(A40="","",$C$7)</f>
        <v/>
      </c>
    </row>
    <row r="41">
      <c r="A41" s="23" t="n"/>
      <c r="C41">
        <f>IF(A41="","",$C$7)</f>
        <v/>
      </c>
    </row>
    <row r="42">
      <c r="A42" s="23" t="n"/>
      <c r="C42">
        <f>IF(A42="","",$C$7)</f>
        <v/>
      </c>
    </row>
    <row r="43">
      <c r="A43" s="23" t="n"/>
      <c r="C43">
        <f>IF(A43="","",$C$7)</f>
        <v/>
      </c>
    </row>
    <row r="44">
      <c r="A44" s="23" t="n"/>
      <c r="C44">
        <f>IF(A44="","",$C$7)</f>
        <v/>
      </c>
    </row>
    <row r="45">
      <c r="A45" s="23" t="n"/>
      <c r="C45">
        <f>IF(A45="","",$C$7)</f>
        <v/>
      </c>
    </row>
    <row r="46">
      <c r="A46" s="23" t="n"/>
      <c r="C46">
        <f>IF(A46="","",$C$7)</f>
        <v/>
      </c>
    </row>
    <row r="47">
      <c r="A47" s="23" t="n"/>
      <c r="C47">
        <f>IF(A47="","",$C$7)</f>
        <v/>
      </c>
    </row>
    <row r="48">
      <c r="A48" s="23" t="n"/>
      <c r="C48">
        <f>IF(A48="","",$C$7)</f>
        <v/>
      </c>
    </row>
    <row r="49">
      <c r="A49" s="23" t="n"/>
      <c r="C49">
        <f>IF(A49="","",$C$7)</f>
        <v/>
      </c>
    </row>
    <row r="50">
      <c r="A50" s="23" t="n"/>
      <c r="C50">
        <f>IF(A50="","",$C$7)</f>
        <v/>
      </c>
    </row>
    <row r="51">
      <c r="A51" s="23" t="n"/>
      <c r="C51">
        <f>IF(A51="","",$C$7)</f>
        <v/>
      </c>
    </row>
    <row r="52">
      <c r="A52" s="23" t="n"/>
      <c r="C52">
        <f>IF(A52="","",$C$7)</f>
        <v/>
      </c>
    </row>
    <row r="53">
      <c r="A53" s="23" t="n"/>
      <c r="C53">
        <f>IF(A53="","",$C$7)</f>
        <v/>
      </c>
    </row>
    <row r="54">
      <c r="A54" s="23" t="n"/>
      <c r="C54">
        <f>IF(A54="","",$C$7)</f>
        <v/>
      </c>
    </row>
    <row r="55">
      <c r="A55" s="23" t="n"/>
      <c r="C55">
        <f>IF(A55="","",$C$7)</f>
        <v/>
      </c>
    </row>
    <row r="56">
      <c r="A56" s="23" t="n"/>
      <c r="C56">
        <f>IF(A56="","",$C$7)</f>
        <v/>
      </c>
    </row>
    <row r="57">
      <c r="A57" s="23" t="n"/>
      <c r="C57">
        <f>IF(A57="","",$C$7)</f>
        <v/>
      </c>
    </row>
    <row r="58">
      <c r="A58" s="23" t="n"/>
      <c r="C58">
        <f>IF(A58="","",$C$7)</f>
        <v/>
      </c>
    </row>
    <row r="59">
      <c r="A59" s="23" t="n"/>
      <c r="C59">
        <f>IF(A59="","",$C$7)</f>
        <v/>
      </c>
    </row>
    <row r="60">
      <c r="A60" s="23" t="n"/>
      <c r="C60">
        <f>IF(A60="","",$C$7)</f>
        <v/>
      </c>
    </row>
    <row r="61">
      <c r="A61" s="23" t="n"/>
      <c r="C61">
        <f>IF(A61="","",$C$7)</f>
        <v/>
      </c>
    </row>
    <row r="62">
      <c r="A62" s="23" t="n"/>
      <c r="C62">
        <f>IF(A62="","",$C$7)</f>
        <v/>
      </c>
    </row>
    <row r="63">
      <c r="A63" s="23" t="n"/>
      <c r="C63">
        <f>IF(A63="","",$C$7)</f>
        <v/>
      </c>
    </row>
    <row r="64">
      <c r="A64" s="23" t="n"/>
      <c r="C64">
        <f>IF(A64="","",$C$7)</f>
        <v/>
      </c>
    </row>
    <row r="65">
      <c r="A65" s="23" t="n"/>
      <c r="C65">
        <f>IF(A65="","",$C$7)</f>
        <v/>
      </c>
    </row>
    <row r="66">
      <c r="A66" s="23" t="n"/>
      <c r="C66">
        <f>IF(A66="","",$C$7)</f>
        <v/>
      </c>
    </row>
    <row r="67">
      <c r="A67" s="23" t="n"/>
      <c r="C67">
        <f>IF(A67="","",$C$7)</f>
        <v/>
      </c>
    </row>
    <row r="68">
      <c r="A68" s="23" t="n"/>
      <c r="C68">
        <f>IF(A68="","",$C$7)</f>
        <v/>
      </c>
    </row>
    <row r="69">
      <c r="A69" s="23" t="n"/>
      <c r="C69">
        <f>IF(A69="","",$C$7)</f>
        <v/>
      </c>
    </row>
    <row r="70">
      <c r="A70" s="23" t="n"/>
      <c r="C70">
        <f>IF(A70="","",$C$7)</f>
        <v/>
      </c>
    </row>
    <row r="71">
      <c r="A71" s="23" t="n"/>
      <c r="C71">
        <f>IF(A71="","",$C$7)</f>
        <v/>
      </c>
    </row>
    <row r="72">
      <c r="A72" s="23" t="n"/>
      <c r="C72">
        <f>IF(A72="","",$C$7)</f>
        <v/>
      </c>
    </row>
    <row r="73">
      <c r="A73" s="23" t="n"/>
      <c r="C73">
        <f>IF(A73="","",$C$7)</f>
        <v/>
      </c>
    </row>
    <row r="74">
      <c r="A74" s="23" t="n"/>
      <c r="C74">
        <f>IF(A74="","",$C$7)</f>
        <v/>
      </c>
    </row>
    <row r="75">
      <c r="A75" s="23" t="n"/>
      <c r="C75">
        <f>IF(A75="","",$C$7)</f>
        <v/>
      </c>
    </row>
    <row r="76">
      <c r="A76" s="23" t="n"/>
      <c r="C76">
        <f>IF(A76="","",$C$7)</f>
        <v/>
      </c>
    </row>
    <row r="77">
      <c r="A77" s="23" t="n"/>
      <c r="C77">
        <f>IF(A77="","",$C$7)</f>
        <v/>
      </c>
    </row>
    <row r="78">
      <c r="A78" s="23" t="n"/>
      <c r="C78">
        <f>IF(A78="","",$C$7)</f>
        <v/>
      </c>
    </row>
    <row r="79">
      <c r="A79" s="23" t="n"/>
      <c r="C79">
        <f>IF(A79="","",$C$7)</f>
        <v/>
      </c>
    </row>
    <row r="80">
      <c r="A80" s="23" t="n"/>
      <c r="C80">
        <f>IF(A80="","",$C$7)</f>
        <v/>
      </c>
    </row>
    <row r="81">
      <c r="A81" s="23" t="n"/>
      <c r="C81">
        <f>IF(A81="","",$C$7)</f>
        <v/>
      </c>
    </row>
    <row r="82">
      <c r="A82" s="23" t="n"/>
      <c r="C82">
        <f>IF(A82="","",$C$7)</f>
        <v/>
      </c>
    </row>
    <row r="83">
      <c r="A83" s="23" t="n"/>
      <c r="C83">
        <f>IF(A83="","",$C$7)</f>
        <v/>
      </c>
    </row>
    <row r="84">
      <c r="A84" s="23" t="n"/>
      <c r="C84">
        <f>IF(A84="","",$C$7)</f>
        <v/>
      </c>
    </row>
    <row r="85">
      <c r="A85" s="23" t="n"/>
      <c r="C85">
        <f>IF(A85="","",$C$7)</f>
        <v/>
      </c>
    </row>
    <row r="86">
      <c r="A86" s="23" t="n"/>
      <c r="C86">
        <f>IF(A86="","",$C$7)</f>
        <v/>
      </c>
    </row>
    <row r="87">
      <c r="A87" s="23" t="n"/>
      <c r="C87">
        <f>IF(A87="","",$C$7)</f>
        <v/>
      </c>
    </row>
    <row r="88">
      <c r="A88" s="23" t="n"/>
      <c r="C88">
        <f>IF(A88="","",$C$7)</f>
        <v/>
      </c>
    </row>
    <row r="89">
      <c r="A89" s="23" t="n"/>
      <c r="C89">
        <f>IF(A89="","",$C$7)</f>
        <v/>
      </c>
    </row>
    <row r="90">
      <c r="A90" s="23" t="n"/>
      <c r="C90">
        <f>IF(A90="","",$C$7)</f>
        <v/>
      </c>
    </row>
    <row r="91">
      <c r="A91" s="23" t="n"/>
      <c r="C91">
        <f>IF(A91="","",$C$7)</f>
        <v/>
      </c>
    </row>
    <row r="92">
      <c r="A92" s="23" t="n"/>
      <c r="C92">
        <f>IF(A92="","",$C$7)</f>
        <v/>
      </c>
    </row>
    <row r="93">
      <c r="A93" s="23" t="n"/>
      <c r="C93">
        <f>IF(A93="","",$C$7)</f>
        <v/>
      </c>
    </row>
    <row r="94">
      <c r="A94" s="23" t="n"/>
      <c r="C94">
        <f>IF(A94="","",$C$7)</f>
        <v/>
      </c>
    </row>
    <row r="95">
      <c r="A95" s="23" t="n"/>
      <c r="C95">
        <f>IF(A95="","",$C$7)</f>
        <v/>
      </c>
    </row>
    <row r="96">
      <c r="A96" s="23" t="n"/>
      <c r="C96">
        <f>IF(A96="","",$C$7)</f>
        <v/>
      </c>
    </row>
    <row r="97">
      <c r="A97" s="23" t="n"/>
      <c r="C97">
        <f>IF(A97="","",$C$7)</f>
        <v/>
      </c>
    </row>
    <row r="98">
      <c r="A98" s="23" t="n"/>
      <c r="C98">
        <f>IF(A98="","",$C$7)</f>
        <v/>
      </c>
    </row>
    <row r="99">
      <c r="A99" s="23" t="n"/>
      <c r="C99">
        <f>IF(A99="","",$C$7)</f>
        <v/>
      </c>
    </row>
    <row r="100">
      <c r="A100" s="23" t="n"/>
      <c r="C100">
        <f>IF(A100="","",$C$7)</f>
        <v/>
      </c>
    </row>
    <row r="101">
      <c r="A101" s="23" t="n"/>
      <c r="C101">
        <f>IF(A101="","",$C$7)</f>
        <v/>
      </c>
    </row>
    <row r="102">
      <c r="A102" s="23" t="n"/>
      <c r="C102">
        <f>IF(A102="","",$C$7)</f>
        <v/>
      </c>
    </row>
    <row r="103">
      <c r="A103" s="23" t="n"/>
      <c r="C103">
        <f>IF(A103="","",$C$7)</f>
        <v/>
      </c>
    </row>
    <row r="104">
      <c r="A104" s="23" t="n"/>
      <c r="C104">
        <f>IF(A104="","",$C$7)</f>
        <v/>
      </c>
    </row>
    <row r="105">
      <c r="A105" s="23" t="n"/>
      <c r="C105">
        <f>IF(A105="","",$C$7)</f>
        <v/>
      </c>
    </row>
    <row r="106">
      <c r="A106" s="23" t="n"/>
      <c r="C106">
        <f>IF(A106="","",$C$7)</f>
        <v/>
      </c>
    </row>
    <row r="107">
      <c r="A107" s="23" t="n"/>
      <c r="C107">
        <f>IF(A107="","",$C$7)</f>
        <v/>
      </c>
    </row>
    <row r="108">
      <c r="A108" s="23" t="n"/>
      <c r="C108">
        <f>IF(A108="","",$C$7)</f>
        <v/>
      </c>
    </row>
    <row r="109">
      <c r="A109" s="23" t="n"/>
      <c r="C109">
        <f>IF(A109="","",$C$7)</f>
        <v/>
      </c>
    </row>
    <row r="110">
      <c r="A110" s="23" t="n"/>
      <c r="C110">
        <f>IF(A110="","",$C$7)</f>
        <v/>
      </c>
    </row>
    <row r="111">
      <c r="A111" s="23" t="n"/>
      <c r="C111">
        <f>IF(A111="","",$C$7)</f>
        <v/>
      </c>
    </row>
    <row r="112">
      <c r="A112" s="23" t="n"/>
      <c r="C112">
        <f>IF(A112="","",$C$7)</f>
        <v/>
      </c>
    </row>
    <row r="113">
      <c r="A113" s="23" t="n"/>
      <c r="C113">
        <f>IF(A113="","",$C$7)</f>
        <v/>
      </c>
    </row>
    <row r="114">
      <c r="A114" s="23" t="n"/>
      <c r="C114">
        <f>IF(A114="","",$C$7)</f>
        <v/>
      </c>
    </row>
    <row r="115">
      <c r="A115" s="23" t="n"/>
      <c r="C115">
        <f>IF(A115="","",$C$7)</f>
        <v/>
      </c>
    </row>
    <row r="116">
      <c r="A116" s="23" t="n"/>
      <c r="C116">
        <f>IF(A116="","",$C$7)</f>
        <v/>
      </c>
    </row>
    <row r="117">
      <c r="A117" s="23" t="n"/>
      <c r="C117">
        <f>IF(A117="","",$C$7)</f>
        <v/>
      </c>
    </row>
    <row r="118">
      <c r="A118" s="23" t="n"/>
      <c r="C118">
        <f>IF(A118="","",$C$7)</f>
        <v/>
      </c>
    </row>
    <row r="119">
      <c r="A119" s="23" t="n"/>
      <c r="C119">
        <f>IF(A119="","",$C$7)</f>
        <v/>
      </c>
    </row>
    <row r="120">
      <c r="A120" s="23" t="n"/>
      <c r="C120">
        <f>IF(A120="","",$C$7)</f>
        <v/>
      </c>
    </row>
    <row r="121">
      <c r="A121" s="23" t="n"/>
      <c r="C121">
        <f>IF(A121="","",$C$7)</f>
        <v/>
      </c>
    </row>
    <row r="122">
      <c r="A122" s="23" t="n"/>
      <c r="C122">
        <f>IF(A122="","",$C$7)</f>
        <v/>
      </c>
    </row>
    <row r="123">
      <c r="A123" s="23" t="n"/>
      <c r="C123">
        <f>IF(A123="","",$C$7)</f>
        <v/>
      </c>
    </row>
    <row r="124">
      <c r="A124" s="23" t="n"/>
      <c r="C124">
        <f>IF(A124="","",$C$7)</f>
        <v/>
      </c>
    </row>
    <row r="125">
      <c r="A125" s="23" t="n"/>
      <c r="C125">
        <f>IF(A125="","",$C$7)</f>
        <v/>
      </c>
    </row>
    <row r="126">
      <c r="A126" s="23" t="n"/>
      <c r="C126">
        <f>IF(A126="","",$C$7)</f>
        <v/>
      </c>
    </row>
    <row r="127">
      <c r="A127" s="23" t="n"/>
      <c r="C127">
        <f>IF(A127="","",$C$7)</f>
        <v/>
      </c>
    </row>
    <row r="128">
      <c r="A128" s="23" t="n"/>
      <c r="C128">
        <f>IF(A128="","",$C$7)</f>
        <v/>
      </c>
    </row>
    <row r="129">
      <c r="A129" s="23" t="n"/>
      <c r="C129">
        <f>IF(A129="","",$C$7)</f>
        <v/>
      </c>
    </row>
    <row r="130">
      <c r="A130" s="23" t="n"/>
      <c r="C130">
        <f>IF(A130="","",$C$7)</f>
        <v/>
      </c>
    </row>
    <row r="131">
      <c r="A131" s="23" t="n"/>
      <c r="C131">
        <f>IF(A131="","",$C$7)</f>
        <v/>
      </c>
    </row>
    <row r="132">
      <c r="A132" s="23" t="n"/>
      <c r="C132">
        <f>IF(A132="","",$C$7)</f>
        <v/>
      </c>
    </row>
    <row r="133">
      <c r="A133" s="23" t="n"/>
      <c r="C133">
        <f>IF(A133="","",$C$7)</f>
        <v/>
      </c>
    </row>
    <row r="134">
      <c r="A134" s="23" t="n"/>
      <c r="C134">
        <f>IF(A134="","",$C$7)</f>
        <v/>
      </c>
    </row>
    <row r="135">
      <c r="A135" s="23" t="n"/>
      <c r="C135">
        <f>IF(A135="","",$C$7)</f>
        <v/>
      </c>
    </row>
    <row r="136">
      <c r="A136" s="23" t="n"/>
      <c r="C136">
        <f>IF(A136="","",$C$7)</f>
        <v/>
      </c>
    </row>
    <row r="137">
      <c r="A137" s="23" t="n"/>
      <c r="C137">
        <f>IF(A137="","",$C$7)</f>
        <v/>
      </c>
    </row>
    <row r="138">
      <c r="A138" s="23" t="n"/>
      <c r="C138">
        <f>IF(A138="","",$C$7)</f>
        <v/>
      </c>
    </row>
    <row r="139">
      <c r="A139" s="23" t="n"/>
      <c r="C139">
        <f>IF(A139="","",$C$7)</f>
        <v/>
      </c>
    </row>
    <row r="140">
      <c r="A140" s="23" t="n"/>
      <c r="C140">
        <f>IF(A140="","",$C$7)</f>
        <v/>
      </c>
    </row>
    <row r="141">
      <c r="A141" s="23" t="n"/>
      <c r="C141">
        <f>IF(A141="","",$C$7)</f>
        <v/>
      </c>
    </row>
    <row r="142">
      <c r="A142" s="23" t="n"/>
      <c r="C142">
        <f>IF(A142="","",$C$7)</f>
        <v/>
      </c>
    </row>
    <row r="143">
      <c r="A143" s="23" t="n"/>
      <c r="C143">
        <f>IF(A143="","",$C$7)</f>
        <v/>
      </c>
    </row>
    <row r="144">
      <c r="A144" s="23" t="n"/>
      <c r="C144">
        <f>IF(A144="","",$C$7)</f>
        <v/>
      </c>
    </row>
    <row r="145">
      <c r="A145" s="23" t="n"/>
      <c r="C145">
        <f>IF(A145="","",$C$7)</f>
        <v/>
      </c>
    </row>
    <row r="146">
      <c r="A146" s="23" t="n"/>
      <c r="C146">
        <f>IF(A146="","",$C$7)</f>
        <v/>
      </c>
    </row>
    <row r="147">
      <c r="A147" s="23" t="n"/>
      <c r="C147">
        <f>IF(A147="","",$C$7)</f>
        <v/>
      </c>
    </row>
    <row r="148">
      <c r="A148" s="23" t="n"/>
      <c r="C148">
        <f>IF(A148="","",$C$7)</f>
        <v/>
      </c>
    </row>
    <row r="149">
      <c r="A149" s="23" t="n"/>
      <c r="C149">
        <f>IF(A149="","",$C$7)</f>
        <v/>
      </c>
    </row>
    <row r="150">
      <c r="A150" s="23" t="n"/>
      <c r="C150">
        <f>IF(A150="","",$C$7)</f>
        <v/>
      </c>
    </row>
    <row r="151">
      <c r="A151" s="23" t="n"/>
      <c r="C151">
        <f>IF(A151="","",$C$7)</f>
        <v/>
      </c>
    </row>
    <row r="152">
      <c r="A152" s="23" t="n"/>
      <c r="C152">
        <f>IF(A152="","",$C$7)</f>
        <v/>
      </c>
    </row>
    <row r="153">
      <c r="A153" s="23" t="n"/>
      <c r="C153">
        <f>IF(A153="","",$C$7)</f>
        <v/>
      </c>
    </row>
    <row r="154">
      <c r="A154" s="23" t="n"/>
      <c r="C154">
        <f>IF(A154="","",$C$7)</f>
        <v/>
      </c>
    </row>
    <row r="155">
      <c r="A155" s="23" t="n"/>
      <c r="C155">
        <f>IF(A155="","",$C$7)</f>
        <v/>
      </c>
    </row>
    <row r="156">
      <c r="A156" s="23" t="n"/>
      <c r="C156">
        <f>IF(A156="","",$C$7)</f>
        <v/>
      </c>
    </row>
    <row r="157">
      <c r="A157" s="23" t="n"/>
      <c r="C157">
        <f>IF(A157="","",$C$7)</f>
        <v/>
      </c>
    </row>
    <row r="158">
      <c r="A158" s="23" t="n"/>
      <c r="C158">
        <f>IF(A158="","",$C$7)</f>
        <v/>
      </c>
    </row>
    <row r="159">
      <c r="A159" s="23" t="n"/>
      <c r="C159">
        <f>IF(A159="","",$C$7)</f>
        <v/>
      </c>
    </row>
    <row r="160">
      <c r="A160" s="23" t="n"/>
      <c r="C160">
        <f>IF(A160="","",$C$7)</f>
        <v/>
      </c>
    </row>
    <row r="161">
      <c r="A161" s="23" t="n"/>
      <c r="C161">
        <f>IF(A161="","",$C$7)</f>
        <v/>
      </c>
    </row>
    <row r="162">
      <c r="A162" s="23" t="n"/>
      <c r="C162">
        <f>IF(A162="","",$C$7)</f>
        <v/>
      </c>
    </row>
    <row r="163">
      <c r="A163" s="23" t="n"/>
      <c r="C163">
        <f>IF(A163="","",$C$7)</f>
        <v/>
      </c>
    </row>
    <row r="164">
      <c r="A164" s="23" t="n"/>
      <c r="C164">
        <f>IF(A164="","",$C$7)</f>
        <v/>
      </c>
    </row>
    <row r="165">
      <c r="A165" s="23" t="n"/>
      <c r="C165">
        <f>IF(A165="","",$C$7)</f>
        <v/>
      </c>
    </row>
    <row r="166">
      <c r="A166" s="23" t="n"/>
      <c r="C166">
        <f>IF(A166="","",$C$7)</f>
        <v/>
      </c>
    </row>
    <row r="167">
      <c r="A167" s="23" t="n"/>
      <c r="C167">
        <f>IF(A167="","",$C$7)</f>
        <v/>
      </c>
    </row>
    <row r="168">
      <c r="A168" s="23" t="n"/>
      <c r="C168">
        <f>IF(A168="","",$C$7)</f>
        <v/>
      </c>
    </row>
    <row r="169">
      <c r="A169" s="23" t="n"/>
      <c r="C169">
        <f>IF(A169="","",$C$7)</f>
        <v/>
      </c>
    </row>
    <row r="170">
      <c r="A170" s="23" t="n"/>
      <c r="C170">
        <f>IF(A170="","",$C$7)</f>
        <v/>
      </c>
    </row>
    <row r="171">
      <c r="A171" s="23" t="n"/>
      <c r="C171">
        <f>IF(A171="","",$C$7)</f>
        <v/>
      </c>
    </row>
    <row r="172">
      <c r="A172" s="23" t="n"/>
      <c r="C172">
        <f>IF(A172="","",$C$7)</f>
        <v/>
      </c>
    </row>
    <row r="173">
      <c r="A173" s="23" t="n"/>
      <c r="C173">
        <f>IF(A173="","",$C$7)</f>
        <v/>
      </c>
    </row>
    <row r="174">
      <c r="A174" s="23" t="n"/>
      <c r="C174">
        <f>IF(A174="","",$C$7)</f>
        <v/>
      </c>
    </row>
    <row r="175">
      <c r="A175" s="23" t="n"/>
      <c r="C175">
        <f>IF(A175="","",$C$7)</f>
        <v/>
      </c>
    </row>
    <row r="176">
      <c r="A176" s="23" t="n"/>
      <c r="C176">
        <f>IF(A176="","",$C$7)</f>
        <v/>
      </c>
    </row>
    <row r="177">
      <c r="A177" s="23" t="n"/>
      <c r="C177">
        <f>IF(A177="","",$C$7)</f>
        <v/>
      </c>
    </row>
    <row r="178">
      <c r="A178" s="23" t="n"/>
      <c r="C178">
        <f>IF(A178="","",$C$7)</f>
        <v/>
      </c>
    </row>
    <row r="179">
      <c r="A179" s="23" t="n"/>
      <c r="C179">
        <f>IF(A179="","",$C$7)</f>
        <v/>
      </c>
    </row>
    <row r="180">
      <c r="A180" s="23" t="n"/>
      <c r="C180">
        <f>IF(A180="","",$C$7)</f>
        <v/>
      </c>
    </row>
    <row r="181">
      <c r="A181" s="23" t="n"/>
      <c r="C181">
        <f>IF(A181="","",$C$7)</f>
        <v/>
      </c>
    </row>
    <row r="182">
      <c r="A182" s="23" t="n"/>
      <c r="C182">
        <f>IF(A182="","",$C$7)</f>
        <v/>
      </c>
    </row>
    <row r="183">
      <c r="A183" s="23" t="n"/>
      <c r="C183">
        <f>IF(A183="","",$C$7)</f>
        <v/>
      </c>
    </row>
    <row r="184">
      <c r="A184" s="23" t="n"/>
      <c r="C184">
        <f>IF(A184="","",$C$7)</f>
        <v/>
      </c>
    </row>
    <row r="185">
      <c r="A185" s="23" t="n"/>
      <c r="C185">
        <f>IF(A185="","",$C$7)</f>
        <v/>
      </c>
    </row>
    <row r="186">
      <c r="A186" s="23" t="n"/>
      <c r="C186">
        <f>IF(A186="","",$C$7)</f>
        <v/>
      </c>
    </row>
    <row r="187">
      <c r="A187" s="23" t="n"/>
      <c r="C187">
        <f>IF(A187="","",$C$7)</f>
        <v/>
      </c>
    </row>
    <row r="188">
      <c r="A188" s="23" t="n"/>
      <c r="C188">
        <f>IF(A188="","",$C$7)</f>
        <v/>
      </c>
    </row>
    <row r="189">
      <c r="A189" s="23" t="n"/>
      <c r="C189">
        <f>IF(A189="","",$C$7)</f>
        <v/>
      </c>
    </row>
    <row r="190">
      <c r="A190" s="23" t="n"/>
      <c r="C190">
        <f>IF(A190="","",$C$7)</f>
        <v/>
      </c>
    </row>
    <row r="191">
      <c r="A191" s="23" t="n"/>
      <c r="C191">
        <f>IF(A191="","",$C$7)</f>
        <v/>
      </c>
    </row>
    <row r="192">
      <c r="A192" s="23" t="n"/>
      <c r="C192">
        <f>IF(A192="","",$C$7)</f>
        <v/>
      </c>
    </row>
    <row r="193">
      <c r="A193" s="23" t="n"/>
      <c r="C193">
        <f>IF(A193="","",$C$7)</f>
        <v/>
      </c>
    </row>
    <row r="194">
      <c r="A194" s="23" t="n"/>
      <c r="C194">
        <f>IF(A194="","",$C$7)</f>
        <v/>
      </c>
    </row>
    <row r="195">
      <c r="A195" s="23" t="n"/>
      <c r="C195">
        <f>IF(A195="","",$C$7)</f>
        <v/>
      </c>
    </row>
    <row r="196">
      <c r="A196" s="23" t="n"/>
      <c r="C196">
        <f>IF(A196="","",$C$7)</f>
        <v/>
      </c>
    </row>
    <row r="197">
      <c r="A197" s="23" t="n"/>
      <c r="C197">
        <f>IF(A197="","",$C$7)</f>
        <v/>
      </c>
    </row>
    <row r="198">
      <c r="A198" s="23" t="n"/>
      <c r="C198">
        <f>IF(A198="","",$C$7)</f>
        <v/>
      </c>
    </row>
    <row r="199">
      <c r="A199" s="23" t="n"/>
      <c r="C199">
        <f>IF(A199="","",$C$7)</f>
        <v/>
      </c>
    </row>
    <row r="200">
      <c r="A200" s="23" t="n"/>
      <c r="C200">
        <f>IF(A200="","",$C$7)</f>
        <v/>
      </c>
    </row>
    <row r="201">
      <c r="A201" s="23" t="n"/>
      <c r="C201">
        <f>IF(A201="","",$C$7)</f>
        <v/>
      </c>
    </row>
    <row r="202">
      <c r="A202" s="23" t="n"/>
      <c r="C202">
        <f>IF(A202="","",$C$7)</f>
        <v/>
      </c>
    </row>
    <row r="203">
      <c r="A203" s="23" t="n"/>
      <c r="C203">
        <f>IF(A203="","",$C$7)</f>
        <v/>
      </c>
    </row>
    <row r="204">
      <c r="A204" s="23" t="n"/>
      <c r="C204">
        <f>IF(A204="","",$C$7)</f>
        <v/>
      </c>
    </row>
    <row r="205">
      <c r="A205" s="23" t="n"/>
      <c r="C205">
        <f>IF(A205="","",$C$7)</f>
        <v/>
      </c>
    </row>
    <row r="206">
      <c r="A206" s="23" t="n"/>
      <c r="C206">
        <f>IF(A206="","",$C$7)</f>
        <v/>
      </c>
    </row>
    <row r="207">
      <c r="A207" s="23" t="n"/>
      <c r="C207">
        <f>IF(A207="","",$C$7)</f>
        <v/>
      </c>
    </row>
    <row r="208">
      <c r="A208" s="23" t="n"/>
      <c r="C208">
        <f>IF(A208="","",$C$7)</f>
        <v/>
      </c>
    </row>
    <row r="209">
      <c r="A209" s="23" t="n"/>
      <c r="C209">
        <f>IF(A209="","",$C$7)</f>
        <v/>
      </c>
    </row>
    <row r="210">
      <c r="A210" s="23" t="n"/>
      <c r="C210">
        <f>IF(A210="","",$C$7)</f>
        <v/>
      </c>
    </row>
    <row r="211">
      <c r="A211" s="23" t="n"/>
      <c r="C211">
        <f>IF(A211="","",$C$7)</f>
        <v/>
      </c>
    </row>
    <row r="212">
      <c r="A212" s="23" t="n"/>
      <c r="C212">
        <f>IF(A212="","",$C$7)</f>
        <v/>
      </c>
    </row>
    <row r="213">
      <c r="A213" s="23" t="n"/>
      <c r="C213">
        <f>IF(A213="","",$C$7)</f>
        <v/>
      </c>
    </row>
    <row r="214">
      <c r="A214" s="23" t="n"/>
      <c r="C214">
        <f>IF(A214="","",$C$7)</f>
        <v/>
      </c>
    </row>
    <row r="215">
      <c r="A215" s="23" t="n"/>
      <c r="C215">
        <f>IF(A215="","",$C$7)</f>
        <v/>
      </c>
    </row>
    <row r="216">
      <c r="A216" s="23" t="n"/>
      <c r="C216">
        <f>IF(A216="","",$C$7)</f>
        <v/>
      </c>
    </row>
    <row r="217">
      <c r="A217" s="23" t="n"/>
      <c r="C217">
        <f>IF(A217="","",$C$7)</f>
        <v/>
      </c>
    </row>
    <row r="218">
      <c r="A218" s="23" t="n"/>
      <c r="C218">
        <f>IF(A218="","",$C$7)</f>
        <v/>
      </c>
    </row>
    <row r="219">
      <c r="A219" s="23" t="n"/>
      <c r="C219">
        <f>IF(A219="","",$C$7)</f>
        <v/>
      </c>
    </row>
    <row r="220">
      <c r="A220" s="23" t="n"/>
      <c r="C220">
        <f>IF(A220="","",$C$7)</f>
        <v/>
      </c>
    </row>
    <row r="221">
      <c r="A221" s="23" t="n"/>
      <c r="C221">
        <f>IF(A221="","",$C$7)</f>
        <v/>
      </c>
    </row>
    <row r="222">
      <c r="A222" s="23" t="n"/>
      <c r="C222">
        <f>IF(A222="","",$C$7)</f>
        <v/>
      </c>
    </row>
    <row r="223">
      <c r="A223" s="23" t="n"/>
      <c r="C223">
        <f>IF(A223="","",$C$7)</f>
        <v/>
      </c>
    </row>
    <row r="224">
      <c r="A224" s="23" t="n"/>
      <c r="C224">
        <f>IF(A224="","",$C$7)</f>
        <v/>
      </c>
    </row>
    <row r="225">
      <c r="A225" s="23" t="n"/>
      <c r="C225">
        <f>IF(A225="","",$C$7)</f>
        <v/>
      </c>
    </row>
    <row r="226">
      <c r="A226" s="23" t="n"/>
      <c r="C226">
        <f>IF(A226="","",$C$7)</f>
        <v/>
      </c>
    </row>
    <row r="227">
      <c r="A227" s="23" t="n"/>
      <c r="C227">
        <f>IF(A227="","",$C$7)</f>
        <v/>
      </c>
    </row>
    <row r="228">
      <c r="A228" s="23" t="n"/>
      <c r="C228">
        <f>IF(A228="","",$C$7)</f>
        <v/>
      </c>
    </row>
    <row r="229">
      <c r="A229" s="23" t="n"/>
      <c r="C229">
        <f>IF(A229="","",$C$7)</f>
        <v/>
      </c>
    </row>
    <row r="230">
      <c r="A230" s="23" t="n"/>
      <c r="C230">
        <f>IF(A230="","",$C$7)</f>
        <v/>
      </c>
    </row>
    <row r="231">
      <c r="A231" s="23" t="n"/>
      <c r="C231">
        <f>IF(A231="","",$C$7)</f>
        <v/>
      </c>
    </row>
    <row r="232">
      <c r="A232" s="23" t="n"/>
      <c r="C232">
        <f>IF(A232="","",$C$7)</f>
        <v/>
      </c>
    </row>
    <row r="233">
      <c r="A233" s="23" t="n"/>
      <c r="C233">
        <f>IF(A233="","",$C$7)</f>
        <v/>
      </c>
    </row>
    <row r="234">
      <c r="A234" s="23" t="n"/>
      <c r="C234">
        <f>IF(A234="","",$C$7)</f>
        <v/>
      </c>
    </row>
    <row r="235">
      <c r="A235" s="23" t="n"/>
      <c r="C235">
        <f>IF(A235="","",$C$7)</f>
        <v/>
      </c>
    </row>
    <row r="236">
      <c r="A236" s="23" t="n"/>
      <c r="C236">
        <f>IF(A236="","",$C$7)</f>
        <v/>
      </c>
    </row>
    <row r="237">
      <c r="A237" s="23" t="n"/>
      <c r="C237">
        <f>IF(A237="","",$C$7)</f>
        <v/>
      </c>
    </row>
    <row r="238">
      <c r="A238" s="23" t="n"/>
      <c r="C238">
        <f>IF(A238="","",$C$7)</f>
        <v/>
      </c>
    </row>
    <row r="239">
      <c r="A239" s="23" t="n"/>
      <c r="C239">
        <f>IF(A239="","",$C$7)</f>
        <v/>
      </c>
    </row>
    <row r="240">
      <c r="A240" s="23" t="n"/>
      <c r="C240">
        <f>IF(A240="","",$C$7)</f>
        <v/>
      </c>
    </row>
    <row r="241">
      <c r="A241" s="23" t="n"/>
      <c r="C241">
        <f>IF(A241="","",$C$7)</f>
        <v/>
      </c>
    </row>
    <row r="242">
      <c r="A242" s="23" t="n"/>
      <c r="C242">
        <f>IF(A242="","",$C$7)</f>
        <v/>
      </c>
    </row>
    <row r="243">
      <c r="A243" s="23" t="n"/>
      <c r="C243">
        <f>IF(A243="","",$C$7)</f>
        <v/>
      </c>
    </row>
    <row r="244">
      <c r="A244" s="23" t="n"/>
      <c r="C244">
        <f>IF(A244="","",$C$7)</f>
        <v/>
      </c>
    </row>
    <row r="245">
      <c r="A245" s="23" t="n"/>
      <c r="C245">
        <f>IF(A245="","",$C$7)</f>
        <v/>
      </c>
    </row>
    <row r="246">
      <c r="A246" s="23" t="n"/>
      <c r="C246">
        <f>IF(A246="","",$C$7)</f>
        <v/>
      </c>
    </row>
    <row r="247">
      <c r="A247" s="23" t="n"/>
      <c r="C247">
        <f>IF(A247="","",$C$7)</f>
        <v/>
      </c>
    </row>
    <row r="248">
      <c r="A248" s="23" t="n"/>
      <c r="C248">
        <f>IF(A248="","",$C$7)</f>
        <v/>
      </c>
    </row>
    <row r="249">
      <c r="A249" s="23" t="n"/>
      <c r="C249">
        <f>IF(A249="","",$C$7)</f>
        <v/>
      </c>
    </row>
    <row r="250">
      <c r="A250" s="23" t="n"/>
      <c r="C250">
        <f>IF(A250="","",$C$7)</f>
        <v/>
      </c>
    </row>
    <row r="251">
      <c r="A251" s="23" t="n"/>
      <c r="C251">
        <f>IF(A251="","",$C$7)</f>
        <v/>
      </c>
    </row>
    <row r="252">
      <c r="A252" s="23" t="n"/>
      <c r="C252">
        <f>IF(A252="","",$C$7)</f>
        <v/>
      </c>
    </row>
    <row r="253">
      <c r="A253" s="23" t="n"/>
      <c r="C253">
        <f>IF(A253="","",$C$7)</f>
        <v/>
      </c>
    </row>
    <row r="254">
      <c r="A254" s="23" t="n"/>
      <c r="C254">
        <f>IF(A254="","",$C$7)</f>
        <v/>
      </c>
    </row>
    <row r="255">
      <c r="A255" s="23" t="n"/>
      <c r="C255">
        <f>IF(A255="","",$C$7)</f>
        <v/>
      </c>
    </row>
    <row r="256">
      <c r="A256" s="23" t="n"/>
      <c r="C256">
        <f>IF(A256="","",$C$7)</f>
        <v/>
      </c>
    </row>
    <row r="257">
      <c r="A257" s="23" t="n"/>
      <c r="C257">
        <f>IF(A257="","",$C$7)</f>
        <v/>
      </c>
    </row>
    <row r="258">
      <c r="A258" s="23" t="n"/>
      <c r="C258">
        <f>IF(A258="","",$C$7)</f>
        <v/>
      </c>
    </row>
    <row r="259">
      <c r="A259" s="23" t="n"/>
      <c r="C259">
        <f>IF(A259="","",$C$7)</f>
        <v/>
      </c>
    </row>
    <row r="260">
      <c r="A260" s="23" t="n"/>
      <c r="C260">
        <f>IF(A260="","",$C$7)</f>
        <v/>
      </c>
    </row>
    <row r="261">
      <c r="A261" s="23" t="n"/>
      <c r="C261">
        <f>IF(A261="","",$C$7)</f>
        <v/>
      </c>
    </row>
    <row r="262">
      <c r="A262" s="23" t="n"/>
      <c r="C262">
        <f>IF(A262="","",$C$7)</f>
        <v/>
      </c>
    </row>
    <row r="263">
      <c r="A263" s="23" t="n"/>
      <c r="C263">
        <f>IF(A263="","",$C$7)</f>
        <v/>
      </c>
    </row>
    <row r="264">
      <c r="A264" s="23" t="n"/>
      <c r="C264">
        <f>IF(A264="","",$C$7)</f>
        <v/>
      </c>
    </row>
    <row r="265">
      <c r="A265" s="23" t="n"/>
      <c r="C265">
        <f>IF(A265="","",$C$7)</f>
        <v/>
      </c>
    </row>
    <row r="266">
      <c r="A266" s="23" t="n"/>
      <c r="C266">
        <f>IF(A266="","",$C$7)</f>
        <v/>
      </c>
    </row>
    <row r="267">
      <c r="A267" s="23" t="n"/>
      <c r="C267">
        <f>IF(A267="","",$C$7)</f>
        <v/>
      </c>
    </row>
    <row r="268">
      <c r="A268" s="23" t="n"/>
      <c r="C268">
        <f>IF(A268="","",$C$7)</f>
        <v/>
      </c>
    </row>
    <row r="269">
      <c r="A269" s="23" t="n"/>
      <c r="C269">
        <f>IF(A269="","",$C$7)</f>
        <v/>
      </c>
    </row>
    <row r="270">
      <c r="A270" s="23" t="n"/>
      <c r="C270">
        <f>IF(A270="","",$C$7)</f>
        <v/>
      </c>
    </row>
    <row r="271">
      <c r="A271" s="23" t="n"/>
      <c r="C271">
        <f>IF(A271="","",$C$7)</f>
        <v/>
      </c>
    </row>
    <row r="272">
      <c r="A272" s="23" t="n"/>
      <c r="C272">
        <f>IF(A272="","",$C$7)</f>
        <v/>
      </c>
    </row>
    <row r="273">
      <c r="A273" s="23" t="n"/>
      <c r="C273">
        <f>IF(A273="","",$C$7)</f>
        <v/>
      </c>
    </row>
    <row r="274">
      <c r="A274" s="23" t="n"/>
      <c r="C274">
        <f>IF(A274="","",$C$7)</f>
        <v/>
      </c>
    </row>
    <row r="275">
      <c r="A275" s="23" t="n"/>
      <c r="C275">
        <f>IF(A275="","",$C$7)</f>
        <v/>
      </c>
    </row>
    <row r="276">
      <c r="A276" s="23" t="n"/>
      <c r="C276">
        <f>IF(A276="","",$C$7)</f>
        <v/>
      </c>
    </row>
    <row r="277">
      <c r="A277" s="23" t="n"/>
      <c r="C277">
        <f>IF(A277="","",$C$7)</f>
        <v/>
      </c>
    </row>
    <row r="278">
      <c r="A278" s="23" t="n"/>
      <c r="C278">
        <f>IF(A278="","",$C$7)</f>
        <v/>
      </c>
    </row>
    <row r="279">
      <c r="A279" s="23" t="n"/>
      <c r="C279">
        <f>IF(A279="","",$C$7)</f>
        <v/>
      </c>
    </row>
    <row r="280">
      <c r="A280" s="23" t="n"/>
      <c r="C280">
        <f>IF(A280="","",$C$7)</f>
        <v/>
      </c>
    </row>
    <row r="281">
      <c r="A281" s="23" t="n"/>
      <c r="C281">
        <f>IF(A281="","",$C$7)</f>
        <v/>
      </c>
    </row>
    <row r="282">
      <c r="A282" s="23" t="n"/>
      <c r="C282">
        <f>IF(A282="","",$C$7)</f>
        <v/>
      </c>
    </row>
    <row r="283">
      <c r="A283" s="23" t="n"/>
      <c r="C283">
        <f>IF(A283="","",$C$7)</f>
        <v/>
      </c>
    </row>
    <row r="284">
      <c r="A284" s="23" t="n"/>
      <c r="C284">
        <f>IF(A284="","",$C$7)</f>
        <v/>
      </c>
    </row>
    <row r="285">
      <c r="A285" s="23" t="n"/>
      <c r="C285">
        <f>IF(A285="","",$C$7)</f>
        <v/>
      </c>
    </row>
    <row r="286">
      <c r="A286" s="23" t="n"/>
      <c r="C286">
        <f>IF(A286="","",$C$7)</f>
        <v/>
      </c>
    </row>
    <row r="287">
      <c r="A287" s="23" t="n"/>
      <c r="C287">
        <f>IF(A287="","",$C$7)</f>
        <v/>
      </c>
    </row>
    <row r="288">
      <c r="A288" s="23" t="n"/>
      <c r="C288">
        <f>IF(A288="","",$C$7)</f>
        <v/>
      </c>
    </row>
    <row r="289">
      <c r="A289" s="23" t="n"/>
      <c r="C289">
        <f>IF(A289="","",$C$7)</f>
        <v/>
      </c>
    </row>
    <row r="290">
      <c r="A290" s="23" t="n"/>
      <c r="C290">
        <f>IF(A290="","",$C$7)</f>
        <v/>
      </c>
    </row>
    <row r="291">
      <c r="A291" s="23" t="n"/>
      <c r="C291">
        <f>IF(A291="","",$C$7)</f>
        <v/>
      </c>
    </row>
    <row r="292">
      <c r="A292" s="23" t="n"/>
      <c r="C292">
        <f>IF(A292="","",$C$7)</f>
        <v/>
      </c>
    </row>
    <row r="293">
      <c r="A293" s="23" t="n"/>
      <c r="C293">
        <f>IF(A293="","",$C$7)</f>
        <v/>
      </c>
    </row>
    <row r="294">
      <c r="A294" s="23" t="n"/>
      <c r="C294">
        <f>IF(A294="","",$C$7)</f>
        <v/>
      </c>
    </row>
    <row r="295">
      <c r="A295" s="23" t="n"/>
      <c r="C295">
        <f>IF(A295="","",$C$7)</f>
        <v/>
      </c>
    </row>
    <row r="296">
      <c r="A296" s="23" t="n"/>
      <c r="C296">
        <f>IF(A296="","",$C$7)</f>
        <v/>
      </c>
    </row>
    <row r="297">
      <c r="A297" s="23" t="n"/>
      <c r="C297">
        <f>IF(A297="","",$C$7)</f>
        <v/>
      </c>
    </row>
    <row r="298">
      <c r="A298" s="23" t="n"/>
      <c r="C298">
        <f>IF(A298="","",$C$7)</f>
        <v/>
      </c>
    </row>
    <row r="299">
      <c r="A299" s="23" t="n"/>
      <c r="C299">
        <f>IF(A299="","",$C$7)</f>
        <v/>
      </c>
    </row>
    <row r="300">
      <c r="A300" s="23" t="n"/>
      <c r="C300">
        <f>IF(A300="","",$C$7)</f>
        <v/>
      </c>
    </row>
    <row r="301">
      <c r="A301" s="23" t="n"/>
      <c r="C301">
        <f>IF(A301="","",$C$7)</f>
        <v/>
      </c>
    </row>
    <row r="302">
      <c r="A302" s="23" t="n"/>
      <c r="C302">
        <f>IF(A302="","",$C$7)</f>
        <v/>
      </c>
    </row>
    <row r="303">
      <c r="A303" s="23" t="n"/>
      <c r="C303">
        <f>IF(A303="","",$C$7)</f>
        <v/>
      </c>
    </row>
    <row r="304">
      <c r="A304" s="23" t="n"/>
      <c r="C304">
        <f>IF(A304="","",$C$7)</f>
        <v/>
      </c>
    </row>
    <row r="305">
      <c r="A305" s="23" t="n"/>
      <c r="C305">
        <f>IF(A305="","",$C$7)</f>
        <v/>
      </c>
    </row>
    <row r="306">
      <c r="A306" s="23" t="n"/>
      <c r="C306">
        <f>IF(A306="","",$C$7)</f>
        <v/>
      </c>
    </row>
    <row r="307">
      <c r="A307" s="23" t="n"/>
      <c r="C307">
        <f>IF(A307="","",$C$7)</f>
        <v/>
      </c>
    </row>
    <row r="308">
      <c r="A308" s="23" t="n"/>
      <c r="C308">
        <f>IF(A308="","",$C$7)</f>
        <v/>
      </c>
    </row>
    <row r="309">
      <c r="A309" s="23" t="n"/>
      <c r="C309">
        <f>IF(A309="","",$C$7)</f>
        <v/>
      </c>
    </row>
    <row r="310">
      <c r="A310" s="23" t="n"/>
      <c r="C310">
        <f>IF(A310="","",$C$7)</f>
        <v/>
      </c>
    </row>
    <row r="311">
      <c r="A311" s="23" t="n"/>
      <c r="C311">
        <f>IF(A311="","",$C$7)</f>
        <v/>
      </c>
    </row>
    <row r="312">
      <c r="A312" s="23" t="n"/>
      <c r="C312">
        <f>IF(A312="","",$C$7)</f>
        <v/>
      </c>
    </row>
    <row r="313">
      <c r="A313" s="23" t="n"/>
      <c r="C313">
        <f>IF(A313="","",$C$7)</f>
        <v/>
      </c>
    </row>
    <row r="314">
      <c r="A314" s="23" t="n"/>
      <c r="C314">
        <f>IF(A314="","",$C$7)</f>
        <v/>
      </c>
    </row>
    <row r="315">
      <c r="A315" s="23" t="n"/>
      <c r="C315">
        <f>IF(A315="","",$C$7)</f>
        <v/>
      </c>
    </row>
    <row r="316">
      <c r="A316" s="23" t="n"/>
      <c r="C316">
        <f>IF(A316="","",$C$7)</f>
        <v/>
      </c>
    </row>
    <row r="317">
      <c r="A317" s="23" t="n"/>
      <c r="C317">
        <f>IF(A317="","",$C$7)</f>
        <v/>
      </c>
    </row>
    <row r="318">
      <c r="A318" s="23" t="n"/>
      <c r="C318">
        <f>IF(A318="","",$C$7)</f>
        <v/>
      </c>
    </row>
    <row r="319">
      <c r="A319" s="23" t="n"/>
      <c r="C319">
        <f>IF(A319="","",$C$7)</f>
        <v/>
      </c>
    </row>
    <row r="320">
      <c r="A320" s="23" t="n"/>
      <c r="C320">
        <f>IF(A320="","",$C$7)</f>
        <v/>
      </c>
    </row>
    <row r="321">
      <c r="A321" s="23" t="n"/>
      <c r="C321">
        <f>IF(A321="","",$C$7)</f>
        <v/>
      </c>
    </row>
    <row r="322">
      <c r="A322" s="23" t="n"/>
      <c r="C322">
        <f>IF(A322="","",$C$7)</f>
        <v/>
      </c>
    </row>
    <row r="323">
      <c r="A323" s="23" t="n"/>
      <c r="C323">
        <f>IF(A323="","",$C$7)</f>
        <v/>
      </c>
    </row>
    <row r="324">
      <c r="A324" s="23" t="n"/>
      <c r="C324">
        <f>IF(A324="","",$C$7)</f>
        <v/>
      </c>
    </row>
    <row r="325">
      <c r="A325" s="23" t="n"/>
      <c r="C325">
        <f>IF(A325="","",$C$7)</f>
        <v/>
      </c>
    </row>
    <row r="326">
      <c r="A326" s="23" t="n"/>
      <c r="C326">
        <f>IF(A326="","",$C$7)</f>
        <v/>
      </c>
    </row>
    <row r="327">
      <c r="A327" s="23" t="n"/>
      <c r="C327">
        <f>IF(A327="","",$C$7)</f>
        <v/>
      </c>
    </row>
    <row r="328">
      <c r="A328" s="23" t="n"/>
      <c r="C328">
        <f>IF(A328="","",$C$7)</f>
        <v/>
      </c>
    </row>
    <row r="329">
      <c r="A329" s="23" t="n"/>
      <c r="C329">
        <f>IF(A329="","",$C$7)</f>
        <v/>
      </c>
    </row>
    <row r="330">
      <c r="A330" s="23" t="n"/>
      <c r="C330">
        <f>IF(A330="","",$C$7)</f>
        <v/>
      </c>
    </row>
    <row r="331">
      <c r="A331" s="23" t="n"/>
      <c r="C331">
        <f>IF(A331="","",$C$7)</f>
        <v/>
      </c>
    </row>
    <row r="332">
      <c r="A332" s="23" t="n"/>
      <c r="C332">
        <f>IF(A332="","",$C$7)</f>
        <v/>
      </c>
    </row>
    <row r="333">
      <c r="A333" s="23" t="n"/>
      <c r="C333">
        <f>IF(A333="","",$C$7)</f>
        <v/>
      </c>
    </row>
    <row r="334">
      <c r="A334" s="23" t="n"/>
      <c r="C334">
        <f>IF(A334="","",$C$7)</f>
        <v/>
      </c>
    </row>
    <row r="335">
      <c r="A335" s="23" t="n"/>
      <c r="C335">
        <f>IF(A335="","",$C$7)</f>
        <v/>
      </c>
    </row>
    <row r="336">
      <c r="A336" s="23" t="n"/>
      <c r="C336">
        <f>IF(A336="","",$C$7)</f>
        <v/>
      </c>
    </row>
    <row r="337">
      <c r="A337" s="23" t="n"/>
      <c r="C337">
        <f>IF(A337="","",$C$7)</f>
        <v/>
      </c>
    </row>
    <row r="338">
      <c r="A338" s="23" t="n"/>
      <c r="C338">
        <f>IF(A338="","",$C$7)</f>
        <v/>
      </c>
    </row>
    <row r="339">
      <c r="A339" s="23" t="n"/>
      <c r="C339">
        <f>IF(A339="","",$C$7)</f>
        <v/>
      </c>
    </row>
    <row r="340">
      <c r="A340" s="23" t="n"/>
      <c r="C340">
        <f>IF(A340="","",$C$7)</f>
        <v/>
      </c>
    </row>
    <row r="341">
      <c r="A341" s="23" t="n"/>
      <c r="C341">
        <f>IF(A341="","",$C$7)</f>
        <v/>
      </c>
    </row>
    <row r="342">
      <c r="A342" s="23" t="n"/>
      <c r="C342">
        <f>IF(A342="","",$C$7)</f>
        <v/>
      </c>
    </row>
    <row r="343">
      <c r="A343" s="23" t="n"/>
      <c r="C343">
        <f>IF(A343="","",$C$7)</f>
        <v/>
      </c>
    </row>
    <row r="344">
      <c r="A344" s="23" t="n"/>
      <c r="C344">
        <f>IF(A344="","",$C$7)</f>
        <v/>
      </c>
    </row>
    <row r="345">
      <c r="A345" s="23" t="n"/>
      <c r="C345">
        <f>IF(A345="","",$C$7)</f>
        <v/>
      </c>
    </row>
    <row r="346">
      <c r="A346" s="23" t="n"/>
      <c r="C346">
        <f>IF(A346="","",$C$7)</f>
        <v/>
      </c>
    </row>
    <row r="347">
      <c r="A347" s="23" t="n"/>
      <c r="C347">
        <f>IF(A347="","",$C$7)</f>
        <v/>
      </c>
    </row>
    <row r="348">
      <c r="A348" s="23" t="n"/>
      <c r="C348">
        <f>IF(A348="","",$C$7)</f>
        <v/>
      </c>
    </row>
    <row r="349">
      <c r="A349" s="23" t="n"/>
      <c r="C349">
        <f>IF(A349="","",$C$7)</f>
        <v/>
      </c>
    </row>
    <row r="350">
      <c r="A350" s="23" t="n"/>
      <c r="C350">
        <f>IF(A350="","",$C$7)</f>
        <v/>
      </c>
    </row>
    <row r="351">
      <c r="A351" s="23" t="n"/>
      <c r="C351">
        <f>IF(A351="","",$C$7)</f>
        <v/>
      </c>
    </row>
    <row r="352">
      <c r="A352" s="23" t="n"/>
      <c r="C352">
        <f>IF(A352="","",$C$7)</f>
        <v/>
      </c>
    </row>
    <row r="353">
      <c r="A353" s="23" t="n"/>
      <c r="C353">
        <f>IF(A353="","",$C$7)</f>
        <v/>
      </c>
    </row>
    <row r="354">
      <c r="A354" s="23" t="n"/>
      <c r="C354">
        <f>IF(A354="","",$C$7)</f>
        <v/>
      </c>
    </row>
    <row r="355">
      <c r="A355" s="23" t="n"/>
      <c r="C355">
        <f>IF(A355="","",$C$7)</f>
        <v/>
      </c>
    </row>
    <row r="356">
      <c r="A356" s="23" t="n"/>
      <c r="C356">
        <f>IF(A356="","",$C$7)</f>
        <v/>
      </c>
    </row>
    <row r="357">
      <c r="A357" s="23" t="n"/>
      <c r="C357">
        <f>IF(A357="","",$C$7)</f>
        <v/>
      </c>
    </row>
    <row r="358">
      <c r="A358" s="23" t="n"/>
      <c r="C358">
        <f>IF(A358="","",$C$7)</f>
        <v/>
      </c>
    </row>
    <row r="359">
      <c r="A359" s="23" t="n"/>
      <c r="C359">
        <f>IF(A359="","",$C$7)</f>
        <v/>
      </c>
    </row>
    <row r="360">
      <c r="A360" s="23" t="n"/>
      <c r="C360">
        <f>IF(A360="","",$C$7)</f>
        <v/>
      </c>
    </row>
    <row r="361">
      <c r="A361" s="23" t="n"/>
      <c r="C361">
        <f>IF(A361="","",$C$7)</f>
        <v/>
      </c>
    </row>
    <row r="362">
      <c r="A362" s="23" t="n"/>
      <c r="C362">
        <f>IF(A362="","",$C$7)</f>
        <v/>
      </c>
    </row>
    <row r="363">
      <c r="A363" s="23" t="n"/>
      <c r="C363">
        <f>IF(A363="","",$C$7)</f>
        <v/>
      </c>
    </row>
    <row r="364">
      <c r="A364" s="23" t="n"/>
      <c r="C364">
        <f>IF(A364="","",$C$7)</f>
        <v/>
      </c>
    </row>
    <row r="365">
      <c r="A365" s="23" t="n"/>
      <c r="C365">
        <f>IF(A365="","",$C$7)</f>
        <v/>
      </c>
    </row>
    <row r="366">
      <c r="A366" s="23" t="n"/>
      <c r="C366">
        <f>IF(A366="","",$C$7)</f>
        <v/>
      </c>
    </row>
    <row r="367">
      <c r="A367" s="23" t="n"/>
      <c r="C367">
        <f>IF(A367="","",$C$7)</f>
        <v/>
      </c>
    </row>
    <row r="368">
      <c r="A368" s="23" t="n"/>
      <c r="C368">
        <f>IF(A368="","",$C$7)</f>
        <v/>
      </c>
    </row>
    <row r="369">
      <c r="A369" s="23" t="n"/>
      <c r="C369">
        <f>IF(A369="","",$C$7)</f>
        <v/>
      </c>
    </row>
    <row r="370">
      <c r="A370" s="23" t="n"/>
      <c r="C370">
        <f>IF(A370="","",$C$7)</f>
        <v/>
      </c>
    </row>
    <row r="371">
      <c r="A371" s="23" t="n"/>
      <c r="C371">
        <f>IF(A371="","",$C$7)</f>
        <v/>
      </c>
    </row>
    <row r="372">
      <c r="A372" s="23" t="n"/>
      <c r="C372">
        <f>IF(A372="","",$C$7)</f>
        <v/>
      </c>
    </row>
    <row r="373">
      <c r="A373" s="23" t="n"/>
      <c r="C373">
        <f>IF(A373="","",$C$7)</f>
        <v/>
      </c>
    </row>
    <row r="374">
      <c r="A374" s="23" t="n"/>
      <c r="C374">
        <f>IF(A374="","",$C$7)</f>
        <v/>
      </c>
    </row>
    <row r="375">
      <c r="A375" s="23" t="n"/>
      <c r="C375">
        <f>IF(A375="","",$C$7)</f>
        <v/>
      </c>
    </row>
    <row r="376">
      <c r="A376" s="23" t="n"/>
      <c r="C376">
        <f>IF(A376="","",$C$7)</f>
        <v/>
      </c>
    </row>
    <row r="377">
      <c r="A377" s="23" t="n"/>
      <c r="C377">
        <f>IF(A377="","",$C$7)</f>
        <v/>
      </c>
    </row>
    <row r="378">
      <c r="A378" s="23" t="n"/>
      <c r="C378">
        <f>IF(A378="","",$C$7)</f>
        <v/>
      </c>
    </row>
    <row r="379">
      <c r="A379" s="23" t="n"/>
      <c r="C379">
        <f>IF(A379="","",$C$7)</f>
        <v/>
      </c>
    </row>
    <row r="380">
      <c r="A380" s="23" t="n"/>
      <c r="C380">
        <f>IF(A380="","",$C$7)</f>
        <v/>
      </c>
    </row>
    <row r="381">
      <c r="A381" s="23" t="n"/>
      <c r="C381">
        <f>IF(A381="","",$C$7)</f>
        <v/>
      </c>
    </row>
    <row r="382">
      <c r="A382" s="23" t="n"/>
      <c r="C382">
        <f>IF(A382="","",$C$7)</f>
        <v/>
      </c>
    </row>
    <row r="383">
      <c r="A383" s="23" t="n"/>
      <c r="C383">
        <f>IF(A383="","",$C$7)</f>
        <v/>
      </c>
    </row>
    <row r="384">
      <c r="A384" s="23" t="n"/>
      <c r="C384">
        <f>IF(A384="","",$C$7)</f>
        <v/>
      </c>
    </row>
    <row r="385">
      <c r="A385" s="23" t="n"/>
      <c r="C385">
        <f>IF(A385="","",$C$7)</f>
        <v/>
      </c>
    </row>
    <row r="386">
      <c r="A386" s="23" t="n"/>
      <c r="C386">
        <f>IF(A386="","",$C$7)</f>
        <v/>
      </c>
    </row>
    <row r="387">
      <c r="A387" s="23" t="n"/>
      <c r="C387">
        <f>IF(A387="","",$C$7)</f>
        <v/>
      </c>
    </row>
    <row r="388">
      <c r="A388" s="23" t="n"/>
      <c r="C388">
        <f>IF(A388="","",$C$7)</f>
        <v/>
      </c>
    </row>
    <row r="389">
      <c r="A389" s="23" t="n"/>
      <c r="C389">
        <f>IF(A389="","",$C$7)</f>
        <v/>
      </c>
    </row>
    <row r="390">
      <c r="A390" s="23" t="n"/>
      <c r="C390">
        <f>IF(A390="","",$C$7)</f>
        <v/>
      </c>
    </row>
    <row r="391">
      <c r="A391" s="23" t="n"/>
      <c r="C391">
        <f>IF(A391="","",$C$7)</f>
        <v/>
      </c>
    </row>
    <row r="392">
      <c r="A392" s="23" t="n"/>
      <c r="C392">
        <f>IF(A392="","",$C$7)</f>
        <v/>
      </c>
    </row>
    <row r="393">
      <c r="A393" s="23" t="n"/>
      <c r="C393">
        <f>IF(A393="","",$C$7)</f>
        <v/>
      </c>
    </row>
    <row r="394">
      <c r="A394" s="23" t="n"/>
      <c r="C394">
        <f>IF(A394="","",$C$7)</f>
        <v/>
      </c>
    </row>
    <row r="395">
      <c r="A395" s="23" t="n"/>
      <c r="C395">
        <f>IF(A395="","",$C$7)</f>
        <v/>
      </c>
    </row>
    <row r="396">
      <c r="A396" s="23" t="n"/>
      <c r="C396">
        <f>IF(A396="","",$C$7)</f>
        <v/>
      </c>
    </row>
    <row r="397">
      <c r="A397" s="23" t="n"/>
      <c r="C397">
        <f>IF(A397="","",$C$7)</f>
        <v/>
      </c>
    </row>
    <row r="398">
      <c r="A398" s="23" t="n"/>
      <c r="C398">
        <f>IF(A398="","",$C$7)</f>
        <v/>
      </c>
    </row>
    <row r="399">
      <c r="A399" s="23" t="n"/>
      <c r="C399">
        <f>IF(A399="","",$C$7)</f>
        <v/>
      </c>
    </row>
    <row r="400">
      <c r="A400" s="23" t="n"/>
      <c r="C400">
        <f>IF(A400="","",$C$7)</f>
        <v/>
      </c>
    </row>
    <row r="401">
      <c r="A401" s="23" t="n"/>
      <c r="C401">
        <f>IF(A401="","",$C$7)</f>
        <v/>
      </c>
    </row>
    <row r="402">
      <c r="A402" s="23" t="n"/>
      <c r="C402">
        <f>IF(A402="","",$C$7)</f>
        <v/>
      </c>
    </row>
    <row r="403">
      <c r="A403" s="23" t="n"/>
      <c r="C403">
        <f>IF(A403="","",$C$7)</f>
        <v/>
      </c>
    </row>
    <row r="404">
      <c r="A404" s="23" t="n"/>
      <c r="C404">
        <f>IF(A404="","",$C$7)</f>
        <v/>
      </c>
    </row>
    <row r="405">
      <c r="A405" s="23" t="n"/>
      <c r="C405">
        <f>IF(A405="","",$C$7)</f>
        <v/>
      </c>
    </row>
    <row r="406">
      <c r="A406" s="23" t="n"/>
      <c r="C406">
        <f>IF(A406="","",$C$7)</f>
        <v/>
      </c>
    </row>
    <row r="407">
      <c r="A407" s="23" t="n"/>
      <c r="C407">
        <f>IF(A407="","",$C$7)</f>
        <v/>
      </c>
    </row>
    <row r="408">
      <c r="A408" s="23" t="n"/>
      <c r="C408">
        <f>IF(A408="","",$C$7)</f>
        <v/>
      </c>
    </row>
    <row r="409">
      <c r="A409" s="23" t="n"/>
      <c r="C409">
        <f>IF(A409="","",$C$7)</f>
        <v/>
      </c>
    </row>
    <row r="410">
      <c r="A410" s="23" t="n"/>
      <c r="C410">
        <f>IF(A410="","",$C$7)</f>
        <v/>
      </c>
    </row>
    <row r="411">
      <c r="A411" s="23" t="n"/>
      <c r="C411">
        <f>IF(A411="","",$C$7)</f>
        <v/>
      </c>
    </row>
    <row r="412">
      <c r="A412" s="23" t="n"/>
      <c r="C412">
        <f>IF(A412="","",$C$7)</f>
        <v/>
      </c>
    </row>
    <row r="413">
      <c r="A413" s="23" t="n"/>
      <c r="C413">
        <f>IF(A413="","",$C$7)</f>
        <v/>
      </c>
    </row>
    <row r="414">
      <c r="A414" s="23" t="n"/>
      <c r="C414">
        <f>IF(A414="","",$C$7)</f>
        <v/>
      </c>
    </row>
    <row r="415">
      <c r="A415" s="23" t="n"/>
      <c r="C415">
        <f>IF(A415="","",$C$7)</f>
        <v/>
      </c>
    </row>
    <row r="416">
      <c r="A416" s="23" t="n"/>
      <c r="C416">
        <f>IF(A416="","",$C$7)</f>
        <v/>
      </c>
    </row>
    <row r="417">
      <c r="A417" s="23" t="n"/>
      <c r="C417">
        <f>IF(A417="","",$C$7)</f>
        <v/>
      </c>
    </row>
    <row r="418">
      <c r="A418" s="23" t="n"/>
      <c r="C418">
        <f>IF(A418="","",$C$7)</f>
        <v/>
      </c>
    </row>
    <row r="419">
      <c r="A419" s="23" t="n"/>
      <c r="C419">
        <f>IF(A419="","",$C$7)</f>
        <v/>
      </c>
    </row>
    <row r="420">
      <c r="A420" s="23" t="n"/>
      <c r="C420">
        <f>IF(A420="","",$C$7)</f>
        <v/>
      </c>
    </row>
    <row r="421">
      <c r="A421" s="23" t="n"/>
      <c r="C421">
        <f>IF(A421="","",$C$7)</f>
        <v/>
      </c>
    </row>
    <row r="422">
      <c r="A422" s="23" t="n"/>
      <c r="C422">
        <f>IF(A422="","",$C$7)</f>
        <v/>
      </c>
    </row>
    <row r="423">
      <c r="A423" s="23" t="n"/>
      <c r="C423">
        <f>IF(A423="","",$C$7)</f>
        <v/>
      </c>
    </row>
    <row r="424">
      <c r="A424" s="23" t="n"/>
      <c r="C424">
        <f>IF(A424="","",$C$7)</f>
        <v/>
      </c>
    </row>
    <row r="425">
      <c r="A425" s="23" t="n"/>
      <c r="C425">
        <f>IF(A425="","",$C$7)</f>
        <v/>
      </c>
    </row>
    <row r="426">
      <c r="A426" s="23" t="n"/>
      <c r="C426">
        <f>IF(A426="","",$C$7)</f>
        <v/>
      </c>
    </row>
    <row r="427">
      <c r="A427" s="23" t="n"/>
      <c r="C427">
        <f>IF(A427="","",$C$7)</f>
        <v/>
      </c>
    </row>
    <row r="428">
      <c r="A428" s="23" t="n"/>
      <c r="C428">
        <f>IF(A428="","",$C$7)</f>
        <v/>
      </c>
    </row>
    <row r="429">
      <c r="A429" s="23" t="n"/>
      <c r="C429">
        <f>IF(A429="","",$C$7)</f>
        <v/>
      </c>
    </row>
    <row r="430">
      <c r="A430" s="23" t="n"/>
      <c r="C430">
        <f>IF(A430="","",$C$7)</f>
        <v/>
      </c>
    </row>
    <row r="431">
      <c r="A431" s="23" t="n"/>
      <c r="C431">
        <f>IF(A431="","",$C$7)</f>
        <v/>
      </c>
    </row>
    <row r="432">
      <c r="A432" s="23" t="n"/>
      <c r="C432">
        <f>IF(A432="","",$C$7)</f>
        <v/>
      </c>
    </row>
    <row r="433">
      <c r="A433" s="23" t="n"/>
      <c r="C433">
        <f>IF(A433="","",$C$7)</f>
        <v/>
      </c>
    </row>
    <row r="434">
      <c r="A434" s="23" t="n"/>
      <c r="C434">
        <f>IF(A434="","",$C$7)</f>
        <v/>
      </c>
    </row>
    <row r="435">
      <c r="A435" s="23" t="n"/>
      <c r="C435">
        <f>IF(A435="","",$C$7)</f>
        <v/>
      </c>
    </row>
    <row r="436">
      <c r="A436" s="23" t="n"/>
      <c r="C436">
        <f>IF(A436="","",$C$7)</f>
        <v/>
      </c>
    </row>
    <row r="437">
      <c r="A437" s="23" t="n"/>
      <c r="C437">
        <f>IF(A437="","",$C$7)</f>
        <v/>
      </c>
    </row>
    <row r="438">
      <c r="A438" s="23" t="n"/>
      <c r="C438">
        <f>IF(A438="","",$C$7)</f>
        <v/>
      </c>
    </row>
    <row r="439">
      <c r="A439" s="23" t="n"/>
      <c r="C439">
        <f>IF(A439="","",$C$7)</f>
        <v/>
      </c>
    </row>
    <row r="440">
      <c r="A440" s="23" t="n"/>
      <c r="C440">
        <f>IF(A440="","",$C$7)</f>
        <v/>
      </c>
    </row>
    <row r="441">
      <c r="A441" s="23" t="n"/>
      <c r="C441">
        <f>IF(A441="","",$C$7)</f>
        <v/>
      </c>
    </row>
    <row r="442">
      <c r="A442" s="23" t="n"/>
      <c r="C442">
        <f>IF(A442="","",$C$7)</f>
        <v/>
      </c>
    </row>
    <row r="443">
      <c r="A443" s="23" t="n"/>
      <c r="C443">
        <f>IF(A443="","",$C$7)</f>
        <v/>
      </c>
    </row>
    <row r="444">
      <c r="A444" s="23" t="n"/>
      <c r="C444">
        <f>IF(A444="","",$C$7)</f>
        <v/>
      </c>
    </row>
    <row r="445">
      <c r="A445" s="23" t="n"/>
      <c r="C445">
        <f>IF(A445="","",$C$7)</f>
        <v/>
      </c>
    </row>
    <row r="446">
      <c r="A446" s="23" t="n"/>
      <c r="C446">
        <f>IF(A446="","",$C$7)</f>
        <v/>
      </c>
    </row>
    <row r="447">
      <c r="A447" s="23" t="n"/>
      <c r="C447">
        <f>IF(A447="","",$C$7)</f>
        <v/>
      </c>
    </row>
    <row r="448">
      <c r="A448" s="23" t="n"/>
      <c r="C448">
        <f>IF(A448="","",$C$7)</f>
        <v/>
      </c>
    </row>
    <row r="449">
      <c r="A449" s="23" t="n"/>
      <c r="C449">
        <f>IF(A449="","",$C$7)</f>
        <v/>
      </c>
    </row>
    <row r="450">
      <c r="A450" s="23" t="n"/>
      <c r="C450">
        <f>IF(A450="","",$C$7)</f>
        <v/>
      </c>
    </row>
    <row r="451">
      <c r="A451" s="23" t="n"/>
      <c r="C451">
        <f>IF(A451="","",$C$7)</f>
        <v/>
      </c>
    </row>
    <row r="452">
      <c r="A452" s="23" t="n"/>
      <c r="C452">
        <f>IF(A452="","",$C$7)</f>
        <v/>
      </c>
    </row>
    <row r="453">
      <c r="A453" s="23" t="n"/>
      <c r="C453">
        <f>IF(A453="","",$C$7)</f>
        <v/>
      </c>
    </row>
    <row r="454">
      <c r="A454" s="23" t="n"/>
      <c r="C454">
        <f>IF(A454="","",$C$7)</f>
        <v/>
      </c>
    </row>
    <row r="455">
      <c r="A455" s="23" t="n"/>
      <c r="C455">
        <f>IF(A455="","",$C$7)</f>
        <v/>
      </c>
    </row>
    <row r="456">
      <c r="A456" s="23" t="n"/>
      <c r="C456">
        <f>IF(A456="","",$C$7)</f>
        <v/>
      </c>
    </row>
    <row r="457">
      <c r="A457" s="23" t="n"/>
      <c r="C457">
        <f>IF(A457="","",$C$7)</f>
        <v/>
      </c>
    </row>
    <row r="458">
      <c r="A458" s="23" t="n"/>
      <c r="C458">
        <f>IF(A458="","",$C$7)</f>
        <v/>
      </c>
    </row>
    <row r="459">
      <c r="A459" s="23" t="n"/>
      <c r="C459">
        <f>IF(A459="","",$C$7)</f>
        <v/>
      </c>
    </row>
    <row r="460">
      <c r="A460" s="23" t="n"/>
      <c r="C460">
        <f>IF(A460="","",$C$7)</f>
        <v/>
      </c>
    </row>
    <row r="461">
      <c r="A461" s="23" t="n"/>
      <c r="C461">
        <f>IF(A461="","",$C$7)</f>
        <v/>
      </c>
    </row>
    <row r="462">
      <c r="A462" s="23" t="n"/>
      <c r="C462">
        <f>IF(A462="","",$C$7)</f>
        <v/>
      </c>
    </row>
    <row r="463">
      <c r="A463" s="23" t="n"/>
      <c r="C463">
        <f>IF(A463="","",$C$7)</f>
        <v/>
      </c>
    </row>
    <row r="464">
      <c r="A464" s="23" t="n"/>
      <c r="C464">
        <f>IF(A464="","",$C$7)</f>
        <v/>
      </c>
    </row>
    <row r="465">
      <c r="A465" s="23" t="n"/>
      <c r="C465">
        <f>IF(A465="","",$C$7)</f>
        <v/>
      </c>
    </row>
    <row r="466">
      <c r="A466" s="23" t="n"/>
      <c r="C466">
        <f>IF(A466="","",$C$7)</f>
        <v/>
      </c>
    </row>
    <row r="467">
      <c r="A467" s="23" t="n"/>
      <c r="C467">
        <f>IF(A467="","",$C$7)</f>
        <v/>
      </c>
    </row>
    <row r="468">
      <c r="A468" s="23" t="n"/>
      <c r="C468">
        <f>IF(A468="","",$C$7)</f>
        <v/>
      </c>
    </row>
    <row r="469">
      <c r="A469" s="23" t="n"/>
      <c r="C469">
        <f>IF(A469="","",$C$7)</f>
        <v/>
      </c>
    </row>
    <row r="470">
      <c r="A470" s="23" t="n"/>
      <c r="C470">
        <f>IF(A470="","",$C$7)</f>
        <v/>
      </c>
    </row>
    <row r="471">
      <c r="A471" s="23" t="n"/>
      <c r="C471">
        <f>IF(A471="","",$C$7)</f>
        <v/>
      </c>
    </row>
    <row r="472">
      <c r="A472" s="23" t="n"/>
      <c r="C472">
        <f>IF(A472="","",$C$7)</f>
        <v/>
      </c>
    </row>
    <row r="473">
      <c r="A473" s="23" t="n"/>
      <c r="C473">
        <f>IF(A473="","",$C$7)</f>
        <v/>
      </c>
    </row>
    <row r="474">
      <c r="A474" s="23" t="n"/>
      <c r="C474">
        <f>IF(A474="","",$C$7)</f>
        <v/>
      </c>
    </row>
    <row r="475">
      <c r="A475" s="23" t="n"/>
      <c r="C475">
        <f>IF(A475="","",$C$7)</f>
        <v/>
      </c>
    </row>
    <row r="476">
      <c r="A476" s="23" t="n"/>
      <c r="C476">
        <f>IF(A476="","",$C$7)</f>
        <v/>
      </c>
    </row>
    <row r="477">
      <c r="A477" s="23" t="n"/>
      <c r="C477">
        <f>IF(A477="","",$C$7)</f>
        <v/>
      </c>
    </row>
    <row r="478">
      <c r="A478" s="23" t="n"/>
      <c r="C478">
        <f>IF(A478="","",$C$7)</f>
        <v/>
      </c>
    </row>
    <row r="479">
      <c r="A479" s="23" t="n"/>
      <c r="C479">
        <f>IF(A479="","",$C$7)</f>
        <v/>
      </c>
    </row>
    <row r="480">
      <c r="A480" s="23" t="n"/>
      <c r="C480">
        <f>IF(A480="","",$C$7)</f>
        <v/>
      </c>
    </row>
    <row r="481">
      <c r="A481" s="23" t="n"/>
      <c r="C481">
        <f>IF(A481="","",$C$7)</f>
        <v/>
      </c>
    </row>
    <row r="482">
      <c r="A482" s="23" t="n"/>
      <c r="C482">
        <f>IF(A482="","",$C$7)</f>
        <v/>
      </c>
    </row>
    <row r="483">
      <c r="A483" s="23" t="n"/>
      <c r="C483">
        <f>IF(A483="","",$C$7)</f>
        <v/>
      </c>
    </row>
    <row r="484">
      <c r="A484" s="23" t="n"/>
      <c r="C484">
        <f>IF(A484="","",$C$7)</f>
        <v/>
      </c>
    </row>
    <row r="485">
      <c r="A485" s="23" t="n"/>
      <c r="C485">
        <f>IF(A485="","",$C$7)</f>
        <v/>
      </c>
    </row>
    <row r="486">
      <c r="A486" s="23" t="n"/>
      <c r="C486">
        <f>IF(A486="","",$C$7)</f>
        <v/>
      </c>
    </row>
    <row r="487">
      <c r="A487" s="23" t="n"/>
      <c r="C487">
        <f>IF(A487="","",$C$7)</f>
        <v/>
      </c>
    </row>
    <row r="488">
      <c r="A488" s="23" t="n"/>
      <c r="C488">
        <f>IF(A488="","",$C$7)</f>
        <v/>
      </c>
    </row>
    <row r="489">
      <c r="A489" s="23" t="n"/>
      <c r="C489">
        <f>IF(A489="","",$C$7)</f>
        <v/>
      </c>
    </row>
    <row r="490">
      <c r="A490" s="23" t="n"/>
      <c r="C490">
        <f>IF(A490="","",$C$7)</f>
        <v/>
      </c>
    </row>
    <row r="491">
      <c r="A491" s="23" t="n"/>
      <c r="C491">
        <f>IF(A491="","",$C$7)</f>
        <v/>
      </c>
    </row>
    <row r="492">
      <c r="A492" s="23" t="n"/>
      <c r="C492">
        <f>IF(A492="","",$C$7)</f>
        <v/>
      </c>
    </row>
    <row r="493">
      <c r="A493" s="23" t="n"/>
      <c r="C493">
        <f>IF(A493="","",$C$7)</f>
        <v/>
      </c>
    </row>
    <row r="494">
      <c r="A494" s="23" t="n"/>
      <c r="C494">
        <f>IF(A494="","",$C$7)</f>
        <v/>
      </c>
    </row>
    <row r="495">
      <c r="A495" s="23" t="n"/>
      <c r="C495">
        <f>IF(A495="","",$C$7)</f>
        <v/>
      </c>
    </row>
    <row r="496">
      <c r="A496" s="23" t="n"/>
      <c r="C496">
        <f>IF(A496="","",$C$7)</f>
        <v/>
      </c>
    </row>
    <row r="497">
      <c r="A497" s="23" t="n"/>
      <c r="C497">
        <f>IF(A497="","",$C$7)</f>
        <v/>
      </c>
    </row>
    <row r="498">
      <c r="A498" s="23" t="n"/>
      <c r="C498">
        <f>IF(A498="","",$C$7)</f>
        <v/>
      </c>
    </row>
    <row r="499">
      <c r="A499" s="23" t="n"/>
      <c r="C499">
        <f>IF(A499="","",$C$7)</f>
        <v/>
      </c>
    </row>
    <row r="500">
      <c r="A500" s="23" t="n"/>
      <c r="C500">
        <f>IF(A500="","",$C$7)</f>
        <v/>
      </c>
    </row>
    <row r="501">
      <c r="A501" s="23" t="n"/>
      <c r="C501">
        <f>IF(A501="","",$C$7)</f>
        <v/>
      </c>
    </row>
    <row r="502">
      <c r="A502" s="23" t="n"/>
      <c r="C502">
        <f>IF(A502="","",$C$7)</f>
        <v/>
      </c>
    </row>
    <row r="503">
      <c r="A503" s="23" t="n"/>
      <c r="C503">
        <f>IF(A503="","",$C$7)</f>
        <v/>
      </c>
    </row>
    <row r="504">
      <c r="A504" s="23" t="n"/>
      <c r="C504">
        <f>IF(A504="","",$C$7)</f>
        <v/>
      </c>
    </row>
    <row r="505">
      <c r="A505" s="23" t="n"/>
      <c r="C505">
        <f>IF(A505="","",$C$7)</f>
        <v/>
      </c>
    </row>
    <row r="506">
      <c r="A506" s="23" t="n"/>
      <c r="C506">
        <f>IF(A506="","",$C$7)</f>
        <v/>
      </c>
    </row>
    <row r="507">
      <c r="A507" s="23" t="n"/>
      <c r="C507">
        <f>IF(A507="","",$C$7)</f>
        <v/>
      </c>
    </row>
    <row r="508">
      <c r="A508" s="23" t="n"/>
      <c r="C508">
        <f>IF(A508="","",$C$7)</f>
        <v/>
      </c>
    </row>
    <row r="509">
      <c r="A509" s="23" t="n"/>
      <c r="C509">
        <f>IF(A509="","",$C$7)</f>
        <v/>
      </c>
    </row>
    <row r="510">
      <c r="A510" s="23" t="n"/>
      <c r="C510">
        <f>IF(A510="","",$C$7)</f>
        <v/>
      </c>
    </row>
    <row r="511">
      <c r="A511" s="23" t="n"/>
      <c r="C511">
        <f>IF(A511="","",$C$7)</f>
        <v/>
      </c>
    </row>
    <row r="512">
      <c r="A512" s="23" t="n"/>
      <c r="C512">
        <f>IF(A512="","",$C$7)</f>
        <v/>
      </c>
    </row>
    <row r="513">
      <c r="A513" s="23" t="n"/>
      <c r="C513">
        <f>IF(A513="","",$C$7)</f>
        <v/>
      </c>
    </row>
    <row r="514">
      <c r="A514" s="23" t="n"/>
      <c r="C514">
        <f>IF(A514="","",$C$7)</f>
        <v/>
      </c>
    </row>
    <row r="515">
      <c r="A515" s="23" t="n"/>
      <c r="C515">
        <f>IF(A515="","",$C$7)</f>
        <v/>
      </c>
    </row>
    <row r="516">
      <c r="A516" s="23" t="n"/>
      <c r="C516">
        <f>IF(A516="","",$C$7)</f>
        <v/>
      </c>
    </row>
    <row r="517">
      <c r="A517" s="23" t="n"/>
      <c r="C517">
        <f>IF(A517="","",$C$7)</f>
        <v/>
      </c>
    </row>
    <row r="518">
      <c r="A518" s="23" t="n"/>
      <c r="C518">
        <f>IF(A518="","",$C$7)</f>
        <v/>
      </c>
    </row>
    <row r="519">
      <c r="A519" s="23" t="n"/>
      <c r="C519">
        <f>IF(A519="","",$C$7)</f>
        <v/>
      </c>
    </row>
    <row r="520">
      <c r="A520" s="23" t="n"/>
      <c r="C520">
        <f>IF(A520="","",$C$7)</f>
        <v/>
      </c>
    </row>
    <row r="521">
      <c r="A521" s="23" t="n"/>
      <c r="C521">
        <f>IF(A521="","",$C$7)</f>
        <v/>
      </c>
    </row>
    <row r="522">
      <c r="A522" s="23" t="n"/>
      <c r="C522">
        <f>IF(A522="","",$C$7)</f>
        <v/>
      </c>
    </row>
    <row r="523">
      <c r="A523" s="23" t="n"/>
      <c r="C523">
        <f>IF(A523="","",$C$7)</f>
        <v/>
      </c>
    </row>
    <row r="524">
      <c r="A524" s="23" t="n"/>
      <c r="C524">
        <f>IF(A524="","",$C$7)</f>
        <v/>
      </c>
    </row>
    <row r="525">
      <c r="A525" s="23" t="n"/>
      <c r="C525">
        <f>IF(A525="","",$C$7)</f>
        <v/>
      </c>
    </row>
    <row r="526">
      <c r="A526" s="23" t="n"/>
      <c r="C526">
        <f>IF(A526="","",$C$7)</f>
        <v/>
      </c>
    </row>
    <row r="527">
      <c r="A527" s="23" t="n"/>
      <c r="C527">
        <f>IF(A527="","",$C$7)</f>
        <v/>
      </c>
    </row>
    <row r="528">
      <c r="A528" s="23" t="n"/>
      <c r="C528">
        <f>IF(A528="","",$C$7)</f>
        <v/>
      </c>
    </row>
    <row r="529">
      <c r="A529" s="23" t="n"/>
      <c r="C529">
        <f>IF(A529="","",$C$7)</f>
        <v/>
      </c>
    </row>
    <row r="530">
      <c r="A530" s="23" t="n"/>
      <c r="C530">
        <f>IF(A530="","",$C$7)</f>
        <v/>
      </c>
    </row>
    <row r="531">
      <c r="A531" s="23" t="n"/>
      <c r="C531">
        <f>IF(A531="","",$C$7)</f>
        <v/>
      </c>
    </row>
    <row r="532">
      <c r="A532" s="23" t="n"/>
      <c r="C532">
        <f>IF(A532="","",$C$7)</f>
        <v/>
      </c>
    </row>
    <row r="533">
      <c r="A533" s="23" t="n"/>
      <c r="C533">
        <f>IF(A533="","",$C$7)</f>
        <v/>
      </c>
    </row>
    <row r="534">
      <c r="A534" s="23" t="n"/>
      <c r="C534">
        <f>IF(A534="","",$C$7)</f>
        <v/>
      </c>
    </row>
    <row r="535">
      <c r="A535" s="23" t="n"/>
      <c r="C535">
        <f>IF(A535="","",$C$7)</f>
        <v/>
      </c>
    </row>
    <row r="536">
      <c r="A536" s="23" t="n"/>
      <c r="C536">
        <f>IF(A536="","",$C$7)</f>
        <v/>
      </c>
    </row>
    <row r="537">
      <c r="A537" s="23" t="n"/>
      <c r="C537">
        <f>IF(A537="","",$C$7)</f>
        <v/>
      </c>
    </row>
    <row r="538">
      <c r="A538" s="23" t="n"/>
      <c r="C538">
        <f>IF(A538="","",$C$7)</f>
        <v/>
      </c>
    </row>
    <row r="539">
      <c r="A539" s="23" t="n"/>
      <c r="C539">
        <f>IF(A539="","",$C$7)</f>
        <v/>
      </c>
    </row>
    <row r="540">
      <c r="A540" s="23" t="n"/>
      <c r="C540">
        <f>IF(A540="","",$C$7)</f>
        <v/>
      </c>
    </row>
    <row r="541">
      <c r="A541" s="23" t="n"/>
      <c r="C541">
        <f>IF(A541="","",$C$7)</f>
        <v/>
      </c>
    </row>
    <row r="542">
      <c r="A542" s="23" t="n"/>
      <c r="C542">
        <f>IF(A542="","",$C$7)</f>
        <v/>
      </c>
    </row>
    <row r="543">
      <c r="A543" s="23" t="n"/>
      <c r="C543">
        <f>IF(A543="","",$C$7)</f>
        <v/>
      </c>
    </row>
    <row r="544">
      <c r="A544" s="23" t="n"/>
      <c r="C544">
        <f>IF(A544="","",$C$7)</f>
        <v/>
      </c>
    </row>
    <row r="545">
      <c r="A545" s="23" t="n"/>
      <c r="C545">
        <f>IF(A545="","",$C$7)</f>
        <v/>
      </c>
    </row>
    <row r="546">
      <c r="A546" s="23" t="n"/>
      <c r="C546">
        <f>IF(A546="","",$C$7)</f>
        <v/>
      </c>
    </row>
    <row r="547">
      <c r="A547" s="23" t="n"/>
      <c r="C547">
        <f>IF(A547="","",$C$7)</f>
        <v/>
      </c>
    </row>
    <row r="548">
      <c r="A548" s="23" t="n"/>
      <c r="C548">
        <f>IF(A548="","",$C$7)</f>
        <v/>
      </c>
    </row>
    <row r="549">
      <c r="A549" s="23" t="n"/>
      <c r="C549">
        <f>IF(A549="","",$C$7)</f>
        <v/>
      </c>
    </row>
    <row r="550">
      <c r="A550" s="23" t="n"/>
      <c r="C550">
        <f>IF(A550="","",$C$7)</f>
        <v/>
      </c>
    </row>
    <row r="551">
      <c r="A551" s="23" t="n"/>
      <c r="C551">
        <f>IF(A551="","",$C$7)</f>
        <v/>
      </c>
    </row>
    <row r="552">
      <c r="A552" s="23" t="n"/>
      <c r="C552">
        <f>IF(A552="","",$C$7)</f>
        <v/>
      </c>
    </row>
    <row r="553">
      <c r="A553" s="23" t="n"/>
      <c r="C553">
        <f>IF(A553="","",$C$7)</f>
        <v/>
      </c>
    </row>
    <row r="554">
      <c r="A554" s="23" t="n"/>
      <c r="C554">
        <f>IF(A554="","",$C$7)</f>
        <v/>
      </c>
    </row>
    <row r="555">
      <c r="A555" s="23" t="n"/>
      <c r="C555">
        <f>IF(A555="","",$C$7)</f>
        <v/>
      </c>
    </row>
    <row r="556">
      <c r="A556" s="23" t="n"/>
      <c r="C556">
        <f>IF(A556="","",$C$7)</f>
        <v/>
      </c>
    </row>
    <row r="557">
      <c r="A557" s="23" t="n"/>
      <c r="C557">
        <f>IF(A557="","",$C$7)</f>
        <v/>
      </c>
    </row>
    <row r="558">
      <c r="A558" s="23" t="n"/>
      <c r="C558">
        <f>IF(A558="","",$C$7)</f>
        <v/>
      </c>
    </row>
    <row r="559">
      <c r="A559" s="23" t="n"/>
      <c r="C559">
        <f>IF(A559="","",$C$7)</f>
        <v/>
      </c>
    </row>
    <row r="560">
      <c r="A560" s="23" t="n"/>
      <c r="C560">
        <f>IF(A560="","",$C$7)</f>
        <v/>
      </c>
    </row>
    <row r="561">
      <c r="A561" s="23" t="n"/>
      <c r="C561">
        <f>IF(A561="","",$C$7)</f>
        <v/>
      </c>
    </row>
    <row r="562">
      <c r="A562" s="23" t="n"/>
      <c r="C562">
        <f>IF(A562="","",$C$7)</f>
        <v/>
      </c>
    </row>
    <row r="563">
      <c r="A563" s="23" t="n"/>
      <c r="C563">
        <f>IF(A563="","",$C$7)</f>
        <v/>
      </c>
    </row>
    <row r="564">
      <c r="A564" s="23" t="n"/>
      <c r="C564">
        <f>IF(A564="","",$C$7)</f>
        <v/>
      </c>
    </row>
    <row r="565">
      <c r="A565" s="23" t="n"/>
      <c r="C565">
        <f>IF(A565="","",$C$7)</f>
        <v/>
      </c>
    </row>
    <row r="566">
      <c r="A566" s="23" t="n"/>
      <c r="C566">
        <f>IF(A566="","",$C$7)</f>
        <v/>
      </c>
    </row>
    <row r="567">
      <c r="A567" s="23" t="n"/>
      <c r="C567">
        <f>IF(A567="","",$C$7)</f>
        <v/>
      </c>
    </row>
    <row r="568">
      <c r="A568" s="23" t="n"/>
      <c r="C568">
        <f>IF(A568="","",$C$7)</f>
        <v/>
      </c>
    </row>
    <row r="569">
      <c r="A569" s="23" t="n"/>
      <c r="C569">
        <f>IF(A569="","",$C$7)</f>
        <v/>
      </c>
    </row>
    <row r="570">
      <c r="A570" s="23" t="n"/>
      <c r="C570">
        <f>IF(A570="","",$C$7)</f>
        <v/>
      </c>
    </row>
    <row r="571">
      <c r="A571" s="23" t="n"/>
      <c r="C571">
        <f>IF(A571="","",$C$7)</f>
        <v/>
      </c>
    </row>
    <row r="572">
      <c r="A572" s="23" t="n"/>
      <c r="C572">
        <f>IF(A572="","",$C$7)</f>
        <v/>
      </c>
    </row>
    <row r="573">
      <c r="A573" s="23" t="n"/>
      <c r="C573">
        <f>IF(A573="","",$C$7)</f>
        <v/>
      </c>
    </row>
    <row r="574">
      <c r="A574" s="23" t="n"/>
      <c r="C574">
        <f>IF(A574="","",$C$7)</f>
        <v/>
      </c>
    </row>
    <row r="575">
      <c r="A575" s="23" t="n"/>
      <c r="C575">
        <f>IF(A575="","",$C$7)</f>
        <v/>
      </c>
    </row>
    <row r="576">
      <c r="A576" s="23" t="n"/>
      <c r="C576">
        <f>IF(A576="","",$C$7)</f>
        <v/>
      </c>
    </row>
    <row r="577">
      <c r="A577" s="23" t="n"/>
      <c r="C577">
        <f>IF(A577="","",$C$7)</f>
        <v/>
      </c>
    </row>
    <row r="578">
      <c r="A578" s="23" t="n"/>
      <c r="C578">
        <f>IF(A578="","",$C$7)</f>
        <v/>
      </c>
    </row>
    <row r="579">
      <c r="A579" s="23" t="n"/>
      <c r="C579">
        <f>IF(A579="","",$C$7)</f>
        <v/>
      </c>
    </row>
    <row r="580">
      <c r="A580" s="23" t="n"/>
      <c r="C580">
        <f>IF(A580="","",$C$7)</f>
        <v/>
      </c>
    </row>
    <row r="581">
      <c r="A581" s="23" t="n"/>
      <c r="C581">
        <f>IF(A581="","",$C$7)</f>
        <v/>
      </c>
    </row>
    <row r="582">
      <c r="A582" s="23" t="n"/>
      <c r="C582">
        <f>IF(A582="","",$C$7)</f>
        <v/>
      </c>
    </row>
    <row r="583">
      <c r="A583" s="23" t="n"/>
      <c r="C583">
        <f>IF(A583="","",$C$7)</f>
        <v/>
      </c>
    </row>
    <row r="584">
      <c r="A584" s="23" t="n"/>
      <c r="C584">
        <f>IF(A584="","",$C$7)</f>
        <v/>
      </c>
    </row>
    <row r="585">
      <c r="A585" s="23" t="n"/>
      <c r="C585">
        <f>IF(A585="","",$C$7)</f>
        <v/>
      </c>
    </row>
    <row r="586">
      <c r="A586" s="23" t="n"/>
      <c r="C586">
        <f>IF(A586="","",$C$7)</f>
        <v/>
      </c>
    </row>
    <row r="587">
      <c r="A587" s="23" t="n"/>
      <c r="C587">
        <f>IF(A587="","",$C$7)</f>
        <v/>
      </c>
    </row>
    <row r="588">
      <c r="A588" s="23" t="n"/>
      <c r="C588">
        <f>IF(A588="","",$C$7)</f>
        <v/>
      </c>
    </row>
    <row r="589">
      <c r="A589" s="23" t="n"/>
      <c r="C589">
        <f>IF(A589="","",$C$7)</f>
        <v/>
      </c>
    </row>
    <row r="590">
      <c r="A590" s="23" t="n"/>
      <c r="C590">
        <f>IF(A590="","",$C$7)</f>
        <v/>
      </c>
    </row>
    <row r="591">
      <c r="A591" s="23" t="n"/>
      <c r="C591">
        <f>IF(A591="","",$C$7)</f>
        <v/>
      </c>
    </row>
    <row r="592">
      <c r="A592" s="23" t="n"/>
      <c r="C592">
        <f>IF(A592="","",$C$7)</f>
        <v/>
      </c>
    </row>
    <row r="593">
      <c r="A593" s="23" t="n"/>
      <c r="C593">
        <f>IF(A593="","",$C$7)</f>
        <v/>
      </c>
    </row>
    <row r="594">
      <c r="A594" s="23" t="n"/>
      <c r="C594">
        <f>IF(A594="","",$C$7)</f>
        <v/>
      </c>
    </row>
    <row r="595">
      <c r="A595" s="23" t="n"/>
      <c r="C595">
        <f>IF(A595="","",$C$7)</f>
        <v/>
      </c>
    </row>
    <row r="596">
      <c r="A596" s="23" t="n"/>
      <c r="C596">
        <f>IF(A596="","",$C$7)</f>
        <v/>
      </c>
    </row>
    <row r="597">
      <c r="A597" s="23" t="n"/>
      <c r="C597">
        <f>IF(A597="","",$C$7)</f>
        <v/>
      </c>
    </row>
    <row r="598">
      <c r="A598" s="23" t="n"/>
      <c r="C598">
        <f>IF(A598="","",$C$7)</f>
        <v/>
      </c>
    </row>
    <row r="599">
      <c r="A599" s="23" t="n"/>
      <c r="C599">
        <f>IF(A599="","",$C$7)</f>
        <v/>
      </c>
    </row>
    <row r="600">
      <c r="A600" s="23" t="n"/>
      <c r="C600">
        <f>IF(A600="","",$C$7)</f>
        <v/>
      </c>
    </row>
    <row r="601">
      <c r="A601" s="23" t="n"/>
      <c r="C601">
        <f>IF(A601="","",$C$7)</f>
        <v/>
      </c>
    </row>
    <row r="602">
      <c r="A602" s="23" t="n"/>
      <c r="C602">
        <f>IF(A602="","",$C$7)</f>
        <v/>
      </c>
    </row>
    <row r="603">
      <c r="A603" s="23" t="n"/>
      <c r="C603">
        <f>IF(A603="","",$C$7)</f>
        <v/>
      </c>
    </row>
    <row r="604">
      <c r="A604" s="23" t="n"/>
      <c r="C604">
        <f>IF(A604="","",$C$7)</f>
        <v/>
      </c>
    </row>
    <row r="605">
      <c r="A605" s="23" t="n"/>
      <c r="C605">
        <f>IF(A605="","",$C$7)</f>
        <v/>
      </c>
    </row>
    <row r="606">
      <c r="A606" s="23" t="n"/>
      <c r="C606">
        <f>IF(A606="","",$C$7)</f>
        <v/>
      </c>
    </row>
    <row r="607">
      <c r="A607" s="23" t="n"/>
      <c r="C607">
        <f>IF(A607="","",$C$7)</f>
        <v/>
      </c>
    </row>
    <row r="608">
      <c r="A608" s="23" t="n"/>
      <c r="C608">
        <f>IF(A608="","",$C$7)</f>
        <v/>
      </c>
    </row>
    <row r="609">
      <c r="A609" s="23" t="n"/>
      <c r="C609">
        <f>IF(A609="","",$C$7)</f>
        <v/>
      </c>
    </row>
    <row r="610">
      <c r="A610" s="23" t="n"/>
      <c r="C610">
        <f>IF(A610="","",$C$7)</f>
        <v/>
      </c>
    </row>
    <row r="611">
      <c r="A611" s="23" t="n"/>
      <c r="C611">
        <f>IF(A611="","",$C$7)</f>
        <v/>
      </c>
    </row>
    <row r="612">
      <c r="A612" s="23" t="n"/>
      <c r="C612">
        <f>IF(A612="","",$C$7)</f>
        <v/>
      </c>
    </row>
    <row r="613">
      <c r="A613" s="23" t="n"/>
      <c r="C613">
        <f>IF(A613="","",$C$7)</f>
        <v/>
      </c>
    </row>
    <row r="614">
      <c r="A614" s="23" t="n"/>
      <c r="C614">
        <f>IF(A614="","",$C$7)</f>
        <v/>
      </c>
    </row>
    <row r="615">
      <c r="A615" s="23" t="n"/>
      <c r="C615">
        <f>IF(A615="","",$C$7)</f>
        <v/>
      </c>
    </row>
    <row r="616">
      <c r="A616" s="23" t="n"/>
      <c r="C616">
        <f>IF(A616="","",$C$7)</f>
        <v/>
      </c>
    </row>
    <row r="617">
      <c r="A617" s="23" t="n"/>
      <c r="C617">
        <f>IF(A617="","",$C$7)</f>
        <v/>
      </c>
    </row>
    <row r="618">
      <c r="A618" s="23" t="n"/>
      <c r="C618">
        <f>IF(A618="","",$C$7)</f>
        <v/>
      </c>
    </row>
    <row r="619">
      <c r="A619" s="23" t="n"/>
      <c r="C619">
        <f>IF(A619="","",$C$7)</f>
        <v/>
      </c>
    </row>
    <row r="620">
      <c r="A620" s="23" t="n"/>
      <c r="C620">
        <f>IF(A620="","",$C$7)</f>
        <v/>
      </c>
    </row>
    <row r="621">
      <c r="A621" s="23" t="n"/>
      <c r="C621">
        <f>IF(A621="","",$C$7)</f>
        <v/>
      </c>
    </row>
    <row r="622">
      <c r="A622" s="23" t="n"/>
      <c r="C622">
        <f>IF(A622="","",$C$7)</f>
        <v/>
      </c>
    </row>
    <row r="623">
      <c r="A623" s="23" t="n"/>
      <c r="C623">
        <f>IF(A623="","",$C$7)</f>
        <v/>
      </c>
    </row>
    <row r="624">
      <c r="A624" s="23" t="n"/>
      <c r="C624">
        <f>IF(A624="","",$C$7)</f>
        <v/>
      </c>
    </row>
    <row r="625">
      <c r="A625" s="23" t="n"/>
      <c r="C625">
        <f>IF(A625="","",$C$7)</f>
        <v/>
      </c>
    </row>
    <row r="626">
      <c r="A626" s="23" t="n"/>
      <c r="C626">
        <f>IF(A626="","",$C$7)</f>
        <v/>
      </c>
    </row>
    <row r="627">
      <c r="A627" s="23" t="n"/>
      <c r="C627">
        <f>IF(A627="","",$C$7)</f>
        <v/>
      </c>
    </row>
    <row r="628">
      <c r="A628" s="23" t="n"/>
      <c r="C628">
        <f>IF(A628="","",$C$7)</f>
        <v/>
      </c>
    </row>
    <row r="629">
      <c r="A629" s="23" t="n"/>
      <c r="C629">
        <f>IF(A629="","",$C$7)</f>
        <v/>
      </c>
    </row>
    <row r="630">
      <c r="A630" s="23" t="n"/>
      <c r="C630">
        <f>IF(A630="","",$C$7)</f>
        <v/>
      </c>
    </row>
    <row r="631">
      <c r="A631" s="23" t="n"/>
      <c r="C631">
        <f>IF(A631="","",$C$7)</f>
        <v/>
      </c>
    </row>
    <row r="632">
      <c r="A632" s="23" t="n"/>
      <c r="C632">
        <f>IF(A632="","",$C$7)</f>
        <v/>
      </c>
    </row>
    <row r="633">
      <c r="A633" s="23" t="n"/>
      <c r="C633">
        <f>IF(A633="","",$C$7)</f>
        <v/>
      </c>
    </row>
    <row r="634">
      <c r="A634" s="23" t="n"/>
      <c r="C634">
        <f>IF(A634="","",$C$7)</f>
        <v/>
      </c>
    </row>
    <row r="635">
      <c r="A635" s="23" t="n"/>
      <c r="C635">
        <f>IF(A635="","",$C$7)</f>
        <v/>
      </c>
    </row>
    <row r="636">
      <c r="A636" s="23" t="n"/>
      <c r="C636">
        <f>IF(A636="","",$C$7)</f>
        <v/>
      </c>
    </row>
    <row r="637">
      <c r="A637" s="23" t="n"/>
      <c r="C637">
        <f>IF(A637="","",$C$7)</f>
        <v/>
      </c>
    </row>
    <row r="638">
      <c r="A638" s="23" t="n"/>
      <c r="C638">
        <f>IF(A638="","",$C$7)</f>
        <v/>
      </c>
    </row>
    <row r="639">
      <c r="A639" s="23" t="n"/>
      <c r="C639">
        <f>IF(A639="","",$C$7)</f>
        <v/>
      </c>
    </row>
    <row r="640">
      <c r="A640" s="23" t="n"/>
      <c r="C640">
        <f>IF(A640="","",$C$7)</f>
        <v/>
      </c>
    </row>
    <row r="641">
      <c r="A641" s="23" t="n"/>
      <c r="C641">
        <f>IF(A641="","",$C$7)</f>
        <v/>
      </c>
    </row>
    <row r="642">
      <c r="A642" s="23" t="n"/>
      <c r="C642">
        <f>IF(A642="","",$C$7)</f>
        <v/>
      </c>
    </row>
    <row r="643">
      <c r="A643" s="23" t="n"/>
      <c r="C643">
        <f>IF(A643="","",$C$7)</f>
        <v/>
      </c>
    </row>
    <row r="644">
      <c r="A644" s="23" t="n"/>
      <c r="C644">
        <f>IF(A644="","",$C$7)</f>
        <v/>
      </c>
    </row>
    <row r="645">
      <c r="A645" s="23" t="n"/>
      <c r="C645">
        <f>IF(A645="","",$C$7)</f>
        <v/>
      </c>
    </row>
    <row r="646">
      <c r="A646" s="23" t="n"/>
      <c r="C646">
        <f>IF(A646="","",$C$7)</f>
        <v/>
      </c>
    </row>
    <row r="647">
      <c r="A647" s="23" t="n"/>
      <c r="C647">
        <f>IF(A647="","",$C$7)</f>
        <v/>
      </c>
    </row>
    <row r="648">
      <c r="A648" s="23" t="n"/>
      <c r="C648">
        <f>IF(A648="","",$C$7)</f>
        <v/>
      </c>
    </row>
    <row r="649">
      <c r="A649" s="23" t="n"/>
      <c r="C649">
        <f>IF(A649="","",$C$7)</f>
        <v/>
      </c>
    </row>
    <row r="650">
      <c r="A650" s="23" t="n"/>
      <c r="C650">
        <f>IF(A650="","",$C$7)</f>
        <v/>
      </c>
    </row>
    <row r="651">
      <c r="A651" s="23" t="n"/>
      <c r="C651">
        <f>IF(A651="","",$C$7)</f>
        <v/>
      </c>
    </row>
    <row r="652">
      <c r="A652" s="23" t="n"/>
      <c r="C652">
        <f>IF(A652="","",$C$7)</f>
        <v/>
      </c>
    </row>
    <row r="653">
      <c r="A653" s="23" t="n"/>
      <c r="C653">
        <f>IF(A653="","",$C$7)</f>
        <v/>
      </c>
    </row>
    <row r="654">
      <c r="A654" s="23" t="n"/>
      <c r="C654">
        <f>IF(A654="","",$C$7)</f>
        <v/>
      </c>
    </row>
    <row r="655">
      <c r="A655" s="23" t="n"/>
      <c r="C655">
        <f>IF(A655="","",$C$7)</f>
        <v/>
      </c>
    </row>
    <row r="656">
      <c r="A656" s="23" t="n"/>
      <c r="C656">
        <f>IF(A656="","",$C$7)</f>
        <v/>
      </c>
    </row>
    <row r="657">
      <c r="A657" s="23" t="n"/>
      <c r="C657">
        <f>IF(A657="","",$C$7)</f>
        <v/>
      </c>
    </row>
    <row r="658">
      <c r="A658" s="23" t="n"/>
      <c r="C658">
        <f>IF(A658="","",$C$7)</f>
        <v/>
      </c>
    </row>
    <row r="659">
      <c r="A659" s="23" t="n"/>
      <c r="C659">
        <f>IF(A659="","",$C$7)</f>
        <v/>
      </c>
    </row>
    <row r="660">
      <c r="A660" s="23" t="n"/>
      <c r="C660">
        <f>IF(A660="","",$C$7)</f>
        <v/>
      </c>
    </row>
    <row r="661">
      <c r="A661" s="23" t="n"/>
      <c r="C661">
        <f>IF(A661="","",$C$7)</f>
        <v/>
      </c>
    </row>
    <row r="662">
      <c r="A662" s="23" t="n"/>
      <c r="C662">
        <f>IF(A662="","",$C$7)</f>
        <v/>
      </c>
    </row>
    <row r="663">
      <c r="A663" s="23" t="n"/>
      <c r="C663">
        <f>IF(A663="","",$C$7)</f>
        <v/>
      </c>
    </row>
    <row r="664">
      <c r="A664" s="23" t="n"/>
      <c r="C664">
        <f>IF(A664="","",$C$7)</f>
        <v/>
      </c>
    </row>
    <row r="665">
      <c r="A665" s="23" t="n"/>
      <c r="C665">
        <f>IF(A665="","",$C$7)</f>
        <v/>
      </c>
    </row>
    <row r="666">
      <c r="A666" s="23" t="n"/>
      <c r="C666">
        <f>IF(A666="","",$C$7)</f>
        <v/>
      </c>
    </row>
    <row r="667">
      <c r="A667" s="23" t="n"/>
      <c r="C667">
        <f>IF(A667="","",$C$7)</f>
        <v/>
      </c>
    </row>
    <row r="668">
      <c r="A668" s="23" t="n"/>
      <c r="C668">
        <f>IF(A668="","",$C$7)</f>
        <v/>
      </c>
    </row>
    <row r="669">
      <c r="A669" s="23" t="n"/>
      <c r="C669">
        <f>IF(A669="","",$C$7)</f>
        <v/>
      </c>
    </row>
    <row r="670">
      <c r="A670" s="23" t="n"/>
      <c r="C670">
        <f>IF(A670="","",$C$7)</f>
        <v/>
      </c>
    </row>
    <row r="671">
      <c r="A671" s="23" t="n"/>
      <c r="C671">
        <f>IF(A671="","",$C$7)</f>
        <v/>
      </c>
    </row>
    <row r="672">
      <c r="A672" s="23" t="n"/>
      <c r="C672">
        <f>IF(A672="","",$C$7)</f>
        <v/>
      </c>
    </row>
    <row r="673">
      <c r="A673" s="23" t="n"/>
      <c r="C673">
        <f>IF(A673="","",$C$7)</f>
        <v/>
      </c>
    </row>
    <row r="674">
      <c r="A674" s="23" t="n"/>
      <c r="C674">
        <f>IF(A674="","",$C$7)</f>
        <v/>
      </c>
    </row>
    <row r="675">
      <c r="A675" s="23" t="n"/>
      <c r="C675">
        <f>IF(A675="","",$C$7)</f>
        <v/>
      </c>
    </row>
    <row r="676">
      <c r="A676" s="23" t="n"/>
      <c r="C676">
        <f>IF(A676="","",$C$7)</f>
        <v/>
      </c>
    </row>
    <row r="677">
      <c r="A677" s="23" t="n"/>
      <c r="C677">
        <f>IF(A677="","",$C$7)</f>
        <v/>
      </c>
    </row>
    <row r="678">
      <c r="A678" s="23" t="n"/>
      <c r="C678">
        <f>IF(A678="","",$C$7)</f>
        <v/>
      </c>
    </row>
    <row r="679">
      <c r="A679" s="23" t="n"/>
      <c r="C679">
        <f>IF(A679="","",$C$7)</f>
        <v/>
      </c>
    </row>
    <row r="680">
      <c r="A680" s="23" t="n"/>
      <c r="C680">
        <f>IF(A680="","",$C$7)</f>
        <v/>
      </c>
    </row>
    <row r="681">
      <c r="A681" s="23" t="n"/>
      <c r="C681">
        <f>IF(A681="","",$C$7)</f>
        <v/>
      </c>
    </row>
    <row r="682">
      <c r="A682" s="23" t="n"/>
      <c r="C682">
        <f>IF(A682="","",$C$7)</f>
        <v/>
      </c>
    </row>
    <row r="683">
      <c r="A683" s="23" t="n"/>
      <c r="C683">
        <f>IF(A683="","",$C$7)</f>
        <v/>
      </c>
    </row>
    <row r="684">
      <c r="A684" s="23" t="n"/>
      <c r="C684">
        <f>IF(A684="","",$C$7)</f>
        <v/>
      </c>
    </row>
    <row r="685">
      <c r="A685" s="23" t="n"/>
      <c r="C685">
        <f>IF(A685="","",$C$7)</f>
        <v/>
      </c>
    </row>
    <row r="686">
      <c r="A686" s="23" t="n"/>
      <c r="C686">
        <f>IF(A686="","",$C$7)</f>
        <v/>
      </c>
    </row>
    <row r="687">
      <c r="A687" s="23" t="n"/>
      <c r="C687">
        <f>IF(A687="","",$C$7)</f>
        <v/>
      </c>
    </row>
    <row r="688">
      <c r="A688" s="23" t="n"/>
      <c r="C688">
        <f>IF(A688="","",$C$7)</f>
        <v/>
      </c>
    </row>
    <row r="689">
      <c r="A689" s="23" t="n"/>
      <c r="C689">
        <f>IF(A689="","",$C$7)</f>
        <v/>
      </c>
    </row>
    <row r="690">
      <c r="A690" s="23" t="n"/>
      <c r="C690">
        <f>IF(A690="","",$C$7)</f>
        <v/>
      </c>
    </row>
    <row r="691">
      <c r="A691" s="23" t="n"/>
      <c r="C691">
        <f>IF(A691="","",$C$7)</f>
        <v/>
      </c>
    </row>
    <row r="692">
      <c r="A692" s="23" t="n"/>
      <c r="C692">
        <f>IF(A692="","",$C$7)</f>
        <v/>
      </c>
    </row>
    <row r="693">
      <c r="A693" s="23" t="n"/>
      <c r="C693">
        <f>IF(A693="","",$C$7)</f>
        <v/>
      </c>
    </row>
    <row r="694">
      <c r="A694" s="23" t="n"/>
      <c r="C694">
        <f>IF(A694="","",$C$7)</f>
        <v/>
      </c>
    </row>
    <row r="695">
      <c r="A695" s="23" t="n"/>
      <c r="C695">
        <f>IF(A695="","",$C$7)</f>
        <v/>
      </c>
    </row>
    <row r="696">
      <c r="A696" s="23" t="n"/>
      <c r="C696">
        <f>IF(A696="","",$C$7)</f>
        <v/>
      </c>
    </row>
    <row r="697">
      <c r="A697" s="23" t="n"/>
      <c r="C697">
        <f>IF(A697="","",$C$7)</f>
        <v/>
      </c>
    </row>
    <row r="698">
      <c r="A698" s="23" t="n"/>
      <c r="C698">
        <f>IF(A698="","",$C$7)</f>
        <v/>
      </c>
    </row>
    <row r="699">
      <c r="A699" s="23" t="n"/>
      <c r="C699">
        <f>IF(A699="","",$C$7)</f>
        <v/>
      </c>
    </row>
    <row r="700">
      <c r="A700" s="23" t="n"/>
      <c r="C700">
        <f>IF(A700="","",$C$7)</f>
        <v/>
      </c>
    </row>
    <row r="701">
      <c r="A701" s="23" t="n"/>
      <c r="C701">
        <f>IF(A701="","",$C$7)</f>
        <v/>
      </c>
    </row>
    <row r="702">
      <c r="A702" s="23" t="n"/>
      <c r="C702">
        <f>IF(A702="","",$C$7)</f>
        <v/>
      </c>
    </row>
    <row r="703">
      <c r="A703" s="23" t="n"/>
      <c r="C703">
        <f>IF(A703="","",$C$7)</f>
        <v/>
      </c>
    </row>
    <row r="704">
      <c r="A704" s="23" t="n"/>
      <c r="C704">
        <f>IF(A704="","",$C$7)</f>
        <v/>
      </c>
    </row>
    <row r="705">
      <c r="A705" s="23" t="n"/>
      <c r="C705">
        <f>IF(A705="","",$C$7)</f>
        <v/>
      </c>
    </row>
    <row r="706">
      <c r="A706" s="23" t="n"/>
      <c r="C706">
        <f>IF(A706="","",$C$7)</f>
        <v/>
      </c>
    </row>
    <row r="707">
      <c r="A707" s="23" t="n"/>
      <c r="C707">
        <f>IF(A707="","",$C$7)</f>
        <v/>
      </c>
    </row>
    <row r="708">
      <c r="A708" s="23" t="n"/>
      <c r="C708">
        <f>IF(A708="","",$C$7)</f>
        <v/>
      </c>
    </row>
    <row r="709">
      <c r="A709" s="23" t="n"/>
      <c r="C709">
        <f>IF(A709="","",$C$7)</f>
        <v/>
      </c>
    </row>
    <row r="710">
      <c r="A710" s="23" t="n"/>
      <c r="C710">
        <f>IF(A710="","",$C$7)</f>
        <v/>
      </c>
    </row>
    <row r="711">
      <c r="A711" s="23" t="n"/>
      <c r="C711">
        <f>IF(A711="","",$C$7)</f>
        <v/>
      </c>
    </row>
    <row r="712">
      <c r="A712" s="23" t="n"/>
      <c r="C712">
        <f>IF(A712="","",$C$7)</f>
        <v/>
      </c>
    </row>
    <row r="713">
      <c r="A713" s="23" t="n"/>
      <c r="C713">
        <f>IF(A713="","",$C$7)</f>
        <v/>
      </c>
    </row>
    <row r="714">
      <c r="A714" s="23" t="n"/>
      <c r="C714">
        <f>IF(A714="","",$C$7)</f>
        <v/>
      </c>
    </row>
    <row r="715">
      <c r="A715" s="23" t="n"/>
      <c r="C715">
        <f>IF(A715="","",$C$7)</f>
        <v/>
      </c>
    </row>
    <row r="716">
      <c r="A716" s="23" t="n"/>
      <c r="C716">
        <f>IF(A716="","",$C$7)</f>
        <v/>
      </c>
    </row>
    <row r="717">
      <c r="A717" s="23" t="n"/>
      <c r="C717">
        <f>IF(A717="","",$C$7)</f>
        <v/>
      </c>
    </row>
    <row r="718">
      <c r="A718" s="23" t="n"/>
      <c r="C718">
        <f>IF(A718="","",$C$7)</f>
        <v/>
      </c>
    </row>
    <row r="719">
      <c r="A719" s="23" t="n"/>
      <c r="C719">
        <f>IF(A719="","",$C$7)</f>
        <v/>
      </c>
    </row>
    <row r="720">
      <c r="A720" s="23" t="n"/>
      <c r="C720">
        <f>IF(A720="","",$C$7)</f>
        <v/>
      </c>
    </row>
    <row r="721">
      <c r="A721" s="23" t="n"/>
      <c r="C721">
        <f>IF(A721="","",$C$7)</f>
        <v/>
      </c>
    </row>
    <row r="722">
      <c r="A722" s="23" t="n"/>
      <c r="C722">
        <f>IF(A722="","",$C$7)</f>
        <v/>
      </c>
    </row>
    <row r="723">
      <c r="A723" s="23" t="n"/>
      <c r="C723">
        <f>IF(A723="","",$C$7)</f>
        <v/>
      </c>
    </row>
    <row r="724">
      <c r="A724" s="23" t="n"/>
      <c r="C724">
        <f>IF(A724="","",$C$7)</f>
        <v/>
      </c>
    </row>
    <row r="725">
      <c r="A725" s="23" t="n"/>
      <c r="C725">
        <f>IF(A725="","",$C$7)</f>
        <v/>
      </c>
    </row>
    <row r="726">
      <c r="A726" s="23" t="n"/>
      <c r="C726">
        <f>IF(A726="","",$C$7)</f>
        <v/>
      </c>
    </row>
    <row r="727">
      <c r="A727" s="23" t="n"/>
      <c r="C727">
        <f>IF(A727="","",$C$7)</f>
        <v/>
      </c>
    </row>
    <row r="728">
      <c r="A728" s="23" t="n"/>
      <c r="C728">
        <f>IF(A728="","",$C$7)</f>
        <v/>
      </c>
    </row>
    <row r="729">
      <c r="A729" s="23" t="n"/>
      <c r="C729">
        <f>IF(A729="","",$C$7)</f>
        <v/>
      </c>
    </row>
    <row r="730">
      <c r="A730" s="23" t="n"/>
      <c r="C730">
        <f>IF(A730="","",$C$7)</f>
        <v/>
      </c>
    </row>
    <row r="731">
      <c r="A731" s="23" t="n"/>
      <c r="C731">
        <f>IF(A731="","",$C$7)</f>
        <v/>
      </c>
    </row>
    <row r="732">
      <c r="A732" s="23" t="n"/>
      <c r="C732">
        <f>IF(A732="","",$C$7)</f>
        <v/>
      </c>
    </row>
    <row r="733">
      <c r="A733" s="23" t="n"/>
      <c r="C733">
        <f>IF(A733="","",$C$7)</f>
        <v/>
      </c>
    </row>
    <row r="734">
      <c r="A734" s="23" t="n"/>
      <c r="C734">
        <f>IF(A734="","",$C$7)</f>
        <v/>
      </c>
    </row>
    <row r="735">
      <c r="A735" s="23" t="n"/>
      <c r="C735">
        <f>IF(A735="","",$C$7)</f>
        <v/>
      </c>
    </row>
    <row r="736">
      <c r="A736" s="23" t="n"/>
      <c r="C736">
        <f>IF(A736="","",$C$7)</f>
        <v/>
      </c>
    </row>
    <row r="737">
      <c r="A737" s="23" t="n"/>
      <c r="C737">
        <f>IF(A737="","",$C$7)</f>
        <v/>
      </c>
    </row>
    <row r="738">
      <c r="A738" s="23" t="n"/>
      <c r="C738">
        <f>IF(A738="","",$C$7)</f>
        <v/>
      </c>
    </row>
    <row r="739">
      <c r="A739" s="23" t="n"/>
      <c r="C739">
        <f>IF(A739="","",$C$7)</f>
        <v/>
      </c>
    </row>
    <row r="740">
      <c r="A740" s="23" t="n"/>
      <c r="C740">
        <f>IF(A740="","",$C$7)</f>
        <v/>
      </c>
    </row>
    <row r="741">
      <c r="A741" s="23" t="n"/>
      <c r="C741">
        <f>IF(A741="","",$C$7)</f>
        <v/>
      </c>
    </row>
    <row r="742">
      <c r="A742" s="23" t="n"/>
      <c r="C742">
        <f>IF(A742="","",$C$7)</f>
        <v/>
      </c>
    </row>
    <row r="743">
      <c r="A743" s="23" t="n"/>
      <c r="C743">
        <f>IF(A743="","",$C$7)</f>
        <v/>
      </c>
    </row>
    <row r="744">
      <c r="A744" s="23" t="n"/>
      <c r="C744">
        <f>IF(A744="","",$C$7)</f>
        <v/>
      </c>
    </row>
    <row r="745">
      <c r="A745" s="23" t="n"/>
      <c r="C745">
        <f>IF(A745="","",$C$7)</f>
        <v/>
      </c>
    </row>
    <row r="746">
      <c r="A746" s="23" t="n"/>
      <c r="C746">
        <f>IF(A746="","",$C$7)</f>
        <v/>
      </c>
    </row>
    <row r="747">
      <c r="A747" s="23" t="n"/>
      <c r="C747">
        <f>IF(A747="","",$C$7)</f>
        <v/>
      </c>
    </row>
    <row r="748">
      <c r="A748" s="23" t="n"/>
      <c r="C748">
        <f>IF(A748="","",$C$7)</f>
        <v/>
      </c>
    </row>
    <row r="749">
      <c r="A749" s="23" t="n"/>
      <c r="C749">
        <f>IF(A749="","",$C$7)</f>
        <v/>
      </c>
    </row>
    <row r="750">
      <c r="A750" s="23" t="n"/>
      <c r="C750">
        <f>IF(A750="","",$C$7)</f>
        <v/>
      </c>
    </row>
    <row r="751">
      <c r="A751" s="23" t="n"/>
      <c r="C751">
        <f>IF(A751="","",$C$7)</f>
        <v/>
      </c>
    </row>
    <row r="752">
      <c r="A752" s="23" t="n"/>
      <c r="C752">
        <f>IF(A752="","",$C$7)</f>
        <v/>
      </c>
    </row>
    <row r="753">
      <c r="A753" s="23" t="n"/>
      <c r="C753">
        <f>IF(A753="","",$C$7)</f>
        <v/>
      </c>
    </row>
    <row r="754">
      <c r="A754" s="23" t="n"/>
      <c r="C754">
        <f>IF(A754="","",$C$7)</f>
        <v/>
      </c>
    </row>
    <row r="755">
      <c r="A755" s="23" t="n"/>
      <c r="C755">
        <f>IF(A755="","",$C$7)</f>
        <v/>
      </c>
    </row>
    <row r="756">
      <c r="A756" s="23" t="n"/>
      <c r="C756">
        <f>IF(A756="","",$C$7)</f>
        <v/>
      </c>
    </row>
    <row r="757">
      <c r="A757" s="23" t="n"/>
      <c r="C757">
        <f>IF(A757="","",$C$7)</f>
        <v/>
      </c>
    </row>
    <row r="758">
      <c r="A758" s="23" t="n"/>
      <c r="C758">
        <f>IF(A758="","",$C$7)</f>
        <v/>
      </c>
    </row>
    <row r="759">
      <c r="A759" s="23" t="n"/>
      <c r="C759">
        <f>IF(A759="","",$C$7)</f>
        <v/>
      </c>
    </row>
    <row r="760">
      <c r="A760" s="23" t="n"/>
      <c r="C760">
        <f>IF(A760="","",$C$7)</f>
        <v/>
      </c>
    </row>
    <row r="761">
      <c r="A761" s="23" t="n"/>
      <c r="C761">
        <f>IF(A761="","",$C$7)</f>
        <v/>
      </c>
    </row>
    <row r="762">
      <c r="A762" s="23" t="n"/>
      <c r="C762">
        <f>IF(A762="","",$C$7)</f>
        <v/>
      </c>
    </row>
    <row r="763">
      <c r="A763" s="23" t="n"/>
      <c r="C763">
        <f>IF(A763="","",$C$7)</f>
        <v/>
      </c>
    </row>
    <row r="764">
      <c r="A764" s="23" t="n"/>
      <c r="C764">
        <f>IF(A764="","",$C$7)</f>
        <v/>
      </c>
    </row>
    <row r="765">
      <c r="A765" s="23" t="n"/>
      <c r="C765">
        <f>IF(A765="","",$C$7)</f>
        <v/>
      </c>
    </row>
    <row r="766">
      <c r="A766" s="23" t="n"/>
      <c r="C766">
        <f>IF(A766="","",$C$7)</f>
        <v/>
      </c>
    </row>
    <row r="767">
      <c r="A767" s="23" t="n"/>
      <c r="C767">
        <f>IF(A767="","",$C$7)</f>
        <v/>
      </c>
    </row>
    <row r="768">
      <c r="A768" s="23" t="n"/>
      <c r="C768">
        <f>IF(A768="","",$C$7)</f>
        <v/>
      </c>
    </row>
    <row r="769">
      <c r="A769" s="23" t="n"/>
      <c r="C769">
        <f>IF(A769="","",$C$7)</f>
        <v/>
      </c>
    </row>
    <row r="770">
      <c r="A770" s="23" t="n"/>
      <c r="C770">
        <f>IF(A770="","",$C$7)</f>
        <v/>
      </c>
    </row>
    <row r="771">
      <c r="A771" s="23" t="n"/>
      <c r="C771">
        <f>IF(A771="","",$C$7)</f>
        <v/>
      </c>
    </row>
    <row r="772">
      <c r="A772" s="23" t="n"/>
      <c r="C772">
        <f>IF(A772="","",$C$7)</f>
        <v/>
      </c>
    </row>
    <row r="773">
      <c r="A773" s="23" t="n"/>
      <c r="C773">
        <f>IF(A773="","",$C$7)</f>
        <v/>
      </c>
    </row>
    <row r="774">
      <c r="A774" s="23" t="n"/>
      <c r="C774">
        <f>IF(A774="","",$C$7)</f>
        <v/>
      </c>
    </row>
    <row r="775">
      <c r="A775" s="23" t="n"/>
      <c r="C775">
        <f>IF(A775="","",$C$7)</f>
        <v/>
      </c>
    </row>
    <row r="776">
      <c r="A776" s="23" t="n"/>
      <c r="C776">
        <f>IF(A776="","",$C$7)</f>
        <v/>
      </c>
    </row>
    <row r="777">
      <c r="A777" s="23" t="n"/>
      <c r="C777">
        <f>IF(A777="","",$C$7)</f>
        <v/>
      </c>
    </row>
    <row r="778">
      <c r="A778" s="23" t="n"/>
      <c r="C778">
        <f>IF(A778="","",$C$7)</f>
        <v/>
      </c>
    </row>
    <row r="779">
      <c r="A779" s="23" t="n"/>
      <c r="C779">
        <f>IF(A779="","",$C$7)</f>
        <v/>
      </c>
    </row>
    <row r="780">
      <c r="A780" s="23" t="n"/>
      <c r="C780">
        <f>IF(A780="","",$C$7)</f>
        <v/>
      </c>
    </row>
    <row r="781">
      <c r="A781" s="23" t="n"/>
      <c r="C781">
        <f>IF(A781="","",$C$7)</f>
        <v/>
      </c>
    </row>
    <row r="782">
      <c r="A782" s="23" t="n"/>
      <c r="C782">
        <f>IF(A782="","",$C$7)</f>
        <v/>
      </c>
    </row>
    <row r="783">
      <c r="A783" s="23" t="n"/>
      <c r="C783">
        <f>IF(A783="","",$C$7)</f>
        <v/>
      </c>
    </row>
    <row r="784">
      <c r="A784" s="23" t="n"/>
      <c r="C784">
        <f>IF(A784="","",$C$7)</f>
        <v/>
      </c>
    </row>
    <row r="785">
      <c r="A785" s="23" t="n"/>
      <c r="C785">
        <f>IF(A785="","",$C$7)</f>
        <v/>
      </c>
    </row>
    <row r="786">
      <c r="A786" s="23" t="n"/>
      <c r="C786">
        <f>IF(A786="","",$C$7)</f>
        <v/>
      </c>
    </row>
    <row r="787">
      <c r="A787" s="23" t="n"/>
      <c r="C787">
        <f>IF(A787="","",$C$7)</f>
        <v/>
      </c>
    </row>
    <row r="788">
      <c r="A788" s="23" t="n"/>
      <c r="C788">
        <f>IF(A788="","",$C$7)</f>
        <v/>
      </c>
    </row>
    <row r="789">
      <c r="A789" s="23" t="n"/>
      <c r="C789">
        <f>IF(A789="","",$C$7)</f>
        <v/>
      </c>
    </row>
    <row r="790">
      <c r="A790" s="23" t="n"/>
      <c r="C790">
        <f>IF(A790="","",$C$7)</f>
        <v/>
      </c>
    </row>
    <row r="791">
      <c r="A791" s="23" t="n"/>
      <c r="C791">
        <f>IF(A791="","",$C$7)</f>
        <v/>
      </c>
    </row>
    <row r="792">
      <c r="A792" s="23" t="n"/>
      <c r="C792">
        <f>IF(A792="","",$C$7)</f>
        <v/>
      </c>
    </row>
    <row r="793">
      <c r="A793" s="23" t="n"/>
      <c r="C793">
        <f>IF(A793="","",$C$7)</f>
        <v/>
      </c>
    </row>
    <row r="794">
      <c r="A794" s="23" t="n"/>
      <c r="C794">
        <f>IF(A794="","",$C$7)</f>
        <v/>
      </c>
    </row>
    <row r="795">
      <c r="A795" s="23" t="n"/>
      <c r="C795">
        <f>IF(A795="","",$C$7)</f>
        <v/>
      </c>
    </row>
    <row r="796">
      <c r="A796" s="23" t="n"/>
      <c r="C796">
        <f>IF(A796="","",$C$7)</f>
        <v/>
      </c>
    </row>
    <row r="797">
      <c r="A797" s="23" t="n"/>
      <c r="C797">
        <f>IF(A797="","",$C$7)</f>
        <v/>
      </c>
    </row>
    <row r="798">
      <c r="A798" s="23" t="n"/>
      <c r="C798">
        <f>IF(A798="","",$C$7)</f>
        <v/>
      </c>
    </row>
    <row r="799">
      <c r="A799" s="23" t="n"/>
      <c r="C799">
        <f>IF(A799="","",$C$7)</f>
        <v/>
      </c>
    </row>
    <row r="800">
      <c r="A800" s="23" t="n"/>
      <c r="C800">
        <f>IF(A800="","",$C$7)</f>
        <v/>
      </c>
    </row>
    <row r="801">
      <c r="A801" s="23" t="n"/>
      <c r="C801">
        <f>IF(A801="","",$C$7)</f>
        <v/>
      </c>
    </row>
    <row r="802">
      <c r="A802" s="23" t="n"/>
      <c r="C802">
        <f>IF(A802="","",$C$7)</f>
        <v/>
      </c>
    </row>
    <row r="803">
      <c r="A803" s="23" t="n"/>
      <c r="C803">
        <f>IF(A803="","",$C$7)</f>
        <v/>
      </c>
    </row>
    <row r="804">
      <c r="A804" s="23" t="n"/>
      <c r="C804">
        <f>IF(A804="","",$C$7)</f>
        <v/>
      </c>
    </row>
    <row r="805">
      <c r="A805" s="23" t="n"/>
      <c r="C805">
        <f>IF(A805="","",$C$7)</f>
        <v/>
      </c>
    </row>
    <row r="806">
      <c r="A806" s="23" t="n"/>
      <c r="C806">
        <f>IF(A806="","",$C$7)</f>
        <v/>
      </c>
    </row>
    <row r="807">
      <c r="A807" s="23" t="n"/>
      <c r="C807">
        <f>IF(A807="","",$C$7)</f>
        <v/>
      </c>
    </row>
    <row r="808">
      <c r="A808" s="23" t="n"/>
      <c r="C808">
        <f>IF(A808="","",$C$7)</f>
        <v/>
      </c>
    </row>
    <row r="809">
      <c r="A809" s="23" t="n"/>
      <c r="C809">
        <f>IF(A809="","",$C$7)</f>
        <v/>
      </c>
    </row>
    <row r="810">
      <c r="A810" s="23" t="n"/>
      <c r="C810">
        <f>IF(A810="","",$C$7)</f>
        <v/>
      </c>
    </row>
    <row r="811">
      <c r="A811" s="23" t="n"/>
      <c r="C811">
        <f>IF(A811="","",$C$7)</f>
        <v/>
      </c>
    </row>
    <row r="812">
      <c r="A812" s="23" t="n"/>
      <c r="C812">
        <f>IF(A812="","",$C$7)</f>
        <v/>
      </c>
    </row>
    <row r="813">
      <c r="A813" s="23" t="n"/>
      <c r="C813">
        <f>IF(A813="","",$C$7)</f>
        <v/>
      </c>
    </row>
    <row r="814">
      <c r="A814" s="23" t="n"/>
      <c r="C814">
        <f>IF(A814="","",$C$7)</f>
        <v/>
      </c>
    </row>
    <row r="815">
      <c r="A815" s="23" t="n"/>
      <c r="C815">
        <f>IF(A815="","",$C$7)</f>
        <v/>
      </c>
    </row>
    <row r="816">
      <c r="A816" s="23" t="n"/>
      <c r="C816">
        <f>IF(A816="","",$C$7)</f>
        <v/>
      </c>
    </row>
    <row r="817">
      <c r="A817" s="23" t="n"/>
      <c r="C817">
        <f>IF(A817="","",$C$7)</f>
        <v/>
      </c>
    </row>
    <row r="818">
      <c r="A818" s="23" t="n"/>
      <c r="C818">
        <f>IF(A818="","",$C$7)</f>
        <v/>
      </c>
    </row>
    <row r="819">
      <c r="A819" s="23" t="n"/>
      <c r="C819">
        <f>IF(A819="","",$C$7)</f>
        <v/>
      </c>
    </row>
    <row r="820">
      <c r="A820" s="23" t="n"/>
      <c r="C820">
        <f>IF(A820="","",$C$7)</f>
        <v/>
      </c>
    </row>
    <row r="821">
      <c r="A821" s="23" t="n"/>
      <c r="C821">
        <f>IF(A821="","",$C$7)</f>
        <v/>
      </c>
    </row>
    <row r="822">
      <c r="A822" s="23" t="n"/>
      <c r="C822">
        <f>IF(A822="","",$C$7)</f>
        <v/>
      </c>
    </row>
    <row r="823">
      <c r="A823" s="23" t="n"/>
      <c r="C823">
        <f>IF(A823="","",$C$7)</f>
        <v/>
      </c>
    </row>
    <row r="824">
      <c r="A824" s="23" t="n"/>
      <c r="C824">
        <f>IF(A824="","",$C$7)</f>
        <v/>
      </c>
    </row>
    <row r="825">
      <c r="A825" s="23" t="n"/>
      <c r="C825">
        <f>IF(A825="","",$C$7)</f>
        <v/>
      </c>
    </row>
    <row r="826">
      <c r="A826" s="23" t="n"/>
      <c r="C826">
        <f>IF(A826="","",$C$7)</f>
        <v/>
      </c>
    </row>
    <row r="827">
      <c r="A827" s="23" t="n"/>
      <c r="C827">
        <f>IF(A827="","",$C$7)</f>
        <v/>
      </c>
    </row>
    <row r="828">
      <c r="A828" s="23" t="n"/>
      <c r="C828">
        <f>IF(A828="","",$C$7)</f>
        <v/>
      </c>
    </row>
    <row r="829">
      <c r="A829" s="23" t="n"/>
      <c r="C829">
        <f>IF(A829="","",$C$7)</f>
        <v/>
      </c>
    </row>
    <row r="830">
      <c r="A830" s="23" t="n"/>
      <c r="C830">
        <f>IF(A830="","",$C$7)</f>
        <v/>
      </c>
    </row>
    <row r="831">
      <c r="A831" s="23" t="n"/>
      <c r="C831">
        <f>IF(A831="","",$C$7)</f>
        <v/>
      </c>
    </row>
    <row r="832">
      <c r="A832" s="23" t="n"/>
      <c r="C832">
        <f>IF(A832="","",$C$7)</f>
        <v/>
      </c>
    </row>
    <row r="833">
      <c r="A833" s="23" t="n"/>
      <c r="C833">
        <f>IF(A833="","",$C$7)</f>
        <v/>
      </c>
    </row>
    <row r="834">
      <c r="A834" s="23" t="n"/>
      <c r="C834">
        <f>IF(A834="","",$C$7)</f>
        <v/>
      </c>
    </row>
    <row r="835">
      <c r="A835" s="23" t="n"/>
      <c r="C835">
        <f>IF(A835="","",$C$7)</f>
        <v/>
      </c>
    </row>
    <row r="836">
      <c r="A836" s="23" t="n"/>
      <c r="C836">
        <f>IF(A836="","",$C$7)</f>
        <v/>
      </c>
    </row>
    <row r="837">
      <c r="A837" s="23" t="n"/>
      <c r="C837">
        <f>IF(A837="","",$C$7)</f>
        <v/>
      </c>
    </row>
    <row r="838">
      <c r="A838" s="23" t="n"/>
      <c r="C838">
        <f>IF(A838="","",$C$7)</f>
        <v/>
      </c>
    </row>
    <row r="839">
      <c r="A839" s="23" t="n"/>
      <c r="C839">
        <f>IF(A839="","",$C$7)</f>
        <v/>
      </c>
    </row>
    <row r="840">
      <c r="A840" s="23" t="n"/>
      <c r="C840">
        <f>IF(A840="","",$C$7)</f>
        <v/>
      </c>
    </row>
    <row r="841">
      <c r="A841" s="23" t="n"/>
      <c r="C841">
        <f>IF(A841="","",$C$7)</f>
        <v/>
      </c>
    </row>
    <row r="842">
      <c r="A842" s="23" t="n"/>
      <c r="C842">
        <f>IF(A842="","",$C$7)</f>
        <v/>
      </c>
    </row>
    <row r="843">
      <c r="A843" s="23" t="n"/>
      <c r="C843">
        <f>IF(A843="","",$C$7)</f>
        <v/>
      </c>
    </row>
    <row r="844">
      <c r="A844" s="23" t="n"/>
      <c r="C844">
        <f>IF(A844="","",$C$7)</f>
        <v/>
      </c>
    </row>
    <row r="845">
      <c r="A845" s="23" t="n"/>
      <c r="C845">
        <f>IF(A845="","",$C$7)</f>
        <v/>
      </c>
    </row>
    <row r="846">
      <c r="A846" s="23" t="n"/>
      <c r="C846">
        <f>IF(A846="","",$C$7)</f>
        <v/>
      </c>
    </row>
    <row r="847">
      <c r="A847" s="23" t="n"/>
      <c r="C847">
        <f>IF(A847="","",$C$7)</f>
        <v/>
      </c>
    </row>
    <row r="848">
      <c r="A848" s="23" t="n"/>
      <c r="C848">
        <f>IF(A848="","",$C$7)</f>
        <v/>
      </c>
    </row>
    <row r="849">
      <c r="A849" s="23" t="n"/>
      <c r="C849">
        <f>IF(A849="","",$C$7)</f>
        <v/>
      </c>
    </row>
    <row r="850">
      <c r="A850" s="23" t="n"/>
      <c r="C850">
        <f>IF(A850="","",$C$7)</f>
        <v/>
      </c>
    </row>
    <row r="851">
      <c r="A851" s="23" t="n"/>
      <c r="C851">
        <f>IF(A851="","",$C$7)</f>
        <v/>
      </c>
    </row>
    <row r="852">
      <c r="A852" s="23" t="n"/>
      <c r="C852">
        <f>IF(A852="","",$C$7)</f>
        <v/>
      </c>
    </row>
    <row r="853">
      <c r="A853" s="23" t="n"/>
      <c r="C853">
        <f>IF(A853="","",$C$7)</f>
        <v/>
      </c>
    </row>
    <row r="854">
      <c r="A854" s="23" t="n"/>
      <c r="C854">
        <f>IF(A854="","",$C$7)</f>
        <v/>
      </c>
    </row>
    <row r="855">
      <c r="A855" s="23" t="n"/>
      <c r="C855">
        <f>IF(A855="","",$C$7)</f>
        <v/>
      </c>
    </row>
    <row r="856">
      <c r="A856" s="23" t="n"/>
      <c r="C856">
        <f>IF(A856="","",$C$7)</f>
        <v/>
      </c>
    </row>
    <row r="857">
      <c r="A857" s="23" t="n"/>
      <c r="C857">
        <f>IF(A857="","",$C$7)</f>
        <v/>
      </c>
    </row>
    <row r="858">
      <c r="A858" s="23" t="n"/>
      <c r="C858">
        <f>IF(A858="","",$C$7)</f>
        <v/>
      </c>
    </row>
    <row r="859">
      <c r="A859" s="23" t="n"/>
      <c r="C859">
        <f>IF(A859="","",$C$7)</f>
        <v/>
      </c>
    </row>
    <row r="860">
      <c r="A860" s="23" t="n"/>
      <c r="C860">
        <f>IF(A860="","",$C$7)</f>
        <v/>
      </c>
    </row>
    <row r="861">
      <c r="A861" s="23" t="n"/>
      <c r="C861">
        <f>IF(A861="","",$C$7)</f>
        <v/>
      </c>
    </row>
    <row r="862">
      <c r="A862" s="23" t="n"/>
      <c r="C862">
        <f>IF(A862="","",$C$7)</f>
        <v/>
      </c>
    </row>
    <row r="863">
      <c r="A863" s="23" t="n"/>
      <c r="C863">
        <f>IF(A863="","",$C$7)</f>
        <v/>
      </c>
    </row>
    <row r="864">
      <c r="A864" s="23" t="n"/>
      <c r="C864">
        <f>IF(A864="","",$C$7)</f>
        <v/>
      </c>
    </row>
    <row r="865">
      <c r="A865" s="23" t="n"/>
      <c r="C865">
        <f>IF(A865="","",$C$7)</f>
        <v/>
      </c>
    </row>
    <row r="866">
      <c r="A866" s="23" t="n"/>
      <c r="C866">
        <f>IF(A866="","",$C$7)</f>
        <v/>
      </c>
    </row>
    <row r="867">
      <c r="A867" s="23" t="n"/>
      <c r="C867">
        <f>IF(A867="","",$C$7)</f>
        <v/>
      </c>
    </row>
    <row r="868">
      <c r="A868" s="23" t="n"/>
      <c r="C868">
        <f>IF(A868="","",$C$7)</f>
        <v/>
      </c>
    </row>
    <row r="869">
      <c r="A869" s="23" t="n"/>
      <c r="C869">
        <f>IF(A869="","",$C$7)</f>
        <v/>
      </c>
    </row>
    <row r="870">
      <c r="A870" s="23" t="n"/>
      <c r="C870">
        <f>IF(A870="","",$C$7)</f>
        <v/>
      </c>
    </row>
    <row r="871">
      <c r="A871" s="23" t="n"/>
      <c r="C871">
        <f>IF(A871="","",$C$7)</f>
        <v/>
      </c>
    </row>
    <row r="872">
      <c r="A872" s="23" t="n"/>
      <c r="C872">
        <f>IF(A872="","",$C$7)</f>
        <v/>
      </c>
    </row>
    <row r="873">
      <c r="A873" s="23" t="n"/>
      <c r="C873">
        <f>IF(A873="","",$C$7)</f>
        <v/>
      </c>
    </row>
    <row r="874">
      <c r="A874" s="23" t="n"/>
      <c r="C874">
        <f>IF(A874="","",$C$7)</f>
        <v/>
      </c>
    </row>
    <row r="875">
      <c r="A875" s="23" t="n"/>
      <c r="C875">
        <f>IF(A875="","",$C$7)</f>
        <v/>
      </c>
    </row>
    <row r="876">
      <c r="A876" s="23" t="n"/>
      <c r="C876">
        <f>IF(A876="","",$C$7)</f>
        <v/>
      </c>
    </row>
    <row r="877">
      <c r="A877" s="23" t="n"/>
      <c r="C877">
        <f>IF(A877="","",$C$7)</f>
        <v/>
      </c>
    </row>
    <row r="878">
      <c r="A878" s="23" t="n"/>
      <c r="C878">
        <f>IF(A878="","",$C$7)</f>
        <v/>
      </c>
    </row>
    <row r="879">
      <c r="A879" s="23" t="n"/>
      <c r="C879">
        <f>IF(A879="","",$C$7)</f>
        <v/>
      </c>
    </row>
    <row r="880">
      <c r="A880" s="23" t="n"/>
      <c r="C880">
        <f>IF(A880="","",$C$7)</f>
        <v/>
      </c>
    </row>
    <row r="881">
      <c r="A881" s="23" t="n"/>
      <c r="C881">
        <f>IF(A881="","",$C$7)</f>
        <v/>
      </c>
    </row>
    <row r="882">
      <c r="A882" s="23" t="n"/>
      <c r="C882">
        <f>IF(A882="","",$C$7)</f>
        <v/>
      </c>
    </row>
    <row r="883">
      <c r="A883" s="23" t="n"/>
      <c r="C883">
        <f>IF(A883="","",$C$7)</f>
        <v/>
      </c>
    </row>
    <row r="884">
      <c r="A884" s="23" t="n"/>
      <c r="C884">
        <f>IF(A884="","",$C$7)</f>
        <v/>
      </c>
    </row>
    <row r="885">
      <c r="A885" s="23" t="n"/>
      <c r="C885">
        <f>IF(A885="","",$C$7)</f>
        <v/>
      </c>
    </row>
    <row r="886">
      <c r="A886" s="23" t="n"/>
      <c r="C886">
        <f>IF(A886="","",$C$7)</f>
        <v/>
      </c>
    </row>
    <row r="887">
      <c r="A887" s="23" t="n"/>
      <c r="C887">
        <f>IF(A887="","",$C$7)</f>
        <v/>
      </c>
    </row>
    <row r="888">
      <c r="A888" s="23" t="n"/>
      <c r="C888">
        <f>IF(A888="","",$C$7)</f>
        <v/>
      </c>
    </row>
    <row r="889">
      <c r="A889" s="23" t="n"/>
      <c r="C889">
        <f>IF(A889="","",$C$7)</f>
        <v/>
      </c>
    </row>
    <row r="890">
      <c r="A890" s="23" t="n"/>
      <c r="C890">
        <f>IF(A890="","",$C$7)</f>
        <v/>
      </c>
    </row>
    <row r="891">
      <c r="A891" s="23" t="n"/>
      <c r="C891">
        <f>IF(A891="","",$C$7)</f>
        <v/>
      </c>
    </row>
    <row r="892">
      <c r="A892" s="23" t="n"/>
      <c r="C892">
        <f>IF(A892="","",$C$7)</f>
        <v/>
      </c>
    </row>
    <row r="893">
      <c r="A893" s="23" t="n"/>
      <c r="C893">
        <f>IF(A893="","",$C$7)</f>
        <v/>
      </c>
    </row>
    <row r="894">
      <c r="A894" s="23" t="n"/>
      <c r="C894">
        <f>IF(A894="","",$C$7)</f>
        <v/>
      </c>
    </row>
    <row r="895">
      <c r="A895" s="23" t="n"/>
      <c r="C895">
        <f>IF(A895="","",$C$7)</f>
        <v/>
      </c>
    </row>
    <row r="896">
      <c r="A896" s="23" t="n"/>
      <c r="C896">
        <f>IF(A896="","",$C$7)</f>
        <v/>
      </c>
    </row>
    <row r="897">
      <c r="A897" s="23" t="n"/>
      <c r="C897">
        <f>IF(A897="","",$C$7)</f>
        <v/>
      </c>
    </row>
    <row r="898">
      <c r="A898" s="23" t="n"/>
      <c r="C898">
        <f>IF(A898="","",$C$7)</f>
        <v/>
      </c>
    </row>
    <row r="899">
      <c r="A899" s="23" t="n"/>
      <c r="C899">
        <f>IF(A899="","",$C$7)</f>
        <v/>
      </c>
    </row>
    <row r="900">
      <c r="A900" s="23" t="n"/>
      <c r="C900">
        <f>IF(A900="","",$C$7)</f>
        <v/>
      </c>
    </row>
    <row r="901">
      <c r="A901" s="23" t="n"/>
      <c r="C901">
        <f>IF(A901="","",$C$7)</f>
        <v/>
      </c>
    </row>
    <row r="902">
      <c r="A902" s="23" t="n"/>
      <c r="C902">
        <f>IF(A902="","",$C$7)</f>
        <v/>
      </c>
    </row>
    <row r="903">
      <c r="A903" s="23" t="n"/>
      <c r="C903">
        <f>IF(A903="","",$C$7)</f>
        <v/>
      </c>
    </row>
    <row r="904">
      <c r="A904" s="23" t="n"/>
      <c r="C904">
        <f>IF(A904="","",$C$7)</f>
        <v/>
      </c>
    </row>
    <row r="905">
      <c r="A905" s="23" t="n"/>
      <c r="C905">
        <f>IF(A905="","",$C$7)</f>
        <v/>
      </c>
    </row>
    <row r="906">
      <c r="A906" s="23" t="n"/>
      <c r="C906">
        <f>IF(A906="","",$C$7)</f>
        <v/>
      </c>
    </row>
    <row r="907">
      <c r="A907" s="23" t="n"/>
      <c r="C907">
        <f>IF(A907="","",$C$7)</f>
        <v/>
      </c>
    </row>
    <row r="908">
      <c r="A908" s="23" t="n"/>
      <c r="C908">
        <f>IF(A908="","",$C$7)</f>
        <v/>
      </c>
    </row>
    <row r="909">
      <c r="A909" s="23" t="n"/>
      <c r="C909">
        <f>IF(A909="","",$C$7)</f>
        <v/>
      </c>
    </row>
    <row r="910">
      <c r="A910" s="23" t="n"/>
      <c r="C910">
        <f>IF(A910="","",$C$7)</f>
        <v/>
      </c>
    </row>
    <row r="911">
      <c r="A911" s="23" t="n"/>
      <c r="C911">
        <f>IF(A911="","",$C$7)</f>
        <v/>
      </c>
    </row>
    <row r="912">
      <c r="A912" s="23" t="n"/>
      <c r="C912">
        <f>IF(A912="","",$C$7)</f>
        <v/>
      </c>
    </row>
    <row r="913">
      <c r="A913" s="23" t="n"/>
      <c r="C913">
        <f>IF(A913="","",$C$7)</f>
        <v/>
      </c>
    </row>
    <row r="914">
      <c r="A914" s="23" t="n"/>
      <c r="C914">
        <f>IF(A914="","",$C$7)</f>
        <v/>
      </c>
    </row>
    <row r="915">
      <c r="A915" s="23" t="n"/>
      <c r="C915">
        <f>IF(A915="","",$C$7)</f>
        <v/>
      </c>
    </row>
    <row r="916">
      <c r="A916" s="23" t="n"/>
      <c r="C916">
        <f>IF(A916="","",$C$7)</f>
        <v/>
      </c>
    </row>
    <row r="917">
      <c r="A917" s="23" t="n"/>
      <c r="C917">
        <f>IF(A917="","",$C$7)</f>
        <v/>
      </c>
    </row>
    <row r="918">
      <c r="A918" s="23" t="n"/>
      <c r="C918">
        <f>IF(A918="","",$C$7)</f>
        <v/>
      </c>
    </row>
    <row r="919">
      <c r="A919" s="23" t="n"/>
      <c r="C919">
        <f>IF(A919="","",$C$7)</f>
        <v/>
      </c>
    </row>
    <row r="920">
      <c r="A920" s="23" t="n"/>
      <c r="C920">
        <f>IF(A920="","",$C$7)</f>
        <v/>
      </c>
    </row>
    <row r="921">
      <c r="A921" s="23" t="n"/>
      <c r="C921">
        <f>IF(A921="","",$C$7)</f>
        <v/>
      </c>
    </row>
    <row r="922">
      <c r="A922" s="23" t="n"/>
      <c r="C922">
        <f>IF(A922="","",$C$7)</f>
        <v/>
      </c>
    </row>
    <row r="923">
      <c r="A923" s="23" t="n"/>
      <c r="C923">
        <f>IF(A923="","",$C$7)</f>
        <v/>
      </c>
    </row>
    <row r="924">
      <c r="A924" s="23" t="n"/>
      <c r="C924">
        <f>IF(A924="","",$C$7)</f>
        <v/>
      </c>
    </row>
    <row r="925">
      <c r="A925" s="23" t="n"/>
      <c r="C925">
        <f>IF(A925="","",$C$7)</f>
        <v/>
      </c>
    </row>
    <row r="926">
      <c r="A926" s="23" t="n"/>
      <c r="C926">
        <f>IF(A926="","",$C$7)</f>
        <v/>
      </c>
    </row>
    <row r="927">
      <c r="A927" s="23" t="n"/>
      <c r="C927">
        <f>IF(A927="","",$C$7)</f>
        <v/>
      </c>
    </row>
    <row r="928">
      <c r="A928" s="23" t="n"/>
      <c r="C928">
        <f>IF(A928="","",$C$7)</f>
        <v/>
      </c>
    </row>
    <row r="929">
      <c r="A929" s="23" t="n"/>
      <c r="C929">
        <f>IF(A929="","",$C$7)</f>
        <v/>
      </c>
    </row>
    <row r="930">
      <c r="A930" s="23" t="n"/>
      <c r="C930">
        <f>IF(A930="","",$C$7)</f>
        <v/>
      </c>
    </row>
    <row r="931">
      <c r="A931" s="23" t="n"/>
      <c r="C931">
        <f>IF(A931="","",$C$7)</f>
        <v/>
      </c>
    </row>
    <row r="932">
      <c r="A932" s="23" t="n"/>
      <c r="C932">
        <f>IF(A932="","",$C$7)</f>
        <v/>
      </c>
    </row>
    <row r="933">
      <c r="A933" s="23" t="n"/>
      <c r="C933">
        <f>IF(A933="","",$C$7)</f>
        <v/>
      </c>
    </row>
    <row r="934">
      <c r="A934" s="23" t="n"/>
      <c r="C934">
        <f>IF(A934="","",$C$7)</f>
        <v/>
      </c>
    </row>
    <row r="935">
      <c r="A935" s="23" t="n"/>
      <c r="C935">
        <f>IF(A935="","",$C$7)</f>
        <v/>
      </c>
    </row>
    <row r="936">
      <c r="A936" s="23" t="n"/>
      <c r="C936">
        <f>IF(A936="","",$C$7)</f>
        <v/>
      </c>
    </row>
    <row r="937">
      <c r="A937" s="23" t="n"/>
      <c r="C937">
        <f>IF(A937="","",$C$7)</f>
        <v/>
      </c>
    </row>
    <row r="938">
      <c r="A938" s="23" t="n"/>
      <c r="C938">
        <f>IF(A938="","",$C$7)</f>
        <v/>
      </c>
    </row>
    <row r="939">
      <c r="A939" s="23" t="n"/>
      <c r="C939">
        <f>IF(A939="","",$C$7)</f>
        <v/>
      </c>
    </row>
    <row r="940">
      <c r="A940" s="23" t="n"/>
      <c r="C940">
        <f>IF(A940="","",$C$7)</f>
        <v/>
      </c>
    </row>
    <row r="941">
      <c r="A941" s="23" t="n"/>
      <c r="C941">
        <f>IF(A941="","",$C$7)</f>
        <v/>
      </c>
    </row>
    <row r="942">
      <c r="A942" s="23" t="n"/>
      <c r="C942">
        <f>IF(A942="","",$C$7)</f>
        <v/>
      </c>
    </row>
    <row r="943">
      <c r="A943" s="23" t="n"/>
      <c r="C943">
        <f>IF(A943="","",$C$7)</f>
        <v/>
      </c>
    </row>
    <row r="944">
      <c r="A944" s="23" t="n"/>
      <c r="C944">
        <f>IF(A944="","",$C$7)</f>
        <v/>
      </c>
    </row>
    <row r="945">
      <c r="A945" s="23" t="n"/>
      <c r="C945">
        <f>IF(A945="","",$C$7)</f>
        <v/>
      </c>
    </row>
    <row r="946">
      <c r="A946" s="23" t="n"/>
      <c r="C946">
        <f>IF(A946="","",$C$7)</f>
        <v/>
      </c>
    </row>
    <row r="947">
      <c r="A947" s="23" t="n"/>
      <c r="C947">
        <f>IF(A947="","",$C$7)</f>
        <v/>
      </c>
    </row>
    <row r="948">
      <c r="A948" s="23" t="n"/>
      <c r="C948">
        <f>IF(A948="","",$C$7)</f>
        <v/>
      </c>
    </row>
    <row r="949">
      <c r="A949" s="23" t="n"/>
      <c r="C949">
        <f>IF(A949="","",$C$7)</f>
        <v/>
      </c>
    </row>
    <row r="950">
      <c r="A950" s="23" t="n"/>
      <c r="C950">
        <f>IF(A950="","",$C$7)</f>
        <v/>
      </c>
    </row>
    <row r="951">
      <c r="A951" s="23" t="n"/>
      <c r="C951">
        <f>IF(A951="","",$C$7)</f>
        <v/>
      </c>
    </row>
    <row r="952">
      <c r="A952" s="23" t="n"/>
      <c r="C952">
        <f>IF(A952="","",$C$7)</f>
        <v/>
      </c>
    </row>
    <row r="953">
      <c r="A953" s="23" t="n"/>
      <c r="C953">
        <f>IF(A953="","",$C$7)</f>
        <v/>
      </c>
    </row>
    <row r="954">
      <c r="A954" s="23" t="n"/>
      <c r="C954">
        <f>IF(A954="","",$C$7)</f>
        <v/>
      </c>
    </row>
    <row r="955">
      <c r="A955" s="23" t="n"/>
      <c r="C955">
        <f>IF(A955="","",$C$7)</f>
        <v/>
      </c>
    </row>
    <row r="956">
      <c r="A956" s="23" t="n"/>
      <c r="C956">
        <f>IF(A956="","",$C$7)</f>
        <v/>
      </c>
    </row>
    <row r="957">
      <c r="A957" s="23" t="n"/>
      <c r="C957">
        <f>IF(A957="","",$C$7)</f>
        <v/>
      </c>
    </row>
    <row r="958">
      <c r="A958" s="23" t="n"/>
      <c r="C958">
        <f>IF(A958="","",$C$7)</f>
        <v/>
      </c>
    </row>
    <row r="959">
      <c r="A959" s="23" t="n"/>
      <c r="C959">
        <f>IF(A959="","",$C$7)</f>
        <v/>
      </c>
    </row>
    <row r="960">
      <c r="A960" s="23" t="n"/>
      <c r="C960">
        <f>IF(A960="","",$C$7)</f>
        <v/>
      </c>
    </row>
    <row r="961">
      <c r="A961" s="23" t="n"/>
      <c r="C961">
        <f>IF(A961="","",$C$7)</f>
        <v/>
      </c>
    </row>
    <row r="962">
      <c r="A962" s="23" t="n"/>
      <c r="C962">
        <f>IF(A962="","",$C$7)</f>
        <v/>
      </c>
    </row>
    <row r="963">
      <c r="A963" s="23" t="n"/>
      <c r="C963">
        <f>IF(A963="","",$C$7)</f>
        <v/>
      </c>
    </row>
    <row r="964">
      <c r="A964" s="23" t="n"/>
      <c r="C964">
        <f>IF(A964="","",$C$7)</f>
        <v/>
      </c>
    </row>
    <row r="965">
      <c r="A965" s="23" t="n"/>
      <c r="C965">
        <f>IF(A965="","",$C$7)</f>
        <v/>
      </c>
    </row>
    <row r="966">
      <c r="A966" s="23" t="n"/>
      <c r="C966">
        <f>IF(A966="","",$C$7)</f>
        <v/>
      </c>
    </row>
    <row r="967">
      <c r="A967" s="23" t="n"/>
      <c r="C967">
        <f>IF(A967="","",$C$7)</f>
        <v/>
      </c>
    </row>
    <row r="968">
      <c r="A968" s="23" t="n"/>
      <c r="C968">
        <f>IF(A968="","",$C$7)</f>
        <v/>
      </c>
    </row>
    <row r="969">
      <c r="A969" s="23" t="n"/>
      <c r="C969">
        <f>IF(A969="","",$C$7)</f>
        <v/>
      </c>
    </row>
    <row r="970">
      <c r="A970" s="23" t="n"/>
      <c r="C970">
        <f>IF(A970="","",$C$7)</f>
        <v/>
      </c>
    </row>
    <row r="971">
      <c r="A971" s="23" t="n"/>
      <c r="C971">
        <f>IF(A971="","",$C$7)</f>
        <v/>
      </c>
    </row>
    <row r="972">
      <c r="A972" s="23" t="n"/>
      <c r="C972">
        <f>IF(A972="","",$C$7)</f>
        <v/>
      </c>
    </row>
    <row r="973">
      <c r="A973" s="23" t="n"/>
      <c r="C973">
        <f>IF(A973="","",$C$7)</f>
        <v/>
      </c>
    </row>
    <row r="974">
      <c r="A974" s="23" t="n"/>
      <c r="C974">
        <f>IF(A974="","",$C$7)</f>
        <v/>
      </c>
    </row>
    <row r="975">
      <c r="A975" s="23" t="n"/>
      <c r="C975">
        <f>IF(A975="","",$C$7)</f>
        <v/>
      </c>
    </row>
    <row r="976">
      <c r="A976" s="23" t="n"/>
      <c r="C976">
        <f>IF(A976="","",$C$7)</f>
        <v/>
      </c>
    </row>
    <row r="977">
      <c r="A977" s="23" t="n"/>
      <c r="C977">
        <f>IF(A977="","",$C$7)</f>
        <v/>
      </c>
    </row>
    <row r="978">
      <c r="A978" s="23" t="n"/>
      <c r="C978">
        <f>IF(A978="","",$C$7)</f>
        <v/>
      </c>
    </row>
    <row r="979">
      <c r="A979" s="23" t="n"/>
      <c r="C979">
        <f>IF(A979="","",$C$7)</f>
        <v/>
      </c>
    </row>
    <row r="980">
      <c r="A980" s="23" t="n"/>
      <c r="C980">
        <f>IF(A980="","",$C$7)</f>
        <v/>
      </c>
    </row>
    <row r="981">
      <c r="A981" s="23" t="n"/>
      <c r="C981">
        <f>IF(A981="","",$C$7)</f>
        <v/>
      </c>
    </row>
    <row r="982">
      <c r="A982" s="23" t="n"/>
      <c r="C982">
        <f>IF(A982="","",$C$7)</f>
        <v/>
      </c>
    </row>
    <row r="983">
      <c r="A983" s="23" t="n"/>
      <c r="C983">
        <f>IF(A983="","",$C$7)</f>
        <v/>
      </c>
    </row>
    <row r="984">
      <c r="A984" s="23" t="n"/>
      <c r="C984">
        <f>IF(A984="","",$C$7)</f>
        <v/>
      </c>
    </row>
    <row r="985">
      <c r="A985" s="23" t="n"/>
      <c r="C985">
        <f>IF(A985="","",$C$7)</f>
        <v/>
      </c>
    </row>
    <row r="986">
      <c r="A986" s="23" t="n"/>
      <c r="C986">
        <f>IF(A986="","",$C$7)</f>
        <v/>
      </c>
    </row>
    <row r="987">
      <c r="A987" s="23" t="n"/>
      <c r="C987">
        <f>IF(A987="","",$C$7)</f>
        <v/>
      </c>
    </row>
    <row r="988">
      <c r="A988" s="23" t="n"/>
      <c r="C988">
        <f>IF(A988="","",$C$7)</f>
        <v/>
      </c>
    </row>
    <row r="989">
      <c r="A989" s="23" t="n"/>
      <c r="C989">
        <f>IF(A989="","",$C$7)</f>
        <v/>
      </c>
    </row>
    <row r="990">
      <c r="A990" s="23" t="n"/>
      <c r="C990">
        <f>IF(A990="","",$C$7)</f>
        <v/>
      </c>
    </row>
    <row r="991">
      <c r="A991" s="23" t="n"/>
      <c r="C991">
        <f>IF(A991="","",$C$7)</f>
        <v/>
      </c>
    </row>
    <row r="992">
      <c r="A992" s="23" t="n"/>
      <c r="C992">
        <f>IF(A992="","",$C$7)</f>
        <v/>
      </c>
    </row>
    <row r="993">
      <c r="A993" s="23" t="n"/>
      <c r="C993">
        <f>IF(A993="","",$C$7)</f>
        <v/>
      </c>
    </row>
    <row r="994">
      <c r="A994" s="23" t="n"/>
      <c r="C994">
        <f>IF(A994="","",$C$7)</f>
        <v/>
      </c>
    </row>
    <row r="995">
      <c r="A995" s="23" t="n"/>
      <c r="C995">
        <f>IF(A995="","",$C$7)</f>
        <v/>
      </c>
    </row>
    <row r="996">
      <c r="A996" s="23" t="n"/>
      <c r="C996">
        <f>IF(A996="","",$C$7)</f>
        <v/>
      </c>
    </row>
    <row r="997">
      <c r="A997" s="23" t="n"/>
      <c r="C997">
        <f>IF(A997="","",$C$7)</f>
        <v/>
      </c>
    </row>
    <row r="998">
      <c r="A998" s="23" t="n"/>
      <c r="C998">
        <f>IF(A998="","",$C$7)</f>
        <v/>
      </c>
    </row>
    <row r="999">
      <c r="A999" s="23" t="n"/>
      <c r="C999">
        <f>IF(A999="","",$C$7)</f>
        <v/>
      </c>
    </row>
    <row r="1000">
      <c r="A1000" s="23" t="n"/>
      <c r="C1000">
        <f>IF(A1000="","",$C$7)</f>
        <v/>
      </c>
    </row>
    <row r="1001">
      <c r="A1001" s="23" t="n"/>
      <c r="C1001">
        <f>IF(A1001="","",$C$7)</f>
        <v/>
      </c>
    </row>
    <row r="1002">
      <c r="A1002" s="23" t="n"/>
      <c r="C1002">
        <f>IF(A1002="","",$C$7)</f>
        <v/>
      </c>
    </row>
    <row r="1003">
      <c r="A1003" s="23" t="n"/>
      <c r="C1003">
        <f>IF(A1003="","",$C$7)</f>
        <v/>
      </c>
    </row>
    <row r="1004">
      <c r="A1004" s="23" t="n"/>
      <c r="C1004">
        <f>IF(A1004="","",$C$7)</f>
        <v/>
      </c>
    </row>
    <row r="1005">
      <c r="A1005" s="23" t="n"/>
      <c r="C1005">
        <f>IF(A1005="","",$C$7)</f>
        <v/>
      </c>
    </row>
    <row r="1006">
      <c r="A1006" s="23" t="n"/>
      <c r="C1006">
        <f>IF(A1006="","",$C$7)</f>
        <v/>
      </c>
    </row>
    <row r="1007">
      <c r="A1007" s="23" t="n"/>
      <c r="C1007">
        <f>IF(A1007="","",$C$7)</f>
        <v/>
      </c>
    </row>
    <row r="1008">
      <c r="A1008" s="23" t="n"/>
      <c r="C1008">
        <f>IF(A1008="","",$C$7)</f>
        <v/>
      </c>
    </row>
    <row r="1009">
      <c r="A1009" s="23" t="n"/>
      <c r="C1009">
        <f>IF(A1009="","",$C$7)</f>
        <v/>
      </c>
    </row>
    <row r="1010">
      <c r="A1010" s="23" t="n"/>
      <c r="C1010">
        <f>IF(A1010="","",$C$7)</f>
        <v/>
      </c>
    </row>
    <row r="1011">
      <c r="A1011" s="23" t="n"/>
      <c r="C1011">
        <f>IF(A1011="","",$C$7)</f>
        <v/>
      </c>
    </row>
    <row r="1012">
      <c r="A1012" s="23" t="n"/>
      <c r="C1012">
        <f>IF(A1012="","",$C$7)</f>
        <v/>
      </c>
    </row>
    <row r="1013">
      <c r="A1013" s="23" t="n"/>
      <c r="C1013">
        <f>IF(A1013="","",$C$7)</f>
        <v/>
      </c>
    </row>
    <row r="1014">
      <c r="A1014" s="23" t="n"/>
      <c r="C1014">
        <f>IF(A1014="","",$C$7)</f>
        <v/>
      </c>
    </row>
    <row r="1015">
      <c r="A1015" s="23" t="n"/>
      <c r="C1015">
        <f>IF(A1015="","",$C$7)</f>
        <v/>
      </c>
    </row>
    <row r="1016">
      <c r="A1016" s="23" t="n"/>
      <c r="C1016">
        <f>IF(A1016="","",$C$7)</f>
        <v/>
      </c>
    </row>
    <row r="1017">
      <c r="A1017" s="23" t="n"/>
      <c r="C1017">
        <f>IF(A1017="","",$C$7)</f>
        <v/>
      </c>
    </row>
    <row r="1018">
      <c r="A1018" s="23" t="n"/>
      <c r="C1018">
        <f>IF(A1018="","",$C$7)</f>
        <v/>
      </c>
    </row>
    <row r="1019">
      <c r="A1019" s="23" t="n"/>
      <c r="C1019">
        <f>IF(A1019="","",$C$7)</f>
        <v/>
      </c>
    </row>
    <row r="1020">
      <c r="A1020" s="23" t="n"/>
      <c r="C1020">
        <f>IF(A1020="","",$C$7)</f>
        <v/>
      </c>
    </row>
    <row r="1021">
      <c r="A1021" s="23" t="n"/>
      <c r="C1021">
        <f>IF(A1021="","",$C$7)</f>
        <v/>
      </c>
    </row>
    <row r="1022">
      <c r="A1022" s="23" t="n"/>
      <c r="C1022">
        <f>IF(A1022="","",$C$7)</f>
        <v/>
      </c>
    </row>
    <row r="1023">
      <c r="A1023" s="23" t="n"/>
      <c r="C1023">
        <f>IF(A1023="","",$C$7)</f>
        <v/>
      </c>
    </row>
    <row r="1024">
      <c r="A1024" s="23" t="n"/>
      <c r="C1024">
        <f>IF(A1024="","",$C$7)</f>
        <v/>
      </c>
    </row>
    <row r="1025">
      <c r="A1025" s="23" t="n"/>
      <c r="C1025">
        <f>IF(A1025="","",$C$7)</f>
        <v/>
      </c>
    </row>
    <row r="1026">
      <c r="A1026" s="23" t="n"/>
      <c r="C1026">
        <f>IF(A1026="","",$C$7)</f>
        <v/>
      </c>
    </row>
    <row r="1027">
      <c r="A1027" s="23" t="n"/>
      <c r="C1027">
        <f>IF(A1027="","",$C$7)</f>
        <v/>
      </c>
    </row>
    <row r="1028">
      <c r="A1028" s="23" t="n"/>
      <c r="C1028">
        <f>IF(A1028="","",$C$7)</f>
        <v/>
      </c>
    </row>
    <row r="1029">
      <c r="A1029" s="23" t="n"/>
      <c r="C1029">
        <f>IF(A1029="","",$C$7)</f>
        <v/>
      </c>
    </row>
    <row r="1030">
      <c r="A1030" s="23" t="n"/>
      <c r="C1030">
        <f>IF(A1030="","",$C$7)</f>
        <v/>
      </c>
    </row>
    <row r="1031">
      <c r="A1031" s="23" t="n"/>
      <c r="C1031">
        <f>IF(A1031="","",$C$7)</f>
        <v/>
      </c>
    </row>
    <row r="1032">
      <c r="A1032" s="23" t="n"/>
      <c r="C1032">
        <f>IF(A1032="","",$C$7)</f>
        <v/>
      </c>
    </row>
    <row r="1033">
      <c r="A1033" s="23" t="n"/>
      <c r="C1033">
        <f>IF(A1033="","",$C$7)</f>
        <v/>
      </c>
    </row>
    <row r="1034">
      <c r="A1034" s="23" t="n"/>
      <c r="C1034">
        <f>IF(A1034="","",$C$7)</f>
        <v/>
      </c>
    </row>
    <row r="1035">
      <c r="A1035" s="23" t="n"/>
      <c r="C1035">
        <f>IF(A1035="","",$C$7)</f>
        <v/>
      </c>
    </row>
    <row r="1036">
      <c r="A1036" s="23" t="n"/>
      <c r="C1036">
        <f>IF(A1036="","",$C$7)</f>
        <v/>
      </c>
    </row>
    <row r="1037">
      <c r="A1037" s="23" t="n"/>
      <c r="C1037">
        <f>IF(A1037="","",$C$7)</f>
        <v/>
      </c>
    </row>
    <row r="1038">
      <c r="A1038" s="23" t="n"/>
      <c r="C1038">
        <f>IF(A1038="","",$C$7)</f>
        <v/>
      </c>
    </row>
    <row r="1039">
      <c r="A1039" s="23" t="n"/>
      <c r="C1039">
        <f>IF(A1039="","",$C$7)</f>
        <v/>
      </c>
    </row>
    <row r="1040">
      <c r="A1040" s="23" t="n"/>
      <c r="C1040">
        <f>IF(A1040="","",$C$7)</f>
        <v/>
      </c>
    </row>
    <row r="1041">
      <c r="A1041" s="23" t="n"/>
      <c r="C1041">
        <f>IF(A1041="","",$C$7)</f>
        <v/>
      </c>
    </row>
    <row r="1042">
      <c r="A1042" s="23" t="n"/>
      <c r="C1042">
        <f>IF(A1042="","",$C$7)</f>
        <v/>
      </c>
    </row>
    <row r="1043">
      <c r="A1043" s="23" t="n"/>
      <c r="C1043">
        <f>IF(A1043="","",$C$7)</f>
        <v/>
      </c>
    </row>
    <row r="1044">
      <c r="A1044" s="23" t="n"/>
      <c r="C1044">
        <f>IF(A1044="","",$C$7)</f>
        <v/>
      </c>
    </row>
    <row r="1045">
      <c r="A1045" s="23" t="n"/>
      <c r="C1045">
        <f>IF(A1045="","",$C$7)</f>
        <v/>
      </c>
    </row>
    <row r="1046">
      <c r="A1046" s="23" t="n"/>
      <c r="C1046">
        <f>IF(A1046="","",$C$7)</f>
        <v/>
      </c>
    </row>
    <row r="1047">
      <c r="A1047" s="23" t="n"/>
      <c r="C1047">
        <f>IF(A1047="","",$C$7)</f>
        <v/>
      </c>
    </row>
    <row r="1048">
      <c r="A1048" s="23" t="n"/>
      <c r="C1048">
        <f>IF(A1048="","",$C$7)</f>
        <v/>
      </c>
    </row>
    <row r="1049">
      <c r="A1049" s="23" t="n"/>
      <c r="C1049">
        <f>IF(A1049="","",$C$7)</f>
        <v/>
      </c>
    </row>
    <row r="1050">
      <c r="A1050" s="23" t="n"/>
      <c r="C1050">
        <f>IF(A1050="","",$C$7)</f>
        <v/>
      </c>
    </row>
    <row r="1051">
      <c r="A1051" s="23" t="n"/>
      <c r="C1051">
        <f>IF(A1051="","",$C$7)</f>
        <v/>
      </c>
    </row>
    <row r="1052">
      <c r="A1052" s="23" t="n"/>
      <c r="C1052">
        <f>IF(A1052="","",$C$7)</f>
        <v/>
      </c>
    </row>
    <row r="1053">
      <c r="A1053" s="23" t="n"/>
      <c r="C1053">
        <f>IF(A1053="","",$C$7)</f>
        <v/>
      </c>
    </row>
    <row r="1054">
      <c r="A1054" s="23" t="n"/>
      <c r="C1054">
        <f>IF(A1054="","",$C$7)</f>
        <v/>
      </c>
    </row>
    <row r="1055">
      <c r="A1055" s="23" t="n"/>
      <c r="C1055">
        <f>IF(A1055="","",$C$7)</f>
        <v/>
      </c>
    </row>
    <row r="1056">
      <c r="A1056" s="23" t="n"/>
      <c r="C1056">
        <f>IF(A1056="","",$C$7)</f>
        <v/>
      </c>
    </row>
    <row r="1057">
      <c r="A1057" s="23" t="n"/>
      <c r="C1057">
        <f>IF(A1057="","",$C$7)</f>
        <v/>
      </c>
    </row>
    <row r="1058">
      <c r="A1058" s="23" t="n"/>
      <c r="C1058">
        <f>IF(A1058="","",$C$7)</f>
        <v/>
      </c>
    </row>
    <row r="1059">
      <c r="A1059" s="23" t="n"/>
      <c r="C1059">
        <f>IF(A1059="","",$C$7)</f>
        <v/>
      </c>
    </row>
    <row r="1060">
      <c r="A1060" s="23" t="n"/>
      <c r="C1060">
        <f>IF(A1060="","",$C$7)</f>
        <v/>
      </c>
    </row>
    <row r="1061">
      <c r="A1061" s="23" t="n"/>
      <c r="C1061">
        <f>IF(A1061="","",$C$7)</f>
        <v/>
      </c>
    </row>
    <row r="1062">
      <c r="A1062" s="23" t="n"/>
      <c r="C1062">
        <f>IF(A1062="","",$C$7)</f>
        <v/>
      </c>
    </row>
    <row r="1063">
      <c r="A1063" s="23" t="n"/>
      <c r="C1063">
        <f>IF(A1063="","",$C$7)</f>
        <v/>
      </c>
    </row>
    <row r="1064">
      <c r="A1064" s="23" t="n"/>
      <c r="C1064">
        <f>IF(A1064="","",$C$7)</f>
        <v/>
      </c>
    </row>
    <row r="1065">
      <c r="A1065" s="23" t="n"/>
      <c r="C1065">
        <f>IF(A1065="","",$C$7)</f>
        <v/>
      </c>
    </row>
    <row r="1066">
      <c r="A1066" s="23" t="n"/>
      <c r="C1066">
        <f>IF(A1066="","",$C$7)</f>
        <v/>
      </c>
    </row>
    <row r="1067">
      <c r="A1067" s="23" t="n"/>
      <c r="C1067">
        <f>IF(A1067="","",$C$7)</f>
        <v/>
      </c>
    </row>
    <row r="1068">
      <c r="A1068" s="23" t="n"/>
      <c r="C1068">
        <f>IF(A1068="","",$C$7)</f>
        <v/>
      </c>
    </row>
    <row r="1069">
      <c r="A1069" s="23" t="n"/>
      <c r="C1069">
        <f>IF(A1069="","",$C$7)</f>
        <v/>
      </c>
    </row>
    <row r="1070">
      <c r="A1070" s="23" t="n"/>
      <c r="C1070">
        <f>IF(A1070="","",$C$7)</f>
        <v/>
      </c>
    </row>
    <row r="1071">
      <c r="A1071" s="23" t="n"/>
      <c r="C1071">
        <f>IF(A1071="","",$C$7)</f>
        <v/>
      </c>
    </row>
    <row r="1072">
      <c r="A1072" s="23" t="n"/>
      <c r="C1072">
        <f>IF(A1072="","",$C$7)</f>
        <v/>
      </c>
    </row>
    <row r="1073">
      <c r="A1073" s="23" t="n"/>
      <c r="C1073">
        <f>IF(A1073="","",$C$7)</f>
        <v/>
      </c>
    </row>
    <row r="1074">
      <c r="A1074" s="23" t="n"/>
      <c r="C1074">
        <f>IF(A1074="","",$C$7)</f>
        <v/>
      </c>
    </row>
    <row r="1075">
      <c r="A1075" s="23" t="n"/>
      <c r="C1075">
        <f>IF(A1075="","",$C$7)</f>
        <v/>
      </c>
    </row>
    <row r="1076">
      <c r="A1076" s="23" t="n"/>
      <c r="C1076">
        <f>IF(A1076="","",$C$7)</f>
        <v/>
      </c>
    </row>
    <row r="1077">
      <c r="A1077" s="23" t="n"/>
      <c r="C1077">
        <f>IF(A1077="","",$C$7)</f>
        <v/>
      </c>
    </row>
    <row r="1078">
      <c r="A1078" s="23" t="n"/>
      <c r="C1078">
        <f>IF(A1078="","",$C$7)</f>
        <v/>
      </c>
    </row>
    <row r="1079">
      <c r="A1079" s="23" t="n"/>
      <c r="C1079">
        <f>IF(A1079="","",$C$7)</f>
        <v/>
      </c>
    </row>
    <row r="1080">
      <c r="A1080" s="23" t="n"/>
      <c r="C1080">
        <f>IF(A1080="","",$C$7)</f>
        <v/>
      </c>
    </row>
    <row r="1081">
      <c r="A1081" s="23" t="n"/>
      <c r="C1081">
        <f>IF(A1081="","",$C$7)</f>
        <v/>
      </c>
    </row>
    <row r="1082">
      <c r="A1082" s="23" t="n"/>
      <c r="C1082">
        <f>IF(A1082="","",$C$7)</f>
        <v/>
      </c>
    </row>
    <row r="1083">
      <c r="A1083" s="23" t="n"/>
      <c r="C1083">
        <f>IF(A1083="","",$C$7)</f>
        <v/>
      </c>
    </row>
    <row r="1084">
      <c r="A1084" s="23" t="n"/>
      <c r="C1084">
        <f>IF(A1084="","",$C$7)</f>
        <v/>
      </c>
    </row>
    <row r="1085">
      <c r="A1085" s="23" t="n"/>
      <c r="C1085">
        <f>IF(A1085="","",$C$7)</f>
        <v/>
      </c>
    </row>
    <row r="1086">
      <c r="A1086" s="23" t="n"/>
      <c r="C1086">
        <f>IF(A1086="","",$C$7)</f>
        <v/>
      </c>
    </row>
    <row r="1087">
      <c r="A1087" s="23" t="n"/>
      <c r="C1087">
        <f>IF(A1087="","",$C$7)</f>
        <v/>
      </c>
    </row>
    <row r="1088">
      <c r="A1088" s="23" t="n"/>
      <c r="C1088">
        <f>IF(A1088="","",$C$7)</f>
        <v/>
      </c>
    </row>
    <row r="1089">
      <c r="A1089" s="23" t="n"/>
      <c r="C1089">
        <f>IF(A1089="","",$C$7)</f>
        <v/>
      </c>
    </row>
    <row r="1090">
      <c r="A1090" s="23" t="n"/>
      <c r="C1090">
        <f>IF(A1090="","",$C$7)</f>
        <v/>
      </c>
    </row>
    <row r="1091">
      <c r="A1091" s="23" t="n"/>
      <c r="C1091">
        <f>IF(A1091="","",$C$7)</f>
        <v/>
      </c>
    </row>
    <row r="1092">
      <c r="A1092" s="23" t="n"/>
      <c r="C1092">
        <f>IF(A1092="","",$C$7)</f>
        <v/>
      </c>
    </row>
    <row r="1093">
      <c r="A1093" s="23" t="n"/>
      <c r="C1093">
        <f>IF(A1093="","",$C$7)</f>
        <v/>
      </c>
    </row>
    <row r="1094">
      <c r="A1094" s="23" t="n"/>
      <c r="C1094">
        <f>IF(A1094="","",$C$7)</f>
        <v/>
      </c>
    </row>
    <row r="1095">
      <c r="A1095" s="23" t="n"/>
      <c r="C1095">
        <f>IF(A1095="","",$C$7)</f>
        <v/>
      </c>
    </row>
    <row r="1096">
      <c r="A1096" s="23" t="n"/>
      <c r="C1096">
        <f>IF(A1096="","",$C$7)</f>
        <v/>
      </c>
    </row>
    <row r="1097">
      <c r="A1097" s="23" t="n"/>
      <c r="C1097">
        <f>IF(A1097="","",$C$7)</f>
        <v/>
      </c>
    </row>
    <row r="1098">
      <c r="A1098" s="23" t="n"/>
      <c r="C1098">
        <f>IF(A1098="","",$C$7)</f>
        <v/>
      </c>
    </row>
    <row r="1099">
      <c r="A1099" s="23" t="n"/>
      <c r="C1099">
        <f>IF(A1099="","",$C$7)</f>
        <v/>
      </c>
    </row>
    <row r="1100">
      <c r="A1100" s="23" t="n"/>
      <c r="C1100">
        <f>IF(A1100="","",$C$7)</f>
        <v/>
      </c>
    </row>
    <row r="1101">
      <c r="A1101" s="23" t="n"/>
      <c r="C1101">
        <f>IF(A1101="","",$C$7)</f>
        <v/>
      </c>
    </row>
    <row r="1102">
      <c r="A1102" s="23" t="n"/>
      <c r="C1102">
        <f>IF(A1102="","",$C$7)</f>
        <v/>
      </c>
    </row>
    <row r="1103">
      <c r="A1103" s="23" t="n"/>
      <c r="C1103">
        <f>IF(A1103="","",$C$7)</f>
        <v/>
      </c>
    </row>
    <row r="1104">
      <c r="A1104" s="23" t="n"/>
      <c r="C1104">
        <f>IF(A1104="","",$C$7)</f>
        <v/>
      </c>
    </row>
    <row r="1105">
      <c r="A1105" s="23" t="n"/>
      <c r="C1105">
        <f>IF(A1105="","",$C$7)</f>
        <v/>
      </c>
    </row>
    <row r="1106">
      <c r="A1106" s="23" t="n"/>
      <c r="C1106">
        <f>IF(A1106="","",$C$7)</f>
        <v/>
      </c>
    </row>
    <row r="1107">
      <c r="A1107" s="23" t="n"/>
      <c r="C1107">
        <f>IF(A1107="","",$C$7)</f>
        <v/>
      </c>
    </row>
    <row r="1108">
      <c r="A1108" s="23" t="n"/>
      <c r="C1108">
        <f>IF(A1108="","",$C$7)</f>
        <v/>
      </c>
    </row>
    <row r="1109">
      <c r="A1109" s="23" t="n"/>
      <c r="C1109">
        <f>IF(A1109="","",$C$7)</f>
        <v/>
      </c>
    </row>
    <row r="1110">
      <c r="A1110" s="23" t="n"/>
      <c r="C1110">
        <f>IF(A1110="","",$C$7)</f>
        <v/>
      </c>
    </row>
    <row r="1111">
      <c r="A1111" s="23" t="n"/>
      <c r="C1111">
        <f>IF(A1111="","",$C$7)</f>
        <v/>
      </c>
    </row>
    <row r="1112">
      <c r="A1112" s="23" t="n"/>
      <c r="C1112">
        <f>IF(A1112="","",$C$7)</f>
        <v/>
      </c>
    </row>
    <row r="1113">
      <c r="A1113" s="23" t="n"/>
      <c r="C1113">
        <f>IF(A1113="","",$C$7)</f>
        <v/>
      </c>
    </row>
    <row r="1114">
      <c r="A1114" s="23" t="n"/>
      <c r="C1114">
        <f>IF(A1114="","",$C$7)</f>
        <v/>
      </c>
    </row>
    <row r="1115">
      <c r="A1115" s="23" t="n"/>
      <c r="C1115">
        <f>IF(A1115="","",$C$7)</f>
        <v/>
      </c>
    </row>
    <row r="1116">
      <c r="A1116" s="23" t="n"/>
      <c r="C1116">
        <f>IF(A1116="","",$C$7)</f>
        <v/>
      </c>
    </row>
    <row r="1117">
      <c r="A1117" s="23" t="n"/>
      <c r="C1117">
        <f>IF(A1117="","",$C$7)</f>
        <v/>
      </c>
    </row>
    <row r="1118">
      <c r="A1118" s="23" t="n"/>
      <c r="C1118">
        <f>IF(A1118="","",$C$7)</f>
        <v/>
      </c>
    </row>
    <row r="1119">
      <c r="A1119" s="23" t="n"/>
      <c r="C1119">
        <f>IF(A1119="","",$C$7)</f>
        <v/>
      </c>
    </row>
    <row r="1120">
      <c r="A1120" s="23" t="n"/>
      <c r="C1120">
        <f>IF(A1120="","",$C$7)</f>
        <v/>
      </c>
    </row>
    <row r="1121">
      <c r="A1121" s="23" t="n"/>
      <c r="C1121">
        <f>IF(A1121="","",$C$7)</f>
        <v/>
      </c>
    </row>
    <row r="1122">
      <c r="A1122" s="23" t="n"/>
      <c r="C1122">
        <f>IF(A1122="","",$C$7)</f>
        <v/>
      </c>
    </row>
    <row r="1123">
      <c r="A1123" s="23" t="n"/>
      <c r="C1123">
        <f>IF(A1123="","",$C$7)</f>
        <v/>
      </c>
    </row>
    <row r="1124">
      <c r="A1124" s="23" t="n"/>
      <c r="C1124">
        <f>IF(A1124="","",$C$7)</f>
        <v/>
      </c>
    </row>
    <row r="1125">
      <c r="A1125" s="23" t="n"/>
      <c r="C1125">
        <f>IF(A1125="","",$C$7)</f>
        <v/>
      </c>
    </row>
    <row r="1126">
      <c r="A1126" s="23" t="n"/>
      <c r="C1126">
        <f>IF(A1126="","",$C$7)</f>
        <v/>
      </c>
    </row>
    <row r="1127">
      <c r="A1127" s="23" t="n"/>
      <c r="C1127">
        <f>IF(A1127="","",$C$7)</f>
        <v/>
      </c>
    </row>
    <row r="1128">
      <c r="A1128" s="23" t="n"/>
      <c r="C1128">
        <f>IF(A1128="","",$C$7)</f>
        <v/>
      </c>
    </row>
    <row r="1129">
      <c r="A1129" s="23" t="n"/>
      <c r="C1129">
        <f>IF(A1129="","",$C$7)</f>
        <v/>
      </c>
    </row>
    <row r="1130">
      <c r="A1130" s="23" t="n"/>
      <c r="C1130">
        <f>IF(A1130="","",$C$7)</f>
        <v/>
      </c>
    </row>
    <row r="1131">
      <c r="A1131" s="23" t="n"/>
      <c r="C1131">
        <f>IF(A1131="","",$C$7)</f>
        <v/>
      </c>
    </row>
    <row r="1132">
      <c r="A1132" s="23" t="n"/>
      <c r="C1132">
        <f>IF(A1132="","",$C$7)</f>
        <v/>
      </c>
    </row>
    <row r="1133">
      <c r="A1133" s="23" t="n"/>
      <c r="C1133">
        <f>IF(A1133="","",$C$7)</f>
        <v/>
      </c>
    </row>
    <row r="1134">
      <c r="A1134" s="23" t="n"/>
      <c r="C1134">
        <f>IF(A1134="","",$C$7)</f>
        <v/>
      </c>
    </row>
    <row r="1135">
      <c r="A1135" s="23" t="n"/>
      <c r="C1135">
        <f>IF(A1135="","",$C$7)</f>
        <v/>
      </c>
    </row>
    <row r="1136">
      <c r="A1136" s="23" t="n"/>
      <c r="C1136">
        <f>IF(A1136="","",$C$7)</f>
        <v/>
      </c>
    </row>
    <row r="1137">
      <c r="A1137" s="23" t="n"/>
      <c r="C1137">
        <f>IF(A1137="","",$C$7)</f>
        <v/>
      </c>
    </row>
    <row r="1138">
      <c r="A1138" s="23" t="n"/>
      <c r="C1138">
        <f>IF(A1138="","",$C$7)</f>
        <v/>
      </c>
    </row>
    <row r="1139">
      <c r="A1139" s="23" t="n"/>
      <c r="C1139">
        <f>IF(A1139="","",$C$7)</f>
        <v/>
      </c>
    </row>
    <row r="1140">
      <c r="A1140" s="23" t="n"/>
      <c r="C1140">
        <f>IF(A1140="","",$C$7)</f>
        <v/>
      </c>
    </row>
    <row r="1141">
      <c r="A1141" s="23" t="n"/>
      <c r="C1141">
        <f>IF(A1141="","",$C$7)</f>
        <v/>
      </c>
    </row>
    <row r="1142">
      <c r="A1142" s="23" t="n"/>
      <c r="C1142">
        <f>IF(A1142="","",$C$7)</f>
        <v/>
      </c>
    </row>
    <row r="1143">
      <c r="A1143" s="23" t="n"/>
      <c r="C1143">
        <f>IF(A1143="","",$C$7)</f>
        <v/>
      </c>
    </row>
    <row r="1144">
      <c r="A1144" s="23" t="n"/>
      <c r="C1144">
        <f>IF(A1144="","",$C$7)</f>
        <v/>
      </c>
    </row>
    <row r="1145">
      <c r="A1145" s="23" t="n"/>
      <c r="C1145">
        <f>IF(A1145="","",$C$7)</f>
        <v/>
      </c>
    </row>
    <row r="1146">
      <c r="A1146" s="23" t="n"/>
      <c r="C1146">
        <f>IF(A1146="","",$C$7)</f>
        <v/>
      </c>
    </row>
    <row r="1147">
      <c r="A1147" s="23" t="n"/>
      <c r="C1147">
        <f>IF(A1147="","",$C$7)</f>
        <v/>
      </c>
    </row>
    <row r="1148">
      <c r="A1148" s="23" t="n"/>
      <c r="C1148">
        <f>IF(A1148="","",$C$7)</f>
        <v/>
      </c>
    </row>
    <row r="1149">
      <c r="A1149" s="23" t="n"/>
      <c r="C1149">
        <f>IF(A1149="","",$C$7)</f>
        <v/>
      </c>
    </row>
    <row r="1150">
      <c r="A1150" s="23" t="n"/>
      <c r="C1150">
        <f>IF(A1150="","",$C$7)</f>
        <v/>
      </c>
    </row>
    <row r="1151">
      <c r="A1151" s="23" t="n"/>
      <c r="C1151">
        <f>IF(A1151="","",$C$7)</f>
        <v/>
      </c>
    </row>
    <row r="1152">
      <c r="A1152" s="23" t="n"/>
      <c r="C1152">
        <f>IF(A1152="","",$C$7)</f>
        <v/>
      </c>
    </row>
    <row r="1153">
      <c r="A1153" s="23" t="n"/>
      <c r="C1153">
        <f>IF(A1153="","",$C$7)</f>
        <v/>
      </c>
    </row>
    <row r="1154">
      <c r="A1154" s="23" t="n"/>
      <c r="C1154">
        <f>IF(A1154="","",$C$7)</f>
        <v/>
      </c>
    </row>
    <row r="1155">
      <c r="A1155" s="23" t="n"/>
      <c r="C1155">
        <f>IF(A1155="","",$C$7)</f>
        <v/>
      </c>
    </row>
    <row r="1156">
      <c r="A1156" s="23" t="n"/>
      <c r="C1156">
        <f>IF(A1156="","",$C$7)</f>
        <v/>
      </c>
    </row>
    <row r="1157">
      <c r="A1157" s="23" t="n"/>
      <c r="C1157">
        <f>IF(A1157="","",$C$7)</f>
        <v/>
      </c>
    </row>
    <row r="1158">
      <c r="A1158" s="23" t="n"/>
      <c r="C1158">
        <f>IF(A1158="","",$C$7)</f>
        <v/>
      </c>
    </row>
    <row r="1159">
      <c r="A1159" s="23" t="n"/>
      <c r="C1159">
        <f>IF(A1159="","",$C$7)</f>
        <v/>
      </c>
    </row>
    <row r="1160">
      <c r="A1160" s="23" t="n"/>
      <c r="C1160">
        <f>IF(A1160="","",$C$7)</f>
        <v/>
      </c>
    </row>
    <row r="1161">
      <c r="A1161" s="23" t="n"/>
      <c r="C1161">
        <f>IF(A1161="","",$C$7)</f>
        <v/>
      </c>
    </row>
    <row r="1162">
      <c r="A1162" s="23" t="n"/>
      <c r="C1162">
        <f>IF(A1162="","",$C$7)</f>
        <v/>
      </c>
    </row>
    <row r="1163">
      <c r="A1163" s="23" t="n"/>
      <c r="C1163">
        <f>IF(A1163="","",$C$7)</f>
        <v/>
      </c>
    </row>
    <row r="1164">
      <c r="A1164" s="23" t="n"/>
      <c r="C1164">
        <f>IF(A1164="","",$C$7)</f>
        <v/>
      </c>
    </row>
    <row r="1165">
      <c r="A1165" s="23" t="n"/>
      <c r="C1165">
        <f>IF(A1165="","",$C$7)</f>
        <v/>
      </c>
    </row>
    <row r="1166">
      <c r="A1166" s="23" t="n"/>
      <c r="C1166">
        <f>IF(A1166="","",$C$7)</f>
        <v/>
      </c>
    </row>
    <row r="1167">
      <c r="A1167" s="23" t="n"/>
      <c r="C1167">
        <f>IF(A1167="","",$C$7)</f>
        <v/>
      </c>
    </row>
    <row r="1168">
      <c r="A1168" s="23" t="n"/>
      <c r="C1168">
        <f>IF(A1168="","",$C$7)</f>
        <v/>
      </c>
    </row>
    <row r="1169">
      <c r="A1169" s="23" t="n"/>
      <c r="C1169">
        <f>IF(A1169="","",$C$7)</f>
        <v/>
      </c>
    </row>
    <row r="1170">
      <c r="A1170" s="23" t="n"/>
      <c r="C1170">
        <f>IF(A1170="","",$C$7)</f>
        <v/>
      </c>
    </row>
    <row r="1171">
      <c r="A1171" s="23" t="n"/>
      <c r="C1171">
        <f>IF(A1171="","",$C$7)</f>
        <v/>
      </c>
    </row>
    <row r="1172">
      <c r="A1172" s="23" t="n"/>
      <c r="C1172">
        <f>IF(A1172="","",$C$7)</f>
        <v/>
      </c>
    </row>
    <row r="1173">
      <c r="A1173" s="23" t="n"/>
      <c r="C1173">
        <f>IF(A1173="","",$C$7)</f>
        <v/>
      </c>
    </row>
    <row r="1174">
      <c r="A1174" s="23" t="n"/>
      <c r="C1174">
        <f>IF(A1174="","",$C$7)</f>
        <v/>
      </c>
    </row>
    <row r="1175">
      <c r="A1175" s="23" t="n"/>
      <c r="C1175">
        <f>IF(A1175="","",$C$7)</f>
        <v/>
      </c>
    </row>
    <row r="1176">
      <c r="A1176" s="23" t="n"/>
      <c r="C1176">
        <f>IF(A1176="","",$C$7)</f>
        <v/>
      </c>
    </row>
    <row r="1177">
      <c r="A1177" s="23" t="n"/>
      <c r="C1177">
        <f>IF(A1177="","",$C$7)</f>
        <v/>
      </c>
    </row>
    <row r="1178">
      <c r="A1178" s="23" t="n"/>
      <c r="C1178">
        <f>IF(A1178="","",$C$7)</f>
        <v/>
      </c>
    </row>
    <row r="1179">
      <c r="A1179" s="23" t="n"/>
      <c r="C1179">
        <f>IF(A1179="","",$C$7)</f>
        <v/>
      </c>
    </row>
    <row r="1180">
      <c r="A1180" s="23" t="n"/>
      <c r="C1180">
        <f>IF(A1180="","",$C$7)</f>
        <v/>
      </c>
    </row>
    <row r="1181">
      <c r="A1181" s="23" t="n"/>
      <c r="C1181">
        <f>IF(A1181="","",$C$7)</f>
        <v/>
      </c>
    </row>
    <row r="1182">
      <c r="A1182" s="23" t="n"/>
      <c r="C1182">
        <f>IF(A1182="","",$C$7)</f>
        <v/>
      </c>
    </row>
    <row r="1183">
      <c r="A1183" s="23" t="n"/>
      <c r="C1183">
        <f>IF(A1183="","",$C$7)</f>
        <v/>
      </c>
    </row>
    <row r="1184">
      <c r="A1184" s="23" t="n"/>
      <c r="C1184">
        <f>IF(A1184="","",$C$7)</f>
        <v/>
      </c>
    </row>
    <row r="1185">
      <c r="A1185" s="23" t="n"/>
      <c r="C1185">
        <f>IF(A1185="","",$C$7)</f>
        <v/>
      </c>
    </row>
    <row r="1186">
      <c r="A1186" s="23" t="n"/>
      <c r="C1186">
        <f>IF(A1186="","",$C$7)</f>
        <v/>
      </c>
    </row>
    <row r="1187">
      <c r="A1187" s="23" t="n"/>
      <c r="C1187">
        <f>IF(A1187="","",$C$7)</f>
        <v/>
      </c>
    </row>
    <row r="1188">
      <c r="A1188" s="23" t="n"/>
      <c r="C1188">
        <f>IF(A1188="","",$C$7)</f>
        <v/>
      </c>
    </row>
    <row r="1189">
      <c r="A1189" s="23" t="n"/>
      <c r="C1189">
        <f>IF(A1189="","",$C$7)</f>
        <v/>
      </c>
    </row>
    <row r="1190">
      <c r="A1190" s="23" t="n"/>
      <c r="C1190">
        <f>IF(A1190="","",$C$7)</f>
        <v/>
      </c>
    </row>
    <row r="1191">
      <c r="A1191" s="23" t="n"/>
      <c r="C1191">
        <f>IF(A1191="","",$C$7)</f>
        <v/>
      </c>
    </row>
    <row r="1192">
      <c r="A1192" s="23" t="n"/>
      <c r="C1192">
        <f>IF(A1192="","",$C$7)</f>
        <v/>
      </c>
    </row>
    <row r="1193">
      <c r="A1193" s="23" t="n"/>
      <c r="C1193">
        <f>IF(A1193="","",$C$7)</f>
        <v/>
      </c>
    </row>
    <row r="1194">
      <c r="A1194" s="23" t="n"/>
      <c r="C1194">
        <f>IF(A1194="","",$C$7)</f>
        <v/>
      </c>
    </row>
    <row r="1195">
      <c r="A1195" s="23" t="n"/>
      <c r="C1195">
        <f>IF(A1195="","",$C$7)</f>
        <v/>
      </c>
    </row>
    <row r="1196">
      <c r="A1196" s="23" t="n"/>
      <c r="C1196">
        <f>IF(A1196="","",$C$7)</f>
        <v/>
      </c>
    </row>
    <row r="1197">
      <c r="A1197" s="23" t="n"/>
      <c r="C1197">
        <f>IF(A1197="","",$C$7)</f>
        <v/>
      </c>
    </row>
    <row r="1198">
      <c r="A1198" s="23" t="n"/>
      <c r="C1198">
        <f>IF(A1198="","",$C$7)</f>
        <v/>
      </c>
    </row>
    <row r="1199">
      <c r="A1199" s="23" t="n"/>
      <c r="C1199">
        <f>IF(A1199="","",$C$7)</f>
        <v/>
      </c>
    </row>
    <row r="1200">
      <c r="A1200" s="23" t="n"/>
      <c r="C1200">
        <f>IF(A1200="","",$C$7)</f>
        <v/>
      </c>
    </row>
    <row r="1201">
      <c r="A1201" s="23" t="n"/>
      <c r="C1201">
        <f>IF(A1201="","",$C$7)</f>
        <v/>
      </c>
    </row>
    <row r="1202">
      <c r="A1202" s="23" t="n"/>
      <c r="C1202">
        <f>IF(A1202="","",$C$7)</f>
        <v/>
      </c>
    </row>
    <row r="1203">
      <c r="A1203" s="23" t="n"/>
      <c r="C1203">
        <f>IF(A1203="","",$C$7)</f>
        <v/>
      </c>
    </row>
    <row r="1204">
      <c r="A1204" s="23" t="n"/>
      <c r="C1204">
        <f>IF(A1204="","",$C$7)</f>
        <v/>
      </c>
    </row>
    <row r="1205">
      <c r="A1205" s="23" t="n"/>
      <c r="C1205">
        <f>IF(A1205="","",$C$7)</f>
        <v/>
      </c>
    </row>
    <row r="1206">
      <c r="A1206" s="23" t="n"/>
      <c r="C1206">
        <f>IF(A1206="","",$C$7)</f>
        <v/>
      </c>
    </row>
    <row r="1207">
      <c r="A1207" s="23" t="n"/>
      <c r="C1207">
        <f>IF(A1207="","",$C$7)</f>
        <v/>
      </c>
    </row>
    <row r="1208">
      <c r="A1208" s="23" t="n"/>
      <c r="C1208">
        <f>IF(A1208="","",$C$7)</f>
        <v/>
      </c>
    </row>
    <row r="1209">
      <c r="A1209" s="23" t="n"/>
      <c r="C1209">
        <f>IF(A1209="","",$C$7)</f>
        <v/>
      </c>
    </row>
    <row r="1210">
      <c r="A1210" s="23" t="n"/>
      <c r="C1210">
        <f>IF(A1210="","",$C$7)</f>
        <v/>
      </c>
    </row>
    <row r="1211">
      <c r="A1211" s="23" t="n"/>
      <c r="C1211">
        <f>IF(A1211="","",$C$7)</f>
        <v/>
      </c>
    </row>
    <row r="1212">
      <c r="A1212" s="23" t="n"/>
      <c r="C1212">
        <f>IF(A1212="","",$C$7)</f>
        <v/>
      </c>
    </row>
    <row r="1213">
      <c r="A1213" s="23" t="n"/>
      <c r="C1213">
        <f>IF(A1213="","",$C$7)</f>
        <v/>
      </c>
    </row>
    <row r="1214">
      <c r="A1214" s="23" t="n"/>
      <c r="C1214">
        <f>IF(A1214="","",$C$7)</f>
        <v/>
      </c>
    </row>
    <row r="1215">
      <c r="A1215" s="23" t="n"/>
      <c r="C1215">
        <f>IF(A1215="","",$C$7)</f>
        <v/>
      </c>
    </row>
    <row r="1216">
      <c r="A1216" s="23" t="n"/>
      <c r="C1216">
        <f>IF(A1216="","",$C$7)</f>
        <v/>
      </c>
    </row>
    <row r="1217">
      <c r="A1217" s="23" t="n"/>
      <c r="C1217">
        <f>IF(A1217="","",$C$7)</f>
        <v/>
      </c>
    </row>
    <row r="1218">
      <c r="A1218" s="23" t="n"/>
      <c r="C1218">
        <f>IF(A1218="","",$C$7)</f>
        <v/>
      </c>
    </row>
    <row r="1219">
      <c r="A1219" s="23" t="n"/>
      <c r="C1219">
        <f>IF(A1219="","",$C$7)</f>
        <v/>
      </c>
    </row>
    <row r="1220">
      <c r="A1220" s="23" t="n"/>
      <c r="C1220">
        <f>IF(A1220="","",$C$7)</f>
        <v/>
      </c>
    </row>
    <row r="1221">
      <c r="A1221" s="23" t="n"/>
      <c r="C1221">
        <f>IF(A1221="","",$C$7)</f>
        <v/>
      </c>
    </row>
    <row r="1222">
      <c r="A1222" s="23" t="n"/>
      <c r="C1222">
        <f>IF(A1222="","",$C$7)</f>
        <v/>
      </c>
    </row>
    <row r="1223">
      <c r="A1223" s="23" t="n"/>
      <c r="C1223">
        <f>IF(A1223="","",$C$7)</f>
        <v/>
      </c>
    </row>
    <row r="1224">
      <c r="A1224" s="23" t="n"/>
      <c r="C1224">
        <f>IF(A1224="","",$C$7)</f>
        <v/>
      </c>
    </row>
    <row r="1225">
      <c r="A1225" s="23" t="n"/>
      <c r="C1225">
        <f>IF(A1225="","",$C$7)</f>
        <v/>
      </c>
    </row>
    <row r="1226">
      <c r="A1226" s="23" t="n"/>
      <c r="C1226">
        <f>IF(A1226="","",$C$7)</f>
        <v/>
      </c>
    </row>
    <row r="1227">
      <c r="A1227" s="23" t="n"/>
      <c r="C1227">
        <f>IF(A1227="","",$C$7)</f>
        <v/>
      </c>
    </row>
    <row r="1228">
      <c r="A1228" s="23" t="n"/>
      <c r="C1228">
        <f>IF(A1228="","",$C$7)</f>
        <v/>
      </c>
    </row>
    <row r="1229">
      <c r="A1229" s="23" t="n"/>
      <c r="C1229">
        <f>IF(A1229="","",$C$7)</f>
        <v/>
      </c>
    </row>
    <row r="1230">
      <c r="A1230" s="23" t="n"/>
      <c r="C1230">
        <f>IF(A1230="","",$C$7)</f>
        <v/>
      </c>
    </row>
    <row r="1231">
      <c r="A1231" s="23" t="n"/>
      <c r="C1231">
        <f>IF(A1231="","",$C$7)</f>
        <v/>
      </c>
    </row>
    <row r="1232">
      <c r="A1232" s="23" t="n"/>
      <c r="C1232">
        <f>IF(A1232="","",$C$7)</f>
        <v/>
      </c>
    </row>
    <row r="1233">
      <c r="A1233" s="23" t="n"/>
      <c r="C1233">
        <f>IF(A1233="","",$C$7)</f>
        <v/>
      </c>
    </row>
    <row r="1234">
      <c r="A1234" s="23" t="n"/>
      <c r="C1234">
        <f>IF(A1234="","",$C$7)</f>
        <v/>
      </c>
    </row>
    <row r="1235">
      <c r="A1235" s="23" t="n"/>
      <c r="C1235">
        <f>IF(A1235="","",$C$7)</f>
        <v/>
      </c>
    </row>
    <row r="1236">
      <c r="A1236" s="23" t="n"/>
      <c r="C1236">
        <f>IF(A1236="","",$C$7)</f>
        <v/>
      </c>
    </row>
    <row r="1237">
      <c r="A1237" s="23" t="n"/>
      <c r="C1237">
        <f>IF(A1237="","",$C$7)</f>
        <v/>
      </c>
    </row>
    <row r="1238">
      <c r="A1238" s="23" t="n"/>
      <c r="C1238">
        <f>IF(A1238="","",$C$7)</f>
        <v/>
      </c>
    </row>
    <row r="1239">
      <c r="A1239" s="23" t="n"/>
      <c r="C1239">
        <f>IF(A1239="","",$C$7)</f>
        <v/>
      </c>
    </row>
    <row r="1240">
      <c r="A1240" s="23" t="n"/>
      <c r="C1240">
        <f>IF(A1240="","",$C$7)</f>
        <v/>
      </c>
    </row>
    <row r="1241">
      <c r="A1241" s="23" t="n"/>
      <c r="C1241">
        <f>IF(A1241="","",$C$7)</f>
        <v/>
      </c>
    </row>
    <row r="1242">
      <c r="A1242" s="23" t="n"/>
      <c r="C1242">
        <f>IF(A1242="","",$C$7)</f>
        <v/>
      </c>
    </row>
    <row r="1243">
      <c r="A1243" s="23" t="n"/>
      <c r="C1243">
        <f>IF(A1243="","",$C$7)</f>
        <v/>
      </c>
    </row>
    <row r="1244">
      <c r="A1244" s="23" t="n"/>
      <c r="C1244">
        <f>IF(A1244="","",$C$7)</f>
        <v/>
      </c>
    </row>
    <row r="1245">
      <c r="A1245" s="23" t="n"/>
      <c r="C1245">
        <f>IF(A1245="","",$C$7)</f>
        <v/>
      </c>
    </row>
    <row r="1246">
      <c r="A1246" s="23" t="n"/>
      <c r="C1246">
        <f>IF(A1246="","",$C$7)</f>
        <v/>
      </c>
    </row>
    <row r="1247">
      <c r="A1247" s="23" t="n"/>
      <c r="C1247">
        <f>IF(A1247="","",$C$7)</f>
        <v/>
      </c>
    </row>
    <row r="1248">
      <c r="A1248" s="23" t="n"/>
      <c r="C1248">
        <f>IF(A1248="","",$C$7)</f>
        <v/>
      </c>
    </row>
    <row r="1249">
      <c r="A1249" s="23" t="n"/>
      <c r="C1249">
        <f>IF(A1249="","",$C$7)</f>
        <v/>
      </c>
    </row>
    <row r="1250">
      <c r="A1250" s="23" t="n"/>
      <c r="C1250">
        <f>IF(A1250="","",$C$7)</f>
        <v/>
      </c>
    </row>
    <row r="1251">
      <c r="A1251" s="23" t="n"/>
      <c r="C1251">
        <f>IF(A1251="","",$C$7)</f>
        <v/>
      </c>
    </row>
    <row r="1252">
      <c r="A1252" s="23" t="n"/>
      <c r="C1252">
        <f>IF(A1252="","",$C$7)</f>
        <v/>
      </c>
    </row>
    <row r="1253">
      <c r="A1253" s="23" t="n"/>
      <c r="C1253">
        <f>IF(A1253="","",$C$7)</f>
        <v/>
      </c>
    </row>
    <row r="1254">
      <c r="A1254" s="23" t="n"/>
      <c r="C1254">
        <f>IF(A1254="","",$C$7)</f>
        <v/>
      </c>
    </row>
    <row r="1255">
      <c r="A1255" s="23" t="n"/>
      <c r="C1255">
        <f>IF(A1255="","",$C$7)</f>
        <v/>
      </c>
    </row>
    <row r="1256">
      <c r="A1256" s="23" t="n"/>
      <c r="C1256">
        <f>IF(A1256="","",$C$7)</f>
        <v/>
      </c>
    </row>
    <row r="1257">
      <c r="A1257" s="23" t="n"/>
      <c r="C1257">
        <f>IF(A1257="","",$C$7)</f>
        <v/>
      </c>
    </row>
    <row r="1258">
      <c r="A1258" s="23" t="n"/>
      <c r="C1258">
        <f>IF(A1258="","",$C$7)</f>
        <v/>
      </c>
    </row>
    <row r="1259">
      <c r="A1259" s="23" t="n"/>
      <c r="C1259">
        <f>IF(A1259="","",$C$7)</f>
        <v/>
      </c>
    </row>
    <row r="1260">
      <c r="A1260" s="23" t="n"/>
      <c r="C1260">
        <f>IF(A1260="","",$C$7)</f>
        <v/>
      </c>
    </row>
    <row r="1261">
      <c r="A1261" s="23" t="n"/>
      <c r="C1261">
        <f>IF(A1261="","",$C$7)</f>
        <v/>
      </c>
    </row>
    <row r="1262">
      <c r="A1262" s="23" t="n"/>
      <c r="C1262">
        <f>IF(A1262="","",$C$7)</f>
        <v/>
      </c>
    </row>
    <row r="1263">
      <c r="A1263" s="23" t="n"/>
      <c r="C1263">
        <f>IF(A1263="","",$C$7)</f>
        <v/>
      </c>
    </row>
    <row r="1264">
      <c r="A1264" s="23" t="n"/>
      <c r="C1264">
        <f>IF(A1264="","",$C$7)</f>
        <v/>
      </c>
    </row>
    <row r="1265">
      <c r="A1265" s="23" t="n"/>
      <c r="C1265">
        <f>IF(A1265="","",$C$7)</f>
        <v/>
      </c>
    </row>
    <row r="1266">
      <c r="A1266" s="23" t="n"/>
      <c r="C1266">
        <f>IF(A1266="","",$C$7)</f>
        <v/>
      </c>
    </row>
    <row r="1267">
      <c r="A1267" s="23" t="n"/>
      <c r="C1267">
        <f>IF(A1267="","",$C$7)</f>
        <v/>
      </c>
    </row>
    <row r="1268">
      <c r="A1268" s="23" t="n"/>
      <c r="C1268">
        <f>IF(A1268="","",$C$7)</f>
        <v/>
      </c>
    </row>
    <row r="1269">
      <c r="A1269" s="23" t="n"/>
      <c r="C1269">
        <f>IF(A1269="","",$C$7)</f>
        <v/>
      </c>
    </row>
    <row r="1270">
      <c r="A1270" s="23" t="n"/>
      <c r="C1270">
        <f>IF(A1270="","",$C$7)</f>
        <v/>
      </c>
    </row>
    <row r="1271">
      <c r="A1271" s="23" t="n"/>
      <c r="C1271">
        <f>IF(A1271="","",$C$7)</f>
        <v/>
      </c>
    </row>
    <row r="1272">
      <c r="A1272" s="23" t="n"/>
      <c r="C1272">
        <f>IF(A1272="","",$C$7)</f>
        <v/>
      </c>
    </row>
    <row r="1273">
      <c r="A1273" s="23" t="n"/>
      <c r="C1273">
        <f>IF(A1273="","",$C$7)</f>
        <v/>
      </c>
    </row>
    <row r="1274">
      <c r="A1274" s="23" t="n"/>
      <c r="C1274">
        <f>IF(A1274="","",$C$7)</f>
        <v/>
      </c>
    </row>
    <row r="1275">
      <c r="A1275" s="23" t="n"/>
      <c r="C1275">
        <f>IF(A1275="","",$C$7)</f>
        <v/>
      </c>
    </row>
    <row r="1276">
      <c r="A1276" s="23" t="n"/>
      <c r="C1276">
        <f>IF(A1276="","",$C$7)</f>
        <v/>
      </c>
    </row>
    <row r="1277">
      <c r="A1277" s="23" t="n"/>
      <c r="C1277">
        <f>IF(A1277="","",$C$7)</f>
        <v/>
      </c>
    </row>
    <row r="1278">
      <c r="A1278" s="23" t="n"/>
      <c r="C1278">
        <f>IF(A1278="","",$C$7)</f>
        <v/>
      </c>
    </row>
    <row r="1279">
      <c r="A1279" s="23" t="n"/>
      <c r="C1279">
        <f>IF(A1279="","",$C$7)</f>
        <v/>
      </c>
    </row>
    <row r="1280">
      <c r="A1280" s="23" t="n"/>
      <c r="C1280">
        <f>IF(A1280="","",$C$7)</f>
        <v/>
      </c>
    </row>
    <row r="1281">
      <c r="A1281" s="23" t="n"/>
      <c r="C1281">
        <f>IF(A1281="","",$C$7)</f>
        <v/>
      </c>
    </row>
    <row r="1282">
      <c r="A1282" s="23" t="n"/>
      <c r="C1282">
        <f>IF(A1282="","",$C$7)</f>
        <v/>
      </c>
    </row>
    <row r="1283">
      <c r="A1283" s="23" t="n"/>
      <c r="C1283">
        <f>IF(A1283="","",$C$7)</f>
        <v/>
      </c>
    </row>
    <row r="1284">
      <c r="A1284" s="23" t="n"/>
      <c r="C1284">
        <f>IF(A1284="","",$C$7)</f>
        <v/>
      </c>
    </row>
    <row r="1285">
      <c r="A1285" s="23" t="n"/>
      <c r="C1285">
        <f>IF(A1285="","",$C$7)</f>
        <v/>
      </c>
    </row>
    <row r="1286">
      <c r="A1286" s="23" t="n"/>
      <c r="C1286">
        <f>IF(A1286="","",$C$7)</f>
        <v/>
      </c>
    </row>
    <row r="1287">
      <c r="A1287" s="23" t="n"/>
      <c r="C1287">
        <f>IF(A1287="","",$C$7)</f>
        <v/>
      </c>
    </row>
    <row r="1288">
      <c r="A1288" s="23" t="n"/>
      <c r="C1288">
        <f>IF(A1288="","",$C$7)</f>
        <v/>
      </c>
    </row>
    <row r="1289">
      <c r="A1289" s="23" t="n"/>
      <c r="C1289">
        <f>IF(A1289="","",$C$7)</f>
        <v/>
      </c>
    </row>
    <row r="1290">
      <c r="A1290" s="23" t="n"/>
      <c r="C1290">
        <f>IF(A1290="","",$C$7)</f>
        <v/>
      </c>
    </row>
    <row r="1291">
      <c r="A1291" s="23" t="n"/>
      <c r="C1291">
        <f>IF(A1291="","",$C$7)</f>
        <v/>
      </c>
    </row>
    <row r="1292">
      <c r="A1292" s="23" t="n"/>
      <c r="C1292">
        <f>IF(A1292="","",$C$7)</f>
        <v/>
      </c>
    </row>
    <row r="1293">
      <c r="A1293" s="23" t="n"/>
      <c r="C1293">
        <f>IF(A1293="","",$C$7)</f>
        <v/>
      </c>
    </row>
    <row r="1294">
      <c r="A1294" s="23" t="n"/>
      <c r="C1294">
        <f>IF(A1294="","",$C$7)</f>
        <v/>
      </c>
    </row>
    <row r="1295">
      <c r="A1295" s="23" t="n"/>
      <c r="C1295">
        <f>IF(A1295="","",$C$7)</f>
        <v/>
      </c>
    </row>
    <row r="1296">
      <c r="A1296" s="23" t="n"/>
      <c r="C1296">
        <f>IF(A1296="","",$C$7)</f>
        <v/>
      </c>
    </row>
    <row r="1297">
      <c r="A1297" s="23" t="n"/>
      <c r="C1297">
        <f>IF(A1297="","",$C$7)</f>
        <v/>
      </c>
    </row>
    <row r="1298">
      <c r="A1298" s="23" t="n"/>
      <c r="C1298">
        <f>IF(A1298="","",$C$7)</f>
        <v/>
      </c>
    </row>
    <row r="1299">
      <c r="A1299" s="23" t="n"/>
      <c r="C1299">
        <f>IF(A1299="","",$C$7)</f>
        <v/>
      </c>
    </row>
    <row r="1300">
      <c r="A1300" s="23" t="n"/>
      <c r="C1300">
        <f>IF(A1300="","",$C$7)</f>
        <v/>
      </c>
    </row>
    <row r="1301">
      <c r="A1301" s="23" t="n"/>
      <c r="C1301">
        <f>IF(A1301="","",$C$7)</f>
        <v/>
      </c>
    </row>
    <row r="1302">
      <c r="A1302" s="23" t="n"/>
      <c r="C1302">
        <f>IF(A1302="","",$C$7)</f>
        <v/>
      </c>
    </row>
    <row r="1303">
      <c r="A1303" s="23" t="n"/>
      <c r="C1303">
        <f>IF(A1303="","",$C$7)</f>
        <v/>
      </c>
    </row>
    <row r="1304">
      <c r="A1304" s="23" t="n"/>
      <c r="C1304">
        <f>IF(A1304="","",$C$7)</f>
        <v/>
      </c>
    </row>
    <row r="1305">
      <c r="A1305" s="23" t="n"/>
      <c r="C1305">
        <f>IF(A1305="","",$C$7)</f>
        <v/>
      </c>
    </row>
    <row r="1306">
      <c r="A1306" s="23" t="n"/>
      <c r="C1306">
        <f>IF(A1306="","",$C$7)</f>
        <v/>
      </c>
    </row>
    <row r="1307">
      <c r="A1307" s="23" t="n"/>
      <c r="C1307">
        <f>IF(A1307="","",$C$7)</f>
        <v/>
      </c>
    </row>
    <row r="1308">
      <c r="A1308" s="23" t="n"/>
      <c r="C1308">
        <f>IF(A1308="","",$C$7)</f>
        <v/>
      </c>
    </row>
    <row r="1309">
      <c r="A1309" s="23" t="n"/>
      <c r="C1309">
        <f>IF(A1309="","",$C$7)</f>
        <v/>
      </c>
    </row>
    <row r="1310">
      <c r="A1310" s="23" t="n"/>
      <c r="C1310">
        <f>IF(A1310="","",$C$7)</f>
        <v/>
      </c>
    </row>
    <row r="1311">
      <c r="A1311" s="23" t="n"/>
      <c r="C1311">
        <f>IF(A1311="","",$C$7)</f>
        <v/>
      </c>
    </row>
    <row r="1312">
      <c r="A1312" s="23" t="n"/>
      <c r="C1312">
        <f>IF(A1312="","",$C$7)</f>
        <v/>
      </c>
    </row>
    <row r="1313">
      <c r="A1313" s="23" t="n"/>
      <c r="C1313">
        <f>IF(A1313="","",$C$7)</f>
        <v/>
      </c>
    </row>
    <row r="1314">
      <c r="A1314" s="23" t="n"/>
      <c r="C1314">
        <f>IF(A1314="","",$C$7)</f>
        <v/>
      </c>
    </row>
    <row r="1315">
      <c r="A1315" s="23" t="n"/>
      <c r="C1315">
        <f>IF(A1315="","",$C$7)</f>
        <v/>
      </c>
    </row>
    <row r="1316">
      <c r="A1316" s="23" t="n"/>
      <c r="C1316">
        <f>IF(A1316="","",$C$7)</f>
        <v/>
      </c>
    </row>
    <row r="1317">
      <c r="A1317" s="23" t="n"/>
      <c r="C1317">
        <f>IF(A1317="","",$C$7)</f>
        <v/>
      </c>
    </row>
    <row r="1318">
      <c r="A1318" s="23" t="n"/>
      <c r="C1318">
        <f>IF(A1318="","",$C$7)</f>
        <v/>
      </c>
    </row>
    <row r="1319">
      <c r="A1319" s="23" t="n"/>
      <c r="C1319">
        <f>IF(A1319="","",$C$7)</f>
        <v/>
      </c>
    </row>
    <row r="1320">
      <c r="A1320" s="23" t="n"/>
      <c r="C1320">
        <f>IF(A1320="","",$C$7)</f>
        <v/>
      </c>
    </row>
    <row r="1321">
      <c r="A1321" s="23" t="n"/>
      <c r="C1321">
        <f>IF(A1321="","",$C$7)</f>
        <v/>
      </c>
    </row>
    <row r="1322">
      <c r="A1322" s="23" t="n"/>
      <c r="C1322">
        <f>IF(A1322="","",$C$7)</f>
        <v/>
      </c>
    </row>
    <row r="1323">
      <c r="A1323" s="23" t="n"/>
      <c r="C1323">
        <f>IF(A1323="","",$C$7)</f>
        <v/>
      </c>
    </row>
    <row r="1324">
      <c r="A1324" s="23" t="n"/>
      <c r="C1324">
        <f>IF(A1324="","",$C$7)</f>
        <v/>
      </c>
    </row>
    <row r="1325">
      <c r="A1325" s="23" t="n"/>
      <c r="C1325">
        <f>IF(A1325="","",$C$7)</f>
        <v/>
      </c>
    </row>
    <row r="1326">
      <c r="A1326" s="23" t="n"/>
      <c r="C1326">
        <f>IF(A1326="","",$C$7)</f>
        <v/>
      </c>
    </row>
    <row r="1327">
      <c r="A1327" s="23" t="n"/>
      <c r="C1327">
        <f>IF(A1327="","",$C$7)</f>
        <v/>
      </c>
    </row>
    <row r="1328">
      <c r="A1328" s="23" t="n"/>
      <c r="C1328">
        <f>IF(A1328="","",$C$7)</f>
        <v/>
      </c>
    </row>
    <row r="1329">
      <c r="A1329" s="23" t="n"/>
      <c r="C1329">
        <f>IF(A1329="","",$C$7)</f>
        <v/>
      </c>
    </row>
    <row r="1330">
      <c r="A1330" s="23" t="n"/>
      <c r="C1330">
        <f>IF(A1330="","",$C$7)</f>
        <v/>
      </c>
    </row>
    <row r="1331">
      <c r="A1331" s="23" t="n"/>
      <c r="C1331">
        <f>IF(A1331="","",$C$7)</f>
        <v/>
      </c>
    </row>
    <row r="1332">
      <c r="A1332" s="23" t="n"/>
      <c r="C1332">
        <f>IF(A1332="","",$C$7)</f>
        <v/>
      </c>
    </row>
    <row r="1333">
      <c r="A1333" s="23" t="n"/>
      <c r="C1333">
        <f>IF(A1333="","",$C$7)</f>
        <v/>
      </c>
    </row>
    <row r="1334">
      <c r="A1334" s="23" t="n"/>
      <c r="C1334">
        <f>IF(A1334="","",$C$7)</f>
        <v/>
      </c>
    </row>
    <row r="1335">
      <c r="A1335" s="23" t="n"/>
      <c r="C1335">
        <f>IF(A1335="","",$C$7)</f>
        <v/>
      </c>
    </row>
    <row r="1336">
      <c r="A1336" s="23" t="n"/>
      <c r="C1336">
        <f>IF(A1336="","",$C$7)</f>
        <v/>
      </c>
    </row>
    <row r="1337">
      <c r="A1337" s="23" t="n"/>
      <c r="C1337">
        <f>IF(A1337="","",$C$7)</f>
        <v/>
      </c>
    </row>
    <row r="1338">
      <c r="A1338" s="23" t="n"/>
      <c r="C1338">
        <f>IF(A1338="","",$C$7)</f>
        <v/>
      </c>
    </row>
    <row r="1339">
      <c r="A1339" s="23" t="n"/>
      <c r="C1339">
        <f>IF(A1339="","",$C$7)</f>
        <v/>
      </c>
    </row>
    <row r="1340">
      <c r="A1340" s="23" t="n"/>
      <c r="C1340">
        <f>IF(A1340="","",$C$7)</f>
        <v/>
      </c>
    </row>
    <row r="1341">
      <c r="A1341" s="23" t="n"/>
      <c r="C1341">
        <f>IF(A1341="","",$C$7)</f>
        <v/>
      </c>
    </row>
    <row r="1342">
      <c r="A1342" s="23" t="n"/>
      <c r="C1342">
        <f>IF(A1342="","",$C$7)</f>
        <v/>
      </c>
    </row>
    <row r="1343">
      <c r="A1343" s="23" t="n"/>
      <c r="C1343">
        <f>IF(A1343="","",$C$7)</f>
        <v/>
      </c>
    </row>
    <row r="1344">
      <c r="A1344" s="23" t="n"/>
      <c r="C1344">
        <f>IF(A1344="","",$C$7)</f>
        <v/>
      </c>
    </row>
    <row r="1345">
      <c r="A1345" s="23" t="n"/>
      <c r="C1345">
        <f>IF(A1345="","",$C$7)</f>
        <v/>
      </c>
    </row>
    <row r="1346">
      <c r="A1346" s="23" t="n"/>
      <c r="C1346">
        <f>IF(A1346="","",$C$7)</f>
        <v/>
      </c>
    </row>
    <row r="1347">
      <c r="A1347" s="23" t="n"/>
      <c r="C1347">
        <f>IF(A1347="","",$C$7)</f>
        <v/>
      </c>
    </row>
    <row r="1348">
      <c r="A1348" s="23" t="n"/>
      <c r="C1348">
        <f>IF(A1348="","",$C$7)</f>
        <v/>
      </c>
    </row>
    <row r="1349">
      <c r="A1349" s="23" t="n"/>
      <c r="C1349">
        <f>IF(A1349="","",$C$7)</f>
        <v/>
      </c>
    </row>
    <row r="1350">
      <c r="A1350" s="23" t="n"/>
      <c r="C1350">
        <f>IF(A1350="","",$C$7)</f>
        <v/>
      </c>
    </row>
    <row r="1351">
      <c r="A1351" s="23" t="n"/>
      <c r="C1351">
        <f>IF(A1351="","",$C$7)</f>
        <v/>
      </c>
    </row>
    <row r="1352">
      <c r="A1352" s="23" t="n"/>
      <c r="C1352">
        <f>IF(A1352="","",$C$7)</f>
        <v/>
      </c>
    </row>
    <row r="1353">
      <c r="A1353" s="23" t="n"/>
      <c r="C1353">
        <f>IF(A1353="","",$C$7)</f>
        <v/>
      </c>
    </row>
    <row r="1354">
      <c r="A1354" s="23" t="n"/>
      <c r="C1354">
        <f>IF(A1354="","",$C$7)</f>
        <v/>
      </c>
    </row>
    <row r="1355">
      <c r="A1355" s="23" t="n"/>
      <c r="C1355">
        <f>IF(A1355="","",$C$7)</f>
        <v/>
      </c>
    </row>
    <row r="1356">
      <c r="A1356" s="23" t="n"/>
      <c r="C1356">
        <f>IF(A1356="","",$C$7)</f>
        <v/>
      </c>
    </row>
    <row r="1357">
      <c r="A1357" s="23" t="n"/>
      <c r="C1357">
        <f>IF(A1357="","",$C$7)</f>
        <v/>
      </c>
    </row>
    <row r="1358">
      <c r="A1358" s="23" t="n"/>
      <c r="C1358">
        <f>IF(A1358="","",$C$7)</f>
        <v/>
      </c>
    </row>
    <row r="1359">
      <c r="A1359" s="23" t="n"/>
      <c r="C1359">
        <f>IF(A1359="","",$C$7)</f>
        <v/>
      </c>
    </row>
    <row r="1360">
      <c r="A1360" s="23" t="n"/>
      <c r="C1360">
        <f>IF(A1360="","",$C$7)</f>
        <v/>
      </c>
    </row>
    <row r="1361">
      <c r="A1361" s="23" t="n"/>
      <c r="C1361">
        <f>IF(A1361="","",$C$7)</f>
        <v/>
      </c>
    </row>
    <row r="1362">
      <c r="A1362" s="23" t="n"/>
      <c r="C1362">
        <f>IF(A1362="","",$C$7)</f>
        <v/>
      </c>
    </row>
    <row r="1363">
      <c r="A1363" s="23" t="n"/>
      <c r="C1363">
        <f>IF(A1363="","",$C$7)</f>
        <v/>
      </c>
    </row>
    <row r="1364">
      <c r="A1364" s="23" t="n"/>
      <c r="C1364">
        <f>IF(A1364="","",$C$7)</f>
        <v/>
      </c>
    </row>
    <row r="1365">
      <c r="A1365" s="23" t="n"/>
      <c r="C1365">
        <f>IF(A1365="","",$C$7)</f>
        <v/>
      </c>
    </row>
    <row r="1366">
      <c r="A1366" s="23" t="n"/>
      <c r="C1366">
        <f>IF(A1366="","",$C$7)</f>
        <v/>
      </c>
    </row>
    <row r="1367">
      <c r="A1367" s="23" t="n"/>
      <c r="C1367">
        <f>IF(A1367="","",$C$7)</f>
        <v/>
      </c>
    </row>
    <row r="1368">
      <c r="A1368" s="23" t="n"/>
      <c r="C1368">
        <f>IF(A1368="","",$C$7)</f>
        <v/>
      </c>
    </row>
    <row r="1369">
      <c r="A1369" s="23" t="n"/>
      <c r="C1369">
        <f>IF(A1369="","",$C$7)</f>
        <v/>
      </c>
    </row>
    <row r="1370">
      <c r="A1370" s="23" t="n"/>
      <c r="C1370">
        <f>IF(A1370="","",$C$7)</f>
        <v/>
      </c>
    </row>
    <row r="1371">
      <c r="A1371" s="23" t="n"/>
      <c r="C1371">
        <f>IF(A1371="","",$C$7)</f>
        <v/>
      </c>
    </row>
    <row r="1372">
      <c r="A1372" s="23" t="n"/>
      <c r="C1372">
        <f>IF(A1372="","",$C$7)</f>
        <v/>
      </c>
    </row>
    <row r="1373">
      <c r="A1373" s="23" t="n"/>
      <c r="C1373">
        <f>IF(A1373="","",$C$7)</f>
        <v/>
      </c>
    </row>
    <row r="1374">
      <c r="A1374" s="23" t="n"/>
      <c r="C1374">
        <f>IF(A1374="","",$C$7)</f>
        <v/>
      </c>
    </row>
    <row r="1375">
      <c r="A1375" s="23" t="n"/>
      <c r="C1375">
        <f>IF(A1375="","",$C$7)</f>
        <v/>
      </c>
    </row>
    <row r="1376">
      <c r="A1376" s="23" t="n"/>
      <c r="C1376">
        <f>IF(A1376="","",$C$7)</f>
        <v/>
      </c>
    </row>
    <row r="1377">
      <c r="A1377" s="23" t="n"/>
      <c r="C1377">
        <f>IF(A1377="","",$C$7)</f>
        <v/>
      </c>
    </row>
    <row r="1378">
      <c r="A1378" s="23" t="n"/>
      <c r="C1378">
        <f>IF(A1378="","",$C$7)</f>
        <v/>
      </c>
    </row>
    <row r="1379">
      <c r="A1379" s="23" t="n"/>
      <c r="C1379">
        <f>IF(A1379="","",$C$7)</f>
        <v/>
      </c>
    </row>
    <row r="1380">
      <c r="A1380" s="23" t="n"/>
      <c r="C1380">
        <f>IF(A1380="","",$C$7)</f>
        <v/>
      </c>
    </row>
    <row r="1381">
      <c r="A1381" s="23" t="n"/>
      <c r="C1381">
        <f>IF(A1381="","",$C$7)</f>
        <v/>
      </c>
    </row>
    <row r="1382">
      <c r="A1382" s="23" t="n"/>
      <c r="C1382">
        <f>IF(A1382="","",$C$7)</f>
        <v/>
      </c>
    </row>
    <row r="1383">
      <c r="A1383" s="23" t="n"/>
      <c r="C1383">
        <f>IF(A1383="","",$C$7)</f>
        <v/>
      </c>
    </row>
    <row r="1384">
      <c r="A1384" s="23" t="n"/>
      <c r="C1384">
        <f>IF(A1384="","",$C$7)</f>
        <v/>
      </c>
    </row>
    <row r="1385">
      <c r="A1385" s="23" t="n"/>
      <c r="C1385">
        <f>IF(A1385="","",$C$7)</f>
        <v/>
      </c>
    </row>
    <row r="1386">
      <c r="A1386" s="23" t="n"/>
      <c r="C1386">
        <f>IF(A1386="","",$C$7)</f>
        <v/>
      </c>
    </row>
    <row r="1387">
      <c r="A1387" s="23" t="n"/>
      <c r="C1387">
        <f>IF(A1387="","",$C$7)</f>
        <v/>
      </c>
    </row>
    <row r="1388">
      <c r="A1388" s="23" t="n"/>
      <c r="C1388">
        <f>IF(A1388="","",$C$7)</f>
        <v/>
      </c>
    </row>
    <row r="1389">
      <c r="A1389" s="23" t="n"/>
      <c r="C1389">
        <f>IF(A1389="","",$C$7)</f>
        <v/>
      </c>
    </row>
    <row r="1390">
      <c r="A1390" s="23" t="n"/>
      <c r="C1390">
        <f>IF(A1390="","",$C$7)</f>
        <v/>
      </c>
    </row>
    <row r="1391">
      <c r="A1391" s="23" t="n"/>
      <c r="C1391">
        <f>IF(A1391="","",$C$7)</f>
        <v/>
      </c>
    </row>
    <row r="1392">
      <c r="A1392" s="23" t="n"/>
      <c r="C1392">
        <f>IF(A1392="","",$C$7)</f>
        <v/>
      </c>
    </row>
    <row r="1393">
      <c r="A1393" s="23" t="n"/>
      <c r="C1393">
        <f>IF(A1393="","",$C$7)</f>
        <v/>
      </c>
    </row>
    <row r="1394">
      <c r="A1394" s="23" t="n"/>
      <c r="C1394">
        <f>IF(A1394="","",$C$7)</f>
        <v/>
      </c>
    </row>
    <row r="1395">
      <c r="A1395" s="23" t="n"/>
      <c r="C1395">
        <f>IF(A1395="","",$C$7)</f>
        <v/>
      </c>
    </row>
    <row r="1396">
      <c r="A1396" s="23" t="n"/>
      <c r="C1396">
        <f>IF(A1396="","",$C$7)</f>
        <v/>
      </c>
    </row>
    <row r="1397">
      <c r="A1397" s="23" t="n"/>
      <c r="C1397">
        <f>IF(A1397="","",$C$7)</f>
        <v/>
      </c>
    </row>
    <row r="1398">
      <c r="A1398" s="23" t="n"/>
      <c r="C1398">
        <f>IF(A1398="","",$C$7)</f>
        <v/>
      </c>
    </row>
    <row r="1399">
      <c r="A1399" s="23" t="n"/>
      <c r="C1399">
        <f>IF(A1399="","",$C$7)</f>
        <v/>
      </c>
    </row>
    <row r="1400">
      <c r="A1400" s="23" t="n"/>
      <c r="C1400">
        <f>IF(A1400="","",$C$7)</f>
        <v/>
      </c>
    </row>
    <row r="1401">
      <c r="A1401" s="23" t="n"/>
      <c r="C1401">
        <f>IF(A1401="","",$C$7)</f>
        <v/>
      </c>
    </row>
    <row r="1402">
      <c r="A1402" s="23" t="n"/>
      <c r="C1402">
        <f>IF(A1402="","",$C$7)</f>
        <v/>
      </c>
    </row>
    <row r="1403">
      <c r="A1403" s="23" t="n"/>
      <c r="C1403">
        <f>IF(A1403="","",$C$7)</f>
        <v/>
      </c>
    </row>
    <row r="1404">
      <c r="A1404" s="23" t="n"/>
      <c r="C1404">
        <f>IF(A1404="","",$C$7)</f>
        <v/>
      </c>
    </row>
    <row r="1405">
      <c r="A1405" s="23" t="n"/>
      <c r="C1405">
        <f>IF(A1405="","",$C$7)</f>
        <v/>
      </c>
    </row>
    <row r="1406">
      <c r="A1406" s="23" t="n"/>
      <c r="C1406">
        <f>IF(A1406="","",$C$7)</f>
        <v/>
      </c>
    </row>
    <row r="1407">
      <c r="A1407" s="23" t="n"/>
      <c r="C1407">
        <f>IF(A1407="","",$C$7)</f>
        <v/>
      </c>
    </row>
    <row r="1408">
      <c r="A1408" s="23" t="n"/>
      <c r="C1408">
        <f>IF(A1408="","",$C$7)</f>
        <v/>
      </c>
    </row>
    <row r="1409">
      <c r="A1409" s="23" t="n"/>
      <c r="C1409">
        <f>IF(A1409="","",$C$7)</f>
        <v/>
      </c>
    </row>
    <row r="1410">
      <c r="A1410" s="23" t="n"/>
      <c r="C1410">
        <f>IF(A1410="","",$C$7)</f>
        <v/>
      </c>
    </row>
    <row r="1411">
      <c r="A1411" s="23" t="n"/>
      <c r="C1411">
        <f>IF(A1411="","",$C$7)</f>
        <v/>
      </c>
    </row>
    <row r="1412">
      <c r="A1412" s="23" t="n"/>
      <c r="C1412">
        <f>IF(A1412="","",$C$7)</f>
        <v/>
      </c>
    </row>
    <row r="1413">
      <c r="A1413" s="23" t="n"/>
      <c r="C1413">
        <f>IF(A1413="","",$C$7)</f>
        <v/>
      </c>
    </row>
    <row r="1414">
      <c r="A1414" s="23" t="n"/>
      <c r="C1414">
        <f>IF(A1414="","",$C$7)</f>
        <v/>
      </c>
    </row>
    <row r="1415">
      <c r="A1415" s="23" t="n"/>
      <c r="C1415">
        <f>IF(A1415="","",$C$7)</f>
        <v/>
      </c>
    </row>
    <row r="1416">
      <c r="A1416" s="23" t="n"/>
      <c r="C1416">
        <f>IF(A1416="","",$C$7)</f>
        <v/>
      </c>
    </row>
    <row r="1417">
      <c r="A1417" s="23" t="n"/>
      <c r="C1417">
        <f>IF(A1417="","",$C$7)</f>
        <v/>
      </c>
    </row>
    <row r="1418">
      <c r="A1418" s="23" t="n"/>
      <c r="C1418">
        <f>IF(A1418="","",$C$7)</f>
        <v/>
      </c>
    </row>
    <row r="1419">
      <c r="A1419" s="23" t="n"/>
      <c r="C1419">
        <f>IF(A1419="","",$C$7)</f>
        <v/>
      </c>
    </row>
    <row r="1420">
      <c r="A1420" s="23" t="n"/>
      <c r="C1420">
        <f>IF(A1420="","",$C$7)</f>
        <v/>
      </c>
    </row>
    <row r="1421">
      <c r="A1421" s="23" t="n"/>
      <c r="C1421">
        <f>IF(A1421="","",$C$7)</f>
        <v/>
      </c>
    </row>
    <row r="1422">
      <c r="A1422" s="23" t="n"/>
      <c r="C1422">
        <f>IF(A1422="","",$C$7)</f>
        <v/>
      </c>
    </row>
    <row r="1423">
      <c r="A1423" s="23" t="n"/>
      <c r="C1423">
        <f>IF(A1423="","",$C$7)</f>
        <v/>
      </c>
    </row>
    <row r="1424">
      <c r="A1424" s="23" t="n"/>
      <c r="C1424">
        <f>IF(A1424="","",$C$7)</f>
        <v/>
      </c>
    </row>
    <row r="1425">
      <c r="A1425" s="23" t="n"/>
      <c r="C1425">
        <f>IF(A1425="","",$C$7)</f>
        <v/>
      </c>
    </row>
    <row r="1426">
      <c r="A1426" s="23" t="n"/>
      <c r="C1426">
        <f>IF(A1426="","",$C$7)</f>
        <v/>
      </c>
    </row>
    <row r="1427">
      <c r="A1427" s="23" t="n"/>
      <c r="C1427">
        <f>IF(A1427="","",$C$7)</f>
        <v/>
      </c>
    </row>
    <row r="1428">
      <c r="A1428" s="23" t="n"/>
      <c r="C1428">
        <f>IF(A1428="","",$C$7)</f>
        <v/>
      </c>
    </row>
    <row r="1429">
      <c r="A1429" s="23" t="n"/>
      <c r="C1429">
        <f>IF(A1429="","",$C$7)</f>
        <v/>
      </c>
    </row>
    <row r="1430">
      <c r="A1430" s="23" t="n"/>
      <c r="C1430">
        <f>IF(A1430="","",$C$7)</f>
        <v/>
      </c>
    </row>
    <row r="1431">
      <c r="A1431" s="23" t="n"/>
      <c r="C1431">
        <f>IF(A1431="","",$C$7)</f>
        <v/>
      </c>
    </row>
    <row r="1432">
      <c r="A1432" s="23" t="n"/>
      <c r="C1432">
        <f>IF(A1432="","",$C$7)</f>
        <v/>
      </c>
    </row>
    <row r="1433">
      <c r="A1433" s="23" t="n"/>
      <c r="C1433">
        <f>IF(A1433="","",$C$7)</f>
        <v/>
      </c>
    </row>
    <row r="1434">
      <c r="A1434" s="23" t="n"/>
      <c r="C1434">
        <f>IF(A1434="","",$C$7)</f>
        <v/>
      </c>
    </row>
    <row r="1435">
      <c r="A1435" s="23" t="n"/>
      <c r="C1435">
        <f>IF(A1435="","",$C$7)</f>
        <v/>
      </c>
    </row>
    <row r="1436">
      <c r="A1436" s="23" t="n"/>
      <c r="C1436">
        <f>IF(A1436="","",$C$7)</f>
        <v/>
      </c>
    </row>
    <row r="1437">
      <c r="A1437" s="23" t="n"/>
      <c r="C1437">
        <f>IF(A1437="","",$C$7)</f>
        <v/>
      </c>
    </row>
    <row r="1438">
      <c r="A1438" s="23" t="n"/>
      <c r="C1438">
        <f>IF(A1438="","",$C$7)</f>
        <v/>
      </c>
    </row>
    <row r="1439">
      <c r="A1439" s="23" t="n"/>
      <c r="C1439">
        <f>IF(A1439="","",$C$7)</f>
        <v/>
      </c>
    </row>
    <row r="1440">
      <c r="A1440" s="23" t="n"/>
      <c r="C1440">
        <f>IF(A1440="","",$C$7)</f>
        <v/>
      </c>
    </row>
    <row r="1441">
      <c r="A1441" s="23" t="n"/>
      <c r="C1441">
        <f>IF(A1441="","",$C$7)</f>
        <v/>
      </c>
    </row>
    <row r="1442">
      <c r="A1442" s="23" t="n"/>
      <c r="C1442">
        <f>IF(A1442="","",$C$7)</f>
        <v/>
      </c>
    </row>
    <row r="1443">
      <c r="A1443" s="23" t="n"/>
      <c r="C1443">
        <f>IF(A1443="","",$C$7)</f>
        <v/>
      </c>
    </row>
    <row r="1444">
      <c r="A1444" s="23" t="n"/>
      <c r="C1444">
        <f>IF(A1444="","",$C$7)</f>
        <v/>
      </c>
    </row>
    <row r="1445">
      <c r="A1445" s="23" t="n"/>
      <c r="C1445">
        <f>IF(A1445="","",$C$7)</f>
        <v/>
      </c>
    </row>
    <row r="1446">
      <c r="A1446" s="23" t="n"/>
      <c r="C1446">
        <f>IF(A1446="","",$C$7)</f>
        <v/>
      </c>
    </row>
    <row r="1447">
      <c r="A1447" s="23" t="n"/>
      <c r="C1447">
        <f>IF(A1447="","",$C$7)</f>
        <v/>
      </c>
    </row>
    <row r="1448">
      <c r="A1448" s="23" t="n"/>
      <c r="C1448">
        <f>IF(A1448="","",$C$7)</f>
        <v/>
      </c>
    </row>
    <row r="1449">
      <c r="A1449" s="23" t="n"/>
      <c r="C1449">
        <f>IF(A1449="","",$C$7)</f>
        <v/>
      </c>
    </row>
    <row r="1450">
      <c r="A1450" s="23" t="n"/>
      <c r="C1450">
        <f>IF(A1450="","",$C$7)</f>
        <v/>
      </c>
    </row>
    <row r="1451">
      <c r="A1451" s="23" t="n"/>
      <c r="C1451">
        <f>IF(A1451="","",$C$7)</f>
        <v/>
      </c>
    </row>
    <row r="1452">
      <c r="A1452" s="23" t="n"/>
      <c r="C1452">
        <f>IF(A1452="","",$C$7)</f>
        <v/>
      </c>
    </row>
    <row r="1453">
      <c r="A1453" s="23" t="n"/>
      <c r="C1453">
        <f>IF(A1453="","",$C$7)</f>
        <v/>
      </c>
    </row>
    <row r="1454">
      <c r="A1454" s="23" t="n"/>
      <c r="C1454">
        <f>IF(A1454="","",$C$7)</f>
        <v/>
      </c>
    </row>
    <row r="1455">
      <c r="A1455" s="23" t="n"/>
      <c r="C1455">
        <f>IF(A1455="","",$C$7)</f>
        <v/>
      </c>
    </row>
    <row r="1456">
      <c r="A1456" s="23" t="n"/>
      <c r="C1456">
        <f>IF(A1456="","",$C$7)</f>
        <v/>
      </c>
    </row>
    <row r="1457">
      <c r="A1457" s="23" t="n"/>
      <c r="C1457">
        <f>IF(A1457="","",$C$7)</f>
        <v/>
      </c>
    </row>
    <row r="1458">
      <c r="A1458" s="23" t="n"/>
      <c r="C1458">
        <f>IF(A1458="","",$C$7)</f>
        <v/>
      </c>
    </row>
    <row r="1459">
      <c r="A1459" s="23" t="n"/>
      <c r="C1459">
        <f>IF(A1459="","",$C$7)</f>
        <v/>
      </c>
    </row>
    <row r="1460">
      <c r="A1460" s="23" t="n"/>
      <c r="C1460">
        <f>IF(A1460="","",$C$7)</f>
        <v/>
      </c>
    </row>
    <row r="1461">
      <c r="A1461" s="23" t="n"/>
      <c r="C1461">
        <f>IF(A1461="","",$C$7)</f>
        <v/>
      </c>
    </row>
    <row r="1462">
      <c r="A1462" s="23" t="n"/>
      <c r="C1462">
        <f>IF(A1462="","",$C$7)</f>
        <v/>
      </c>
    </row>
    <row r="1463">
      <c r="A1463" s="23" t="n"/>
      <c r="C1463">
        <f>IF(A1463="","",$C$7)</f>
        <v/>
      </c>
    </row>
    <row r="1464">
      <c r="A1464" s="23" t="n"/>
      <c r="C1464">
        <f>IF(A1464="","",$C$7)</f>
        <v/>
      </c>
    </row>
    <row r="1465">
      <c r="A1465" s="23" t="n"/>
      <c r="C1465">
        <f>IF(A1465="","",$C$7)</f>
        <v/>
      </c>
    </row>
    <row r="1466">
      <c r="A1466" s="23" t="n"/>
      <c r="C1466">
        <f>IF(A1466="","",$C$7)</f>
        <v/>
      </c>
    </row>
    <row r="1467">
      <c r="A1467" s="23" t="n"/>
      <c r="C1467">
        <f>IF(A1467="","",$C$7)</f>
        <v/>
      </c>
    </row>
    <row r="1468">
      <c r="A1468" s="23" t="n"/>
      <c r="C1468">
        <f>IF(A1468="","",$C$7)</f>
        <v/>
      </c>
    </row>
    <row r="1469">
      <c r="A1469" s="23" t="n"/>
      <c r="C1469">
        <f>IF(A1469="","",$C$7)</f>
        <v/>
      </c>
    </row>
    <row r="1470">
      <c r="A1470" s="23" t="n"/>
      <c r="C1470">
        <f>IF(A1470="","",$C$7)</f>
        <v/>
      </c>
    </row>
    <row r="1471">
      <c r="A1471" s="23" t="n"/>
      <c r="C1471">
        <f>IF(A1471="","",$C$7)</f>
        <v/>
      </c>
    </row>
    <row r="1472">
      <c r="A1472" s="23" t="n"/>
      <c r="C1472">
        <f>IF(A1472="","",$C$7)</f>
        <v/>
      </c>
    </row>
    <row r="1473">
      <c r="A1473" s="23" t="n"/>
      <c r="C1473">
        <f>IF(A1473="","",$C$7)</f>
        <v/>
      </c>
    </row>
    <row r="1474">
      <c r="A1474" s="23" t="n"/>
      <c r="C1474">
        <f>IF(A1474="","",$C$7)</f>
        <v/>
      </c>
    </row>
    <row r="1475">
      <c r="A1475" s="23" t="n"/>
      <c r="C1475">
        <f>IF(A1475="","",$C$7)</f>
        <v/>
      </c>
    </row>
    <row r="1476">
      <c r="A1476" s="23" t="n"/>
      <c r="C1476">
        <f>IF(A1476="","",$C$7)</f>
        <v/>
      </c>
    </row>
    <row r="1477">
      <c r="A1477" s="23" t="n"/>
      <c r="C1477">
        <f>IF(A1477="","",$C$7)</f>
        <v/>
      </c>
    </row>
    <row r="1478">
      <c r="A1478" s="23" t="n"/>
      <c r="C1478">
        <f>IF(A1478="","",$C$7)</f>
        <v/>
      </c>
    </row>
    <row r="1479">
      <c r="A1479" s="23" t="n"/>
      <c r="C1479">
        <f>IF(A1479="","",$C$7)</f>
        <v/>
      </c>
    </row>
    <row r="1480">
      <c r="A1480" s="23" t="n"/>
      <c r="C1480">
        <f>IF(A1480="","",$C$7)</f>
        <v/>
      </c>
    </row>
    <row r="1481">
      <c r="A1481" s="23" t="n"/>
      <c r="C1481">
        <f>IF(A1481="","",$C$7)</f>
        <v/>
      </c>
    </row>
    <row r="1482">
      <c r="A1482" s="23" t="n"/>
      <c r="C1482">
        <f>IF(A1482="","",$C$7)</f>
        <v/>
      </c>
    </row>
    <row r="1483">
      <c r="A1483" s="23" t="n"/>
      <c r="C1483">
        <f>IF(A1483="","",$C$7)</f>
        <v/>
      </c>
    </row>
    <row r="1484">
      <c r="A1484" s="23" t="n"/>
      <c r="C1484">
        <f>IF(A1484="","",$C$7)</f>
        <v/>
      </c>
    </row>
    <row r="1485">
      <c r="A1485" s="23" t="n"/>
      <c r="C1485">
        <f>IF(A1485="","",$C$7)</f>
        <v/>
      </c>
    </row>
    <row r="1486">
      <c r="A1486" s="23" t="n"/>
      <c r="C1486">
        <f>IF(A1486="","",$C$7)</f>
        <v/>
      </c>
    </row>
    <row r="1487">
      <c r="A1487" s="23" t="n"/>
      <c r="C1487">
        <f>IF(A1487="","",$C$7)</f>
        <v/>
      </c>
    </row>
    <row r="1488">
      <c r="A1488" s="23" t="n"/>
      <c r="C1488">
        <f>IF(A1488="","",$C$7)</f>
        <v/>
      </c>
    </row>
    <row r="1489">
      <c r="A1489" s="23" t="n"/>
      <c r="C1489">
        <f>IF(A1489="","",$C$7)</f>
        <v/>
      </c>
    </row>
    <row r="1490">
      <c r="A1490" s="23" t="n"/>
      <c r="C1490">
        <f>IF(A1490="","",$C$7)</f>
        <v/>
      </c>
    </row>
    <row r="1491">
      <c r="A1491" s="23" t="n"/>
      <c r="C1491">
        <f>IF(A1491="","",$C$7)</f>
        <v/>
      </c>
    </row>
    <row r="1492">
      <c r="A1492" s="23" t="n"/>
      <c r="C1492">
        <f>IF(A1492="","",$C$7)</f>
        <v/>
      </c>
    </row>
    <row r="1493">
      <c r="A1493" s="23" t="n"/>
      <c r="C1493">
        <f>IF(A1493="","",$C$7)</f>
        <v/>
      </c>
    </row>
    <row r="1494">
      <c r="A1494" s="23" t="n"/>
      <c r="C1494">
        <f>IF(A1494="","",$C$7)</f>
        <v/>
      </c>
    </row>
    <row r="1495">
      <c r="A1495" s="23" t="n"/>
      <c r="C1495">
        <f>IF(A1495="","",$C$7)</f>
        <v/>
      </c>
    </row>
    <row r="1496">
      <c r="A1496" s="23" t="n"/>
      <c r="C1496">
        <f>IF(A1496="","",$C$7)</f>
        <v/>
      </c>
    </row>
    <row r="1497">
      <c r="A1497" s="23" t="n"/>
      <c r="C1497">
        <f>IF(A1497="","",$C$7)</f>
        <v/>
      </c>
    </row>
    <row r="1498">
      <c r="A1498" s="23" t="n"/>
      <c r="C1498">
        <f>IF(A1498="","",$C$7)</f>
        <v/>
      </c>
    </row>
    <row r="1499">
      <c r="A1499" s="23" t="n"/>
      <c r="C1499">
        <f>IF(A1499="","",$C$7)</f>
        <v/>
      </c>
    </row>
    <row r="1500">
      <c r="A1500" s="23" t="n"/>
      <c r="C1500">
        <f>IF(A1500="","",$C$7)</f>
        <v/>
      </c>
    </row>
    <row r="1501">
      <c r="A1501" s="23" t="n"/>
      <c r="C1501">
        <f>IF(A1501="","",$C$7)</f>
        <v/>
      </c>
    </row>
    <row r="1502">
      <c r="A1502" s="23" t="n"/>
      <c r="C1502">
        <f>IF(A1502="","",$C$7)</f>
        <v/>
      </c>
    </row>
    <row r="1503">
      <c r="A1503" s="23" t="n"/>
      <c r="C1503">
        <f>IF(A1503="","",$C$7)</f>
        <v/>
      </c>
    </row>
    <row r="1504">
      <c r="A1504" s="23" t="n"/>
      <c r="C1504">
        <f>IF(A1504="","",$C$7)</f>
        <v/>
      </c>
    </row>
    <row r="1505">
      <c r="A1505" s="23" t="n"/>
      <c r="C1505">
        <f>IF(A1505="","",$C$7)</f>
        <v/>
      </c>
    </row>
    <row r="1506">
      <c r="A1506" s="23" t="n"/>
      <c r="C1506">
        <f>IF(A1506="","",$C$7)</f>
        <v/>
      </c>
    </row>
    <row r="1507">
      <c r="A1507" s="23" t="n"/>
      <c r="C1507">
        <f>IF(A1507="","",$C$7)</f>
        <v/>
      </c>
    </row>
    <row r="1508">
      <c r="A1508" s="23" t="n"/>
      <c r="C1508">
        <f>IF(A1508="","",$C$7)</f>
        <v/>
      </c>
    </row>
    <row r="1509">
      <c r="A1509" s="23" t="n"/>
      <c r="C1509">
        <f>IF(A1509="","",$C$7)</f>
        <v/>
      </c>
    </row>
    <row r="1510">
      <c r="A1510" s="23" t="n"/>
      <c r="C1510">
        <f>IF(A1510="","",$C$7)</f>
        <v/>
      </c>
    </row>
    <row r="1511">
      <c r="A1511" s="23" t="n"/>
      <c r="C1511">
        <f>IF(A1511="","",$C$7)</f>
        <v/>
      </c>
    </row>
    <row r="1512">
      <c r="A1512" s="23" t="n"/>
      <c r="C1512">
        <f>IF(A1512="","",$C$7)</f>
        <v/>
      </c>
    </row>
    <row r="1513">
      <c r="A1513" s="23" t="n"/>
      <c r="C1513">
        <f>IF(A1513="","",$C$7)</f>
        <v/>
      </c>
    </row>
    <row r="1514">
      <c r="A1514" s="23" t="n"/>
      <c r="C1514">
        <f>IF(A1514="","",$C$7)</f>
        <v/>
      </c>
    </row>
    <row r="1515">
      <c r="A1515" s="23" t="n"/>
      <c r="C1515">
        <f>IF(A1515="","",$C$7)</f>
        <v/>
      </c>
    </row>
    <row r="1516">
      <c r="A1516" s="23" t="n"/>
      <c r="C1516">
        <f>IF(A1516="","",$C$7)</f>
        <v/>
      </c>
    </row>
    <row r="1517">
      <c r="A1517" s="23" t="n"/>
      <c r="C1517">
        <f>IF(A1517="","",$C$7)</f>
        <v/>
      </c>
    </row>
    <row r="1518">
      <c r="A1518" s="23" t="n"/>
      <c r="C1518">
        <f>IF(A1518="","",$C$7)</f>
        <v/>
      </c>
    </row>
    <row r="1519">
      <c r="A1519" s="23" t="n"/>
      <c r="C1519">
        <f>IF(A1519="","",$C$7)</f>
        <v/>
      </c>
    </row>
    <row r="1520">
      <c r="A1520" s="23" t="n"/>
      <c r="C1520">
        <f>IF(A1520="","",$C$7)</f>
        <v/>
      </c>
    </row>
    <row r="1521">
      <c r="A1521" s="23" t="n"/>
      <c r="C1521">
        <f>IF(A1521="","",$C$7)</f>
        <v/>
      </c>
    </row>
    <row r="1522">
      <c r="A1522" s="23" t="n"/>
      <c r="C1522">
        <f>IF(A1522="","",$C$7)</f>
        <v/>
      </c>
    </row>
    <row r="1523">
      <c r="A1523" s="23" t="n"/>
      <c r="C1523">
        <f>IF(A1523="","",$C$7)</f>
        <v/>
      </c>
    </row>
    <row r="1524">
      <c r="A1524" s="23" t="n"/>
      <c r="C1524">
        <f>IF(A1524="","",$C$7)</f>
        <v/>
      </c>
    </row>
    <row r="1525">
      <c r="A1525" s="23" t="n"/>
      <c r="C1525">
        <f>IF(A1525="","",$C$7)</f>
        <v/>
      </c>
    </row>
    <row r="1526">
      <c r="A1526" s="23" t="n"/>
      <c r="C1526">
        <f>IF(A1526="","",$C$7)</f>
        <v/>
      </c>
    </row>
    <row r="1527">
      <c r="A1527" s="23" t="n"/>
      <c r="C1527">
        <f>IF(A1527="","",$C$7)</f>
        <v/>
      </c>
    </row>
    <row r="1528">
      <c r="A1528" s="23" t="n"/>
      <c r="C1528">
        <f>IF(A1528="","",$C$7)</f>
        <v/>
      </c>
    </row>
    <row r="1529">
      <c r="A1529" s="23" t="n"/>
      <c r="C1529">
        <f>IF(A1529="","",$C$7)</f>
        <v/>
      </c>
    </row>
    <row r="1530">
      <c r="A1530" s="23" t="n"/>
      <c r="C1530">
        <f>IF(A1530="","",$C$7)</f>
        <v/>
      </c>
    </row>
    <row r="1531">
      <c r="A1531" s="23" t="n"/>
      <c r="C1531">
        <f>IF(A1531="","",$C$7)</f>
        <v/>
      </c>
    </row>
    <row r="1532">
      <c r="A1532" s="23" t="n"/>
      <c r="C1532">
        <f>IF(A1532="","",$C$7)</f>
        <v/>
      </c>
    </row>
    <row r="1533">
      <c r="A1533" s="23" t="n"/>
      <c r="C1533">
        <f>IF(A1533="","",$C$7)</f>
        <v/>
      </c>
    </row>
    <row r="1534">
      <c r="A1534" s="23" t="n"/>
      <c r="C1534">
        <f>IF(A1534="","",$C$7)</f>
        <v/>
      </c>
    </row>
    <row r="1535">
      <c r="A1535" s="23" t="n"/>
      <c r="C1535">
        <f>IF(A1535="","",$C$7)</f>
        <v/>
      </c>
    </row>
    <row r="1536">
      <c r="A1536" s="23" t="n"/>
      <c r="C1536">
        <f>IF(A1536="","",$C$7)</f>
        <v/>
      </c>
    </row>
    <row r="1537">
      <c r="A1537" s="23" t="n"/>
      <c r="C1537">
        <f>IF(A1537="","",$C$7)</f>
        <v/>
      </c>
    </row>
    <row r="1538">
      <c r="A1538" s="23" t="n"/>
      <c r="C1538">
        <f>IF(A1538="","",$C$7)</f>
        <v/>
      </c>
    </row>
    <row r="1539">
      <c r="A1539" s="23" t="n"/>
      <c r="C1539">
        <f>IF(A1539="","",$C$7)</f>
        <v/>
      </c>
    </row>
    <row r="1540">
      <c r="A1540" s="23" t="n"/>
      <c r="C1540">
        <f>IF(A1540="","",$C$7)</f>
        <v/>
      </c>
    </row>
    <row r="1541">
      <c r="A1541" s="23" t="n"/>
      <c r="C1541">
        <f>IF(A1541="","",$C$7)</f>
        <v/>
      </c>
    </row>
    <row r="1542">
      <c r="A1542" s="23" t="n"/>
      <c r="C1542">
        <f>IF(A1542="","",$C$7)</f>
        <v/>
      </c>
    </row>
    <row r="1543">
      <c r="A1543" s="23" t="n"/>
      <c r="C1543">
        <f>IF(A1543="","",$C$7)</f>
        <v/>
      </c>
    </row>
    <row r="1544">
      <c r="A1544" s="23" t="n"/>
      <c r="C1544">
        <f>IF(A1544="","",$C$7)</f>
        <v/>
      </c>
    </row>
    <row r="1545">
      <c r="A1545" s="23" t="n"/>
      <c r="C1545">
        <f>IF(A1545="","",$C$7)</f>
        <v/>
      </c>
    </row>
    <row r="1546">
      <c r="A1546" s="23" t="n"/>
      <c r="C1546">
        <f>IF(A1546="","",$C$7)</f>
        <v/>
      </c>
    </row>
    <row r="1547">
      <c r="A1547" s="23" t="n"/>
      <c r="C1547">
        <f>IF(A1547="","",$C$7)</f>
        <v/>
      </c>
    </row>
    <row r="1548">
      <c r="A1548" s="23" t="n"/>
      <c r="C1548">
        <f>IF(A1548="","",$C$7)</f>
        <v/>
      </c>
    </row>
    <row r="1549">
      <c r="A1549" s="23" t="n"/>
      <c r="C1549">
        <f>IF(A1549="","",$C$7)</f>
        <v/>
      </c>
    </row>
    <row r="1550">
      <c r="A1550" s="23" t="n"/>
      <c r="C1550">
        <f>IF(A1550="","",$C$7)</f>
        <v/>
      </c>
    </row>
    <row r="1551">
      <c r="A1551" s="23" t="n"/>
      <c r="C1551">
        <f>IF(A1551="","",$C$7)</f>
        <v/>
      </c>
    </row>
    <row r="1552">
      <c r="A1552" s="23" t="n"/>
      <c r="C1552">
        <f>IF(A1552="","",$C$7)</f>
        <v/>
      </c>
    </row>
    <row r="1553">
      <c r="A1553" s="23" t="n"/>
      <c r="C1553">
        <f>IF(A1553="","",$C$7)</f>
        <v/>
      </c>
    </row>
    <row r="1554">
      <c r="A1554" s="23" t="n"/>
      <c r="C1554">
        <f>IF(A1554="","",$C$7)</f>
        <v/>
      </c>
    </row>
    <row r="1555">
      <c r="A1555" s="23" t="n"/>
      <c r="C1555">
        <f>IF(A1555="","",$C$7)</f>
        <v/>
      </c>
    </row>
    <row r="1556">
      <c r="A1556" s="23" t="n"/>
      <c r="C1556">
        <f>IF(A1556="","",$C$7)</f>
        <v/>
      </c>
    </row>
    <row r="1557">
      <c r="A1557" s="23" t="n"/>
      <c r="C1557">
        <f>IF(A1557="","",$C$7)</f>
        <v/>
      </c>
    </row>
    <row r="1558">
      <c r="A1558" s="23" t="n"/>
      <c r="C1558">
        <f>IF(A1558="","",$C$7)</f>
        <v/>
      </c>
    </row>
    <row r="1559">
      <c r="A1559" s="23" t="n"/>
      <c r="C1559">
        <f>IF(A1559="","",$C$7)</f>
        <v/>
      </c>
    </row>
    <row r="1560">
      <c r="A1560" s="23" t="n"/>
      <c r="C1560">
        <f>IF(A1560="","",$C$7)</f>
        <v/>
      </c>
    </row>
    <row r="1561">
      <c r="A1561" s="23" t="n"/>
      <c r="C1561">
        <f>IF(A1561="","",$C$7)</f>
        <v/>
      </c>
    </row>
    <row r="1562">
      <c r="A1562" s="23" t="n"/>
      <c r="C1562">
        <f>IF(A1562="","",$C$7)</f>
        <v/>
      </c>
    </row>
    <row r="1563">
      <c r="A1563" s="23" t="n"/>
      <c r="C1563">
        <f>IF(A1563="","",$C$7)</f>
        <v/>
      </c>
    </row>
    <row r="1564">
      <c r="A1564" s="23" t="n"/>
      <c r="C1564">
        <f>IF(A1564="","",$C$7)</f>
        <v/>
      </c>
    </row>
    <row r="1565">
      <c r="A1565" s="23" t="n"/>
      <c r="C1565">
        <f>IF(A1565="","",$C$7)</f>
        <v/>
      </c>
    </row>
    <row r="1566">
      <c r="A1566" s="23" t="n"/>
      <c r="C1566">
        <f>IF(A1566="","",$C$7)</f>
        <v/>
      </c>
    </row>
    <row r="1567">
      <c r="A1567" s="23" t="n"/>
      <c r="C1567">
        <f>IF(A1567="","",$C$7)</f>
        <v/>
      </c>
    </row>
    <row r="1568">
      <c r="A1568" s="23" t="n"/>
      <c r="C1568">
        <f>IF(A1568="","",$C$7)</f>
        <v/>
      </c>
    </row>
    <row r="1569">
      <c r="A1569" s="23" t="n"/>
      <c r="C1569">
        <f>IF(A1569="","",$C$7)</f>
        <v/>
      </c>
    </row>
    <row r="1570">
      <c r="A1570" s="23" t="n"/>
      <c r="C1570">
        <f>IF(A1570="","",$C$7)</f>
        <v/>
      </c>
    </row>
    <row r="1571">
      <c r="A1571" s="23" t="n"/>
      <c r="C1571">
        <f>IF(A1571="","",$C$7)</f>
        <v/>
      </c>
    </row>
    <row r="1572">
      <c r="A1572" s="23" t="n"/>
      <c r="C1572">
        <f>IF(A1572="","",$C$7)</f>
        <v/>
      </c>
    </row>
    <row r="1573">
      <c r="A1573" s="23" t="n"/>
      <c r="C1573">
        <f>IF(A1573="","",$C$7)</f>
        <v/>
      </c>
    </row>
    <row r="1574">
      <c r="A1574" s="23" t="n"/>
      <c r="C1574">
        <f>IF(A1574="","",$C$7)</f>
        <v/>
      </c>
    </row>
    <row r="1575">
      <c r="A1575" s="23" t="n"/>
      <c r="C1575">
        <f>IF(A1575="","",$C$7)</f>
        <v/>
      </c>
    </row>
    <row r="1576">
      <c r="A1576" s="23" t="n"/>
      <c r="C1576">
        <f>IF(A1576="","",$C$7)</f>
        <v/>
      </c>
    </row>
    <row r="1577">
      <c r="A1577" s="23" t="n"/>
      <c r="C1577">
        <f>IF(A1577="","",$C$7)</f>
        <v/>
      </c>
    </row>
    <row r="1578">
      <c r="A1578" s="23" t="n"/>
      <c r="C1578">
        <f>IF(A1578="","",$C$7)</f>
        <v/>
      </c>
    </row>
    <row r="1579">
      <c r="A1579" s="23" t="n"/>
      <c r="C1579">
        <f>IF(A1579="","",$C$7)</f>
        <v/>
      </c>
    </row>
    <row r="1580">
      <c r="A1580" s="23" t="n"/>
      <c r="C1580">
        <f>IF(A1580="","",$C$7)</f>
        <v/>
      </c>
    </row>
    <row r="1581">
      <c r="A1581" s="23" t="n"/>
      <c r="C1581">
        <f>IF(A1581="","",$C$7)</f>
        <v/>
      </c>
    </row>
    <row r="1582">
      <c r="A1582" s="23" t="n"/>
      <c r="C1582">
        <f>IF(A1582="","",$C$7)</f>
        <v/>
      </c>
    </row>
    <row r="1583">
      <c r="A1583" s="23" t="n"/>
      <c r="C1583">
        <f>IF(A1583="","",$C$7)</f>
        <v/>
      </c>
    </row>
    <row r="1584">
      <c r="A1584" s="23" t="n"/>
      <c r="C1584">
        <f>IF(A1584="","",$C$7)</f>
        <v/>
      </c>
    </row>
    <row r="1585">
      <c r="A1585" s="23" t="n"/>
      <c r="C1585">
        <f>IF(A1585="","",$C$7)</f>
        <v/>
      </c>
    </row>
    <row r="1586">
      <c r="A1586" s="23" t="n"/>
      <c r="C1586">
        <f>IF(A1586="","",$C$7)</f>
        <v/>
      </c>
    </row>
    <row r="1587">
      <c r="A1587" s="23" t="n"/>
      <c r="C1587">
        <f>IF(A1587="","",$C$7)</f>
        <v/>
      </c>
    </row>
    <row r="1588">
      <c r="A1588" s="23" t="n"/>
      <c r="C1588">
        <f>IF(A1588="","",$C$7)</f>
        <v/>
      </c>
    </row>
    <row r="1589">
      <c r="A1589" s="23" t="n"/>
      <c r="C1589">
        <f>IF(A1589="","",$C$7)</f>
        <v/>
      </c>
    </row>
    <row r="1590">
      <c r="A1590" s="23" t="n"/>
      <c r="C1590">
        <f>IF(A1590="","",$C$7)</f>
        <v/>
      </c>
    </row>
    <row r="1591">
      <c r="A1591" s="23" t="n"/>
      <c r="C1591">
        <f>IF(A1591="","",$C$7)</f>
        <v/>
      </c>
    </row>
    <row r="1592">
      <c r="A1592" s="23" t="n"/>
      <c r="C1592">
        <f>IF(A1592="","",$C$7)</f>
        <v/>
      </c>
    </row>
    <row r="1593">
      <c r="A1593" s="23" t="n"/>
      <c r="C1593">
        <f>IF(A1593="","",$C$7)</f>
        <v/>
      </c>
    </row>
    <row r="1594">
      <c r="A1594" s="23" t="n"/>
      <c r="C1594">
        <f>IF(A1594="","",$C$7)</f>
        <v/>
      </c>
    </row>
    <row r="1595">
      <c r="A1595" s="23" t="n"/>
      <c r="C1595">
        <f>IF(A1595="","",$C$7)</f>
        <v/>
      </c>
    </row>
    <row r="1596">
      <c r="A1596" s="23" t="n"/>
      <c r="C1596">
        <f>IF(A1596="","",$C$7)</f>
        <v/>
      </c>
    </row>
    <row r="1597">
      <c r="A1597" s="23" t="n"/>
      <c r="C1597">
        <f>IF(A1597="","",$C$7)</f>
        <v/>
      </c>
    </row>
    <row r="1598">
      <c r="A1598" s="23" t="n"/>
      <c r="C1598">
        <f>IF(A1598="","",$C$7)</f>
        <v/>
      </c>
    </row>
    <row r="1599">
      <c r="A1599" s="23" t="n"/>
      <c r="C1599">
        <f>IF(A1599="","",$C$7)</f>
        <v/>
      </c>
    </row>
    <row r="1600">
      <c r="A1600" s="23" t="n"/>
      <c r="C1600">
        <f>IF(A1600="","",$C$7)</f>
        <v/>
      </c>
    </row>
    <row r="1601">
      <c r="A1601" s="23" t="n"/>
      <c r="C1601">
        <f>IF(A1601="","",$C$7)</f>
        <v/>
      </c>
    </row>
    <row r="1602">
      <c r="A1602" s="23" t="n"/>
      <c r="C1602">
        <f>IF(A1602="","",$C$7)</f>
        <v/>
      </c>
    </row>
    <row r="1603">
      <c r="A1603" s="23" t="n"/>
      <c r="C1603">
        <f>IF(A1603="","",$C$7)</f>
        <v/>
      </c>
    </row>
    <row r="1604">
      <c r="A1604" s="23" t="n"/>
      <c r="C1604">
        <f>IF(A1604="","",$C$7)</f>
        <v/>
      </c>
    </row>
    <row r="1605">
      <c r="A1605" s="23" t="n"/>
      <c r="C1605">
        <f>IF(A1605="","",$C$7)</f>
        <v/>
      </c>
    </row>
    <row r="1606">
      <c r="A1606" s="23" t="n"/>
      <c r="C1606">
        <f>IF(A1606="","",$C$7)</f>
        <v/>
      </c>
    </row>
    <row r="1607">
      <c r="A1607" s="23" t="n"/>
      <c r="C1607">
        <f>IF(A1607="","",$C$7)</f>
        <v/>
      </c>
    </row>
    <row r="1608">
      <c r="A1608" s="23" t="n"/>
      <c r="C1608">
        <f>IF(A1608="","",$C$7)</f>
        <v/>
      </c>
    </row>
    <row r="1609">
      <c r="A1609" s="23" t="n"/>
      <c r="C1609">
        <f>IF(A1609="","",$C$7)</f>
        <v/>
      </c>
    </row>
    <row r="1610">
      <c r="A1610" s="23" t="n"/>
      <c r="C1610">
        <f>IF(A1610="","",$C$7)</f>
        <v/>
      </c>
    </row>
    <row r="1611">
      <c r="A1611" s="23" t="n"/>
      <c r="C1611">
        <f>IF(A1611="","",$C$7)</f>
        <v/>
      </c>
    </row>
    <row r="1612">
      <c r="A1612" s="23" t="n"/>
      <c r="C1612">
        <f>IF(A1612="","",$C$7)</f>
        <v/>
      </c>
    </row>
    <row r="1613">
      <c r="A1613" s="23" t="n"/>
      <c r="C1613">
        <f>IF(A1613="","",$C$7)</f>
        <v/>
      </c>
    </row>
    <row r="1614">
      <c r="A1614" s="23" t="n"/>
      <c r="C1614">
        <f>IF(A1614="","",$C$7)</f>
        <v/>
      </c>
    </row>
    <row r="1615">
      <c r="A1615" s="23" t="n"/>
      <c r="C1615">
        <f>IF(A1615="","",$C$7)</f>
        <v/>
      </c>
    </row>
    <row r="1616">
      <c r="A1616" s="23" t="n"/>
      <c r="C1616">
        <f>IF(A1616="","",$C$7)</f>
        <v/>
      </c>
    </row>
    <row r="1617">
      <c r="A1617" s="23" t="n"/>
      <c r="C1617">
        <f>IF(A1617="","",$C$7)</f>
        <v/>
      </c>
    </row>
    <row r="1618">
      <c r="A1618" s="23" t="n"/>
      <c r="C1618">
        <f>IF(A1618="","",$C$7)</f>
        <v/>
      </c>
    </row>
    <row r="1619">
      <c r="A1619" s="23" t="n"/>
      <c r="C1619">
        <f>IF(A1619="","",$C$7)</f>
        <v/>
      </c>
    </row>
    <row r="1620">
      <c r="A1620" s="23" t="n"/>
      <c r="C1620">
        <f>IF(A1620="","",$C$7)</f>
        <v/>
      </c>
    </row>
    <row r="1621">
      <c r="A1621" s="23" t="n"/>
      <c r="C1621">
        <f>IF(A1621="","",$C$7)</f>
        <v/>
      </c>
    </row>
    <row r="1622">
      <c r="A1622" s="23" t="n"/>
      <c r="C1622">
        <f>IF(A1622="","",$C$7)</f>
        <v/>
      </c>
    </row>
    <row r="1623">
      <c r="A1623" s="23" t="n"/>
      <c r="C1623">
        <f>IF(A1623="","",$C$7)</f>
        <v/>
      </c>
    </row>
    <row r="1624">
      <c r="A1624" s="23" t="n"/>
      <c r="C1624">
        <f>IF(A1624="","",$C$7)</f>
        <v/>
      </c>
    </row>
    <row r="1625">
      <c r="A1625" s="23" t="n"/>
      <c r="C1625">
        <f>IF(A1625="","",$C$7)</f>
        <v/>
      </c>
    </row>
    <row r="1626">
      <c r="A1626" s="23" t="n"/>
      <c r="C1626">
        <f>IF(A1626="","",$C$7)</f>
        <v/>
      </c>
    </row>
    <row r="1627">
      <c r="A1627" s="23" t="n"/>
      <c r="C1627">
        <f>IF(A1627="","",$C$7)</f>
        <v/>
      </c>
    </row>
    <row r="1628">
      <c r="A1628" s="23" t="n"/>
      <c r="C1628">
        <f>IF(A1628="","",$C$7)</f>
        <v/>
      </c>
    </row>
    <row r="1629">
      <c r="A1629" s="23" t="n"/>
      <c r="C1629">
        <f>IF(A1629="","",$C$7)</f>
        <v/>
      </c>
    </row>
    <row r="1630">
      <c r="A1630" s="23" t="n"/>
      <c r="C1630">
        <f>IF(A1630="","",$C$7)</f>
        <v/>
      </c>
    </row>
    <row r="1631">
      <c r="A1631" s="23" t="n"/>
      <c r="C1631">
        <f>IF(A1631="","",$C$7)</f>
        <v/>
      </c>
    </row>
    <row r="1632">
      <c r="A1632" s="23" t="n"/>
      <c r="C1632">
        <f>IF(A1632="","",$C$7)</f>
        <v/>
      </c>
    </row>
    <row r="1633">
      <c r="A1633" s="23" t="n"/>
      <c r="C1633">
        <f>IF(A1633="","",$C$7)</f>
        <v/>
      </c>
    </row>
    <row r="1634">
      <c r="A1634" s="23" t="n"/>
      <c r="C1634">
        <f>IF(A1634="","",$C$7)</f>
        <v/>
      </c>
    </row>
    <row r="1635">
      <c r="A1635" s="23" t="n"/>
      <c r="C1635">
        <f>IF(A1635="","",$C$7)</f>
        <v/>
      </c>
    </row>
    <row r="1636">
      <c r="A1636" s="23" t="n"/>
      <c r="C1636">
        <f>IF(A1636="","",$C$7)</f>
        <v/>
      </c>
    </row>
    <row r="1637">
      <c r="A1637" s="23" t="n"/>
      <c r="C1637">
        <f>IF(A1637="","",$C$7)</f>
        <v/>
      </c>
    </row>
    <row r="1638">
      <c r="A1638" s="23" t="n"/>
      <c r="C1638">
        <f>IF(A1638="","",$C$7)</f>
        <v/>
      </c>
    </row>
    <row r="1639">
      <c r="A1639" s="23" t="n"/>
      <c r="C1639">
        <f>IF(A1639="","",$C$7)</f>
        <v/>
      </c>
    </row>
    <row r="1640">
      <c r="A1640" s="23" t="n"/>
      <c r="C1640">
        <f>IF(A1640="","",$C$7)</f>
        <v/>
      </c>
    </row>
    <row r="1641">
      <c r="A1641" s="23" t="n"/>
      <c r="C1641">
        <f>IF(A1641="","",$C$7)</f>
        <v/>
      </c>
    </row>
    <row r="1642">
      <c r="A1642" s="23" t="n"/>
      <c r="C1642">
        <f>IF(A1642="","",$C$7)</f>
        <v/>
      </c>
    </row>
    <row r="1643">
      <c r="A1643" s="23" t="n"/>
      <c r="C1643">
        <f>IF(A1643="","",$C$7)</f>
        <v/>
      </c>
    </row>
    <row r="1644">
      <c r="A1644" s="23" t="n"/>
      <c r="C1644">
        <f>IF(A1644="","",$C$7)</f>
        <v/>
      </c>
    </row>
    <row r="1645">
      <c r="A1645" s="23" t="n"/>
      <c r="C1645">
        <f>IF(A1645="","",$C$7)</f>
        <v/>
      </c>
    </row>
    <row r="1646">
      <c r="A1646" s="23" t="n"/>
      <c r="C1646">
        <f>IF(A1646="","",$C$7)</f>
        <v/>
      </c>
    </row>
    <row r="1647">
      <c r="A1647" s="23" t="n"/>
      <c r="C1647">
        <f>IF(A1647="","",$C$7)</f>
        <v/>
      </c>
    </row>
    <row r="1648">
      <c r="A1648" s="23" t="n"/>
      <c r="C1648">
        <f>IF(A1648="","",$C$7)</f>
        <v/>
      </c>
    </row>
    <row r="1649">
      <c r="A1649" s="23" t="n"/>
      <c r="C1649">
        <f>IF(A1649="","",$C$7)</f>
        <v/>
      </c>
    </row>
    <row r="1650">
      <c r="A1650" s="23" t="n"/>
      <c r="C1650">
        <f>IF(A1650="","",$C$7)</f>
        <v/>
      </c>
    </row>
    <row r="1651">
      <c r="A1651" s="23" t="n"/>
      <c r="C1651">
        <f>IF(A1651="","",$C$7)</f>
        <v/>
      </c>
    </row>
    <row r="1652">
      <c r="A1652" s="23" t="n"/>
      <c r="C1652">
        <f>IF(A1652="","",$C$7)</f>
        <v/>
      </c>
    </row>
    <row r="1653">
      <c r="A1653" s="23" t="n"/>
      <c r="C1653">
        <f>IF(A1653="","",$C$7)</f>
        <v/>
      </c>
    </row>
    <row r="1654">
      <c r="A1654" s="23" t="n"/>
      <c r="C1654">
        <f>IF(A1654="","",$C$7)</f>
        <v/>
      </c>
    </row>
    <row r="1655">
      <c r="A1655" s="23" t="n"/>
      <c r="C1655">
        <f>IF(A1655="","",$C$7)</f>
        <v/>
      </c>
    </row>
    <row r="1656">
      <c r="A1656" s="23" t="n"/>
      <c r="C1656">
        <f>IF(A1656="","",$C$7)</f>
        <v/>
      </c>
    </row>
    <row r="1657">
      <c r="A1657" s="23" t="n"/>
      <c r="C1657">
        <f>IF(A1657="","",$C$7)</f>
        <v/>
      </c>
    </row>
    <row r="1658">
      <c r="A1658" s="23" t="n"/>
      <c r="C1658">
        <f>IF(A1658="","",$C$7)</f>
        <v/>
      </c>
    </row>
    <row r="1659">
      <c r="A1659" s="23" t="n"/>
      <c r="C1659">
        <f>IF(A1659="","",$C$7)</f>
        <v/>
      </c>
    </row>
    <row r="1660">
      <c r="A1660" s="23" t="n"/>
      <c r="C1660">
        <f>IF(A1660="","",$C$7)</f>
        <v/>
      </c>
    </row>
    <row r="1661">
      <c r="A1661" s="23" t="n"/>
      <c r="C1661">
        <f>IF(A1661="","",$C$7)</f>
        <v/>
      </c>
    </row>
    <row r="1662">
      <c r="A1662" s="23" t="n"/>
      <c r="C1662">
        <f>IF(A1662="","",$C$7)</f>
        <v/>
      </c>
    </row>
    <row r="1663">
      <c r="A1663" s="23" t="n"/>
      <c r="C1663">
        <f>IF(A1663="","",$C$7)</f>
        <v/>
      </c>
    </row>
    <row r="1664">
      <c r="A1664" s="23" t="n"/>
      <c r="C1664">
        <f>IF(A1664="","",$C$7)</f>
        <v/>
      </c>
    </row>
    <row r="1665">
      <c r="A1665" s="23" t="n"/>
      <c r="C1665">
        <f>IF(A1665="","",$C$7)</f>
        <v/>
      </c>
    </row>
  </sheetData>
  <pageMargins left="0.75" right="0.75" top="1" bottom="1" header="0.5" footer="0.5"/>
  <drawing xmlns:r="http://schemas.openxmlformats.org/officeDocument/2006/relationships" r:id="rId1"/>
</worksheet>
</file>

<file path=xl/worksheets/sheet6.xml><?xml version="1.0" encoding="utf-8"?>
<worksheet xmlns="http://schemas.openxmlformats.org/spreadsheetml/2006/main">
  <sheetPr>
    <outlinePr summaryBelow="1" summaryRight="1"/>
    <pageSetUpPr/>
  </sheetPr>
  <dimension ref="A1:Z816"/>
  <sheetViews>
    <sheetView showGridLines="0" workbookViewId="0">
      <pane ySplit="4" topLeftCell="A5" activePane="bottomLeft" state="frozen"/>
      <selection pane="bottomLeft" activeCell="A1" sqref="A1"/>
    </sheetView>
  </sheetViews>
  <sheetFormatPr baseColWidth="8" defaultRowHeight="15"/>
  <cols>
    <col width="12" customWidth="1" min="1" max="1"/>
    <col width="20" customWidth="1" min="2" max="2"/>
    <col width="13" customWidth="1" min="3" max="3"/>
    <col width="13" customWidth="1" min="4" max="4"/>
  </cols>
  <sheetData>
    <row r="1">
      <c r="A1" s="1" t="inlineStr">
        <is>
          <t>Realised vol vs VIX — §3.4</t>
        </is>
      </c>
    </row>
    <row r="2">
      <c r="A2" s="2" t="inlineStr">
        <is>
          <t>One chart proving 'size positions off realised vol, not off VIX at 16.'</t>
        </is>
      </c>
    </row>
    <row r="3" ht="4" customHeight="1">
      <c r="A3" s="3" t="n"/>
      <c r="B3" s="3" t="n"/>
      <c r="C3" s="3" t="n"/>
      <c r="D3" s="3" t="n"/>
      <c r="E3" s="3" t="n"/>
      <c r="F3" s="3" t="n"/>
      <c r="G3" s="3" t="n"/>
      <c r="H3" s="3" t="n"/>
    </row>
    <row r="5" ht="18" customHeight="1">
      <c r="A5" s="4" t="inlineStr">
        <is>
          <t>Measure</t>
        </is>
      </c>
      <c r="B5" s="4" t="inlineStr">
        <is>
          <t>Ticker</t>
        </is>
      </c>
      <c r="C5" s="4" t="inlineStr">
        <is>
          <t>Field</t>
        </is>
      </c>
      <c r="D5" s="4" t="inlineStr">
        <is>
          <t>Value</t>
        </is>
      </c>
    </row>
    <row r="6">
      <c r="A6" s="13" t="inlineStr">
        <is>
          <t>KOSPI 200 realised vol, 30d</t>
        </is>
      </c>
      <c r="B6" s="14" t="inlineStr">
        <is>
          <t>KOSPI2 Index</t>
        </is>
      </c>
      <c r="C6" s="14" t="inlineStr">
        <is>
          <t>VOLATILITY_30D</t>
        </is>
      </c>
      <c r="D6" s="32">
        <f>BDP($B6,$C6)</f>
        <v/>
      </c>
    </row>
    <row r="7">
      <c r="A7" s="13" t="inlineStr">
        <is>
          <t>KOSPI 200 realised vol, 90d</t>
        </is>
      </c>
      <c r="B7" s="14" t="inlineStr">
        <is>
          <t>KOSPI2 Index</t>
        </is>
      </c>
      <c r="C7" s="14" t="inlineStr">
        <is>
          <t>VOLATILITY_90D</t>
        </is>
      </c>
      <c r="D7" s="32">
        <f>BDP($B7,$C7)</f>
        <v/>
      </c>
    </row>
    <row r="8">
      <c r="A8" s="13" t="inlineStr">
        <is>
          <t>VKOSPI (implied)</t>
        </is>
      </c>
      <c r="B8" s="14" t="inlineStr">
        <is>
          <t>VKOSPI Index</t>
        </is>
      </c>
      <c r="C8" s="14" t="inlineStr">
        <is>
          <t>PX_LAST</t>
        </is>
      </c>
      <c r="D8" s="32">
        <f>BDP($B8,$C8)</f>
        <v/>
      </c>
    </row>
    <row r="9">
      <c r="A9" s="13" t="inlineStr">
        <is>
          <t>S&amp;P 500 realised vol, 30d</t>
        </is>
      </c>
      <c r="B9" s="14" t="inlineStr">
        <is>
          <t>SPX Index</t>
        </is>
      </c>
      <c r="C9" s="14" t="inlineStr">
        <is>
          <t>VOLATILITY_30D</t>
        </is>
      </c>
      <c r="D9" s="32">
        <f>BDP($B9,$C9)</f>
        <v/>
      </c>
    </row>
    <row r="10">
      <c r="A10" s="13" t="inlineStr">
        <is>
          <t>VIX (implied)</t>
        </is>
      </c>
      <c r="B10" s="14" t="inlineStr">
        <is>
          <t>VIX Index</t>
        </is>
      </c>
      <c r="C10" s="14" t="inlineStr">
        <is>
          <t>PX_LAST</t>
        </is>
      </c>
      <c r="D10" s="32">
        <f>BDP($B10,$C10)</f>
        <v/>
      </c>
    </row>
    <row r="11">
      <c r="A11" s="13" t="inlineStr">
        <is>
          <t>Nikkei realised vol, 30d</t>
        </is>
      </c>
      <c r="B11" s="14" t="inlineStr">
        <is>
          <t>NKY Index</t>
        </is>
      </c>
      <c r="C11" s="14" t="inlineStr">
        <is>
          <t>VOLATILITY_30D</t>
        </is>
      </c>
      <c r="D11" s="32">
        <f>BDP($B11,$C11)</f>
        <v/>
      </c>
    </row>
    <row r="12">
      <c r="A12" s="13" t="inlineStr">
        <is>
          <t>VNKY (implied)</t>
        </is>
      </c>
      <c r="B12" s="14" t="inlineStr">
        <is>
          <t>VNKY Index</t>
        </is>
      </c>
      <c r="C12" s="14" t="inlineStr">
        <is>
          <t>PX_LAST</t>
        </is>
      </c>
      <c r="D12" s="32">
        <f>BDP($B12,$C12)</f>
        <v/>
      </c>
    </row>
    <row r="13">
      <c r="R13" s="12" t="inlineStr">
        <is>
          <t>Staging — one BQL call per security. Each spills DATE and value; the working columns on the left look them up by date. Blocks: R = KOSPI 200 realised 30d (BDH) · V = VKOSPI · Z = VIX.  If a block comes back with an extra ID column, shift that block's value column by one — nothing else needs to change.</t>
        </is>
      </c>
    </row>
    <row r="14">
      <c r="A14" s="9" t="inlineStr">
        <is>
          <t>Date alignment check</t>
        </is>
      </c>
      <c r="C14" s="9">
        <f>IFERROR(SUMPRODUCT(--($R$17:$R$817&lt;&gt;"")*($V$17:$V$817&lt;&gt;"")*($R$17:$R$817&lt;&gt;$V$17:$V$817))+SUMPRODUCT(--($R$17:$R$817&lt;&gt;"")*($Z$17:$Z$817&lt;&gt;"")*($R$17:$R$817&lt;&gt;$Z$17:$Z$817)),"")</f>
        <v/>
      </c>
      <c r="D14" s="2">
        <f>IF(C14="","",IF(C14=0,"OK — blocks are row-aligned","MISALIGNED: "&amp;C14&amp;" rows differ. Do not use these numbers; switch the value columns to INDEX/MATCH on the date."))</f>
        <v/>
      </c>
    </row>
    <row r="15">
      <c r="A15" s="9" t="inlineStr">
        <is>
          <t>History — realised vs implied, this year</t>
        </is>
      </c>
    </row>
    <row r="16" ht="18" customHeight="1">
      <c r="A16" s="4" t="inlineStr">
        <is>
          <t>Date</t>
        </is>
      </c>
      <c r="B16" s="4" t="inlineStr">
        <is>
          <t>KOSPI2 30d realised</t>
        </is>
      </c>
      <c r="C16" s="4" t="inlineStr">
        <is>
          <t>VKOSPI</t>
        </is>
      </c>
      <c r="D16" s="4" t="inlineStr">
        <is>
          <t>VIX</t>
        </is>
      </c>
      <c r="R16" s="10">
        <f>BDH("KOSPI2 Index","VOLATILITY_30D",StartWar,AsOf,"Dir=V","Sort=A","Fill=P")</f>
        <v/>
      </c>
      <c r="V16" s="10">
        <f>BQL("VKOSPI Index","px_last(dates=range("&amp;TEXT(StartWar,"yyyy-mm-dd")&amp;","&amp;TEXT(AsOf,"yyyy-mm-dd")&amp;"), fill=prev)")</f>
        <v/>
      </c>
      <c r="Z16" s="10">
        <f>BQL("VIX Index","px_last(dates=range("&amp;TEXT(StartWar,"yyyy-mm-dd")&amp;","&amp;TEXT(AsOf,"yyyy-mm-dd")&amp;"), fill=prev)")</f>
        <v/>
      </c>
    </row>
    <row r="17">
      <c r="A17" s="23">
        <f>IFERROR(INDEX($R$17:$R$817,ROW()-16),"")</f>
        <v/>
      </c>
      <c r="B17">
        <f>IFERROR(INDEX($S$17:$S$817,ROW()-16),"")</f>
        <v/>
      </c>
      <c r="C17">
        <f>IFERROR(INDEX($W$17:$W$817,ROW()-16),"")</f>
        <v/>
      </c>
      <c r="D17">
        <f>IFERROR(INDEX($AA$17:$AA$817,ROW()-16),"")</f>
        <v/>
      </c>
    </row>
    <row r="18">
      <c r="A18" s="23">
        <f>IFERROR(INDEX($R$17:$R$817,ROW()-16),"")</f>
        <v/>
      </c>
      <c r="B18">
        <f>IFERROR(INDEX($S$17:$S$817,ROW()-16),"")</f>
        <v/>
      </c>
      <c r="C18">
        <f>IFERROR(INDEX($W$17:$W$817,ROW()-16),"")</f>
        <v/>
      </c>
      <c r="D18">
        <f>IFERROR(INDEX($AA$17:$AA$817,ROW()-16),"")</f>
        <v/>
      </c>
    </row>
    <row r="19">
      <c r="A19" s="23">
        <f>IFERROR(INDEX($R$17:$R$817,ROW()-16),"")</f>
        <v/>
      </c>
      <c r="B19">
        <f>IFERROR(INDEX($S$17:$S$817,ROW()-16),"")</f>
        <v/>
      </c>
      <c r="C19">
        <f>IFERROR(INDEX($W$17:$W$817,ROW()-16),"")</f>
        <v/>
      </c>
      <c r="D19">
        <f>IFERROR(INDEX($AA$17:$AA$817,ROW()-16),"")</f>
        <v/>
      </c>
    </row>
    <row r="20">
      <c r="A20" s="23">
        <f>IFERROR(INDEX($R$17:$R$817,ROW()-16),"")</f>
        <v/>
      </c>
      <c r="B20">
        <f>IFERROR(INDEX($S$17:$S$817,ROW()-16),"")</f>
        <v/>
      </c>
      <c r="C20">
        <f>IFERROR(INDEX($W$17:$W$817,ROW()-16),"")</f>
        <v/>
      </c>
      <c r="D20">
        <f>IFERROR(INDEX($AA$17:$AA$817,ROW()-16),"")</f>
        <v/>
      </c>
    </row>
    <row r="21">
      <c r="A21" s="23">
        <f>IFERROR(INDEX($R$17:$R$817,ROW()-16),"")</f>
        <v/>
      </c>
      <c r="B21">
        <f>IFERROR(INDEX($S$17:$S$817,ROW()-16),"")</f>
        <v/>
      </c>
      <c r="C21">
        <f>IFERROR(INDEX($W$17:$W$817,ROW()-16),"")</f>
        <v/>
      </c>
      <c r="D21">
        <f>IFERROR(INDEX($AA$17:$AA$817,ROW()-16),"")</f>
        <v/>
      </c>
    </row>
    <row r="22">
      <c r="A22" s="23">
        <f>IFERROR(INDEX($R$17:$R$817,ROW()-16),"")</f>
        <v/>
      </c>
      <c r="B22">
        <f>IFERROR(INDEX($S$17:$S$817,ROW()-16),"")</f>
        <v/>
      </c>
      <c r="C22">
        <f>IFERROR(INDEX($W$17:$W$817,ROW()-16),"")</f>
        <v/>
      </c>
      <c r="D22">
        <f>IFERROR(INDEX($AA$17:$AA$817,ROW()-16),"")</f>
        <v/>
      </c>
    </row>
    <row r="23">
      <c r="A23" s="23">
        <f>IFERROR(INDEX($R$17:$R$817,ROW()-16),"")</f>
        <v/>
      </c>
      <c r="B23">
        <f>IFERROR(INDEX($S$17:$S$817,ROW()-16),"")</f>
        <v/>
      </c>
      <c r="C23">
        <f>IFERROR(INDEX($W$17:$W$817,ROW()-16),"")</f>
        <v/>
      </c>
      <c r="D23">
        <f>IFERROR(INDEX($AA$17:$AA$817,ROW()-16),"")</f>
        <v/>
      </c>
    </row>
    <row r="24">
      <c r="A24" s="23">
        <f>IFERROR(INDEX($R$17:$R$817,ROW()-16),"")</f>
        <v/>
      </c>
      <c r="B24">
        <f>IFERROR(INDEX($S$17:$S$817,ROW()-16),"")</f>
        <v/>
      </c>
      <c r="C24">
        <f>IFERROR(INDEX($W$17:$W$817,ROW()-16),"")</f>
        <v/>
      </c>
      <c r="D24">
        <f>IFERROR(INDEX($AA$17:$AA$817,ROW()-16),"")</f>
        <v/>
      </c>
    </row>
    <row r="25">
      <c r="A25" s="23">
        <f>IFERROR(INDEX($R$17:$R$817,ROW()-16),"")</f>
        <v/>
      </c>
      <c r="B25">
        <f>IFERROR(INDEX($S$17:$S$817,ROW()-16),"")</f>
        <v/>
      </c>
      <c r="C25">
        <f>IFERROR(INDEX($W$17:$W$817,ROW()-16),"")</f>
        <v/>
      </c>
      <c r="D25">
        <f>IFERROR(INDEX($AA$17:$AA$817,ROW()-16),"")</f>
        <v/>
      </c>
    </row>
    <row r="26">
      <c r="A26" s="23">
        <f>IFERROR(INDEX($R$17:$R$817,ROW()-16),"")</f>
        <v/>
      </c>
      <c r="B26">
        <f>IFERROR(INDEX($S$17:$S$817,ROW()-16),"")</f>
        <v/>
      </c>
      <c r="C26">
        <f>IFERROR(INDEX($W$17:$W$817,ROW()-16),"")</f>
        <v/>
      </c>
      <c r="D26">
        <f>IFERROR(INDEX($AA$17:$AA$817,ROW()-16),"")</f>
        <v/>
      </c>
    </row>
    <row r="27">
      <c r="A27" s="23">
        <f>IFERROR(INDEX($R$17:$R$817,ROW()-16),"")</f>
        <v/>
      </c>
      <c r="B27">
        <f>IFERROR(INDEX($S$17:$S$817,ROW()-16),"")</f>
        <v/>
      </c>
      <c r="C27">
        <f>IFERROR(INDEX($W$17:$W$817,ROW()-16),"")</f>
        <v/>
      </c>
      <c r="D27">
        <f>IFERROR(INDEX($AA$17:$AA$817,ROW()-16),"")</f>
        <v/>
      </c>
    </row>
    <row r="28">
      <c r="A28" s="23">
        <f>IFERROR(INDEX($R$17:$R$817,ROW()-16),"")</f>
        <v/>
      </c>
      <c r="B28">
        <f>IFERROR(INDEX($S$17:$S$817,ROW()-16),"")</f>
        <v/>
      </c>
      <c r="C28">
        <f>IFERROR(INDEX($W$17:$W$817,ROW()-16),"")</f>
        <v/>
      </c>
      <c r="D28">
        <f>IFERROR(INDEX($AA$17:$AA$817,ROW()-16),"")</f>
        <v/>
      </c>
    </row>
    <row r="29">
      <c r="A29" s="23">
        <f>IFERROR(INDEX($R$17:$R$817,ROW()-16),"")</f>
        <v/>
      </c>
      <c r="B29">
        <f>IFERROR(INDEX($S$17:$S$817,ROW()-16),"")</f>
        <v/>
      </c>
      <c r="C29">
        <f>IFERROR(INDEX($W$17:$W$817,ROW()-16),"")</f>
        <v/>
      </c>
      <c r="D29">
        <f>IFERROR(INDEX($AA$17:$AA$817,ROW()-16),"")</f>
        <v/>
      </c>
    </row>
    <row r="30">
      <c r="A30" s="23">
        <f>IFERROR(INDEX($R$17:$R$817,ROW()-16),"")</f>
        <v/>
      </c>
      <c r="B30">
        <f>IFERROR(INDEX($S$17:$S$817,ROW()-16),"")</f>
        <v/>
      </c>
      <c r="C30">
        <f>IFERROR(INDEX($W$17:$W$817,ROW()-16),"")</f>
        <v/>
      </c>
      <c r="D30">
        <f>IFERROR(INDEX($AA$17:$AA$817,ROW()-16),"")</f>
        <v/>
      </c>
    </row>
    <row r="31">
      <c r="A31" s="23">
        <f>IFERROR(INDEX($R$17:$R$817,ROW()-16),"")</f>
        <v/>
      </c>
      <c r="B31">
        <f>IFERROR(INDEX($S$17:$S$817,ROW()-16),"")</f>
        <v/>
      </c>
      <c r="C31">
        <f>IFERROR(INDEX($W$17:$W$817,ROW()-16),"")</f>
        <v/>
      </c>
      <c r="D31">
        <f>IFERROR(INDEX($AA$17:$AA$817,ROW()-16),"")</f>
        <v/>
      </c>
    </row>
    <row r="32">
      <c r="A32" s="23">
        <f>IFERROR(INDEX($R$17:$R$817,ROW()-16),"")</f>
        <v/>
      </c>
      <c r="B32">
        <f>IFERROR(INDEX($S$17:$S$817,ROW()-16),"")</f>
        <v/>
      </c>
      <c r="C32">
        <f>IFERROR(INDEX($W$17:$W$817,ROW()-16),"")</f>
        <v/>
      </c>
      <c r="D32">
        <f>IFERROR(INDEX($AA$17:$AA$817,ROW()-16),"")</f>
        <v/>
      </c>
    </row>
    <row r="33">
      <c r="A33" s="23">
        <f>IFERROR(INDEX($R$17:$R$817,ROW()-16),"")</f>
        <v/>
      </c>
      <c r="B33">
        <f>IFERROR(INDEX($S$17:$S$817,ROW()-16),"")</f>
        <v/>
      </c>
      <c r="C33">
        <f>IFERROR(INDEX($W$17:$W$817,ROW()-16),"")</f>
        <v/>
      </c>
      <c r="D33">
        <f>IFERROR(INDEX($AA$17:$AA$817,ROW()-16),"")</f>
        <v/>
      </c>
    </row>
    <row r="34">
      <c r="A34" s="23">
        <f>IFERROR(INDEX($R$17:$R$817,ROW()-16),"")</f>
        <v/>
      </c>
      <c r="B34">
        <f>IFERROR(INDEX($S$17:$S$817,ROW()-16),"")</f>
        <v/>
      </c>
      <c r="C34">
        <f>IFERROR(INDEX($W$17:$W$817,ROW()-16),"")</f>
        <v/>
      </c>
      <c r="D34">
        <f>IFERROR(INDEX($AA$17:$AA$817,ROW()-16),"")</f>
        <v/>
      </c>
    </row>
    <row r="35">
      <c r="A35" s="23">
        <f>IFERROR(INDEX($R$17:$R$817,ROW()-16),"")</f>
        <v/>
      </c>
      <c r="B35">
        <f>IFERROR(INDEX($S$17:$S$817,ROW()-16),"")</f>
        <v/>
      </c>
      <c r="C35">
        <f>IFERROR(INDEX($W$17:$W$817,ROW()-16),"")</f>
        <v/>
      </c>
      <c r="D35">
        <f>IFERROR(INDEX($AA$17:$AA$817,ROW()-16),"")</f>
        <v/>
      </c>
    </row>
    <row r="36">
      <c r="A36" s="23">
        <f>IFERROR(INDEX($R$17:$R$817,ROW()-16),"")</f>
        <v/>
      </c>
      <c r="B36">
        <f>IFERROR(INDEX($S$17:$S$817,ROW()-16),"")</f>
        <v/>
      </c>
      <c r="C36">
        <f>IFERROR(INDEX($W$17:$W$817,ROW()-16),"")</f>
        <v/>
      </c>
      <c r="D36">
        <f>IFERROR(INDEX($AA$17:$AA$817,ROW()-16),"")</f>
        <v/>
      </c>
    </row>
    <row r="37">
      <c r="A37" s="23">
        <f>IFERROR(INDEX($R$17:$R$817,ROW()-16),"")</f>
        <v/>
      </c>
      <c r="B37">
        <f>IFERROR(INDEX($S$17:$S$817,ROW()-16),"")</f>
        <v/>
      </c>
      <c r="C37">
        <f>IFERROR(INDEX($W$17:$W$817,ROW()-16),"")</f>
        <v/>
      </c>
      <c r="D37">
        <f>IFERROR(INDEX($AA$17:$AA$817,ROW()-16),"")</f>
        <v/>
      </c>
    </row>
    <row r="38">
      <c r="A38" s="23">
        <f>IFERROR(INDEX($R$17:$R$817,ROW()-16),"")</f>
        <v/>
      </c>
      <c r="B38">
        <f>IFERROR(INDEX($S$17:$S$817,ROW()-16),"")</f>
        <v/>
      </c>
      <c r="C38">
        <f>IFERROR(INDEX($W$17:$W$817,ROW()-16),"")</f>
        <v/>
      </c>
      <c r="D38">
        <f>IFERROR(INDEX($AA$17:$AA$817,ROW()-16),"")</f>
        <v/>
      </c>
    </row>
    <row r="39">
      <c r="A39" s="23">
        <f>IFERROR(INDEX($R$17:$R$817,ROW()-16),"")</f>
        <v/>
      </c>
      <c r="B39">
        <f>IFERROR(INDEX($S$17:$S$817,ROW()-16),"")</f>
        <v/>
      </c>
      <c r="C39">
        <f>IFERROR(INDEX($W$17:$W$817,ROW()-16),"")</f>
        <v/>
      </c>
      <c r="D39">
        <f>IFERROR(INDEX($AA$17:$AA$817,ROW()-16),"")</f>
        <v/>
      </c>
    </row>
    <row r="40">
      <c r="A40" s="23">
        <f>IFERROR(INDEX($R$17:$R$817,ROW()-16),"")</f>
        <v/>
      </c>
      <c r="B40">
        <f>IFERROR(INDEX($S$17:$S$817,ROW()-16),"")</f>
        <v/>
      </c>
      <c r="C40">
        <f>IFERROR(INDEX($W$17:$W$817,ROW()-16),"")</f>
        <v/>
      </c>
      <c r="D40">
        <f>IFERROR(INDEX($AA$17:$AA$817,ROW()-16),"")</f>
        <v/>
      </c>
    </row>
    <row r="41">
      <c r="A41" s="23">
        <f>IFERROR(INDEX($R$17:$R$817,ROW()-16),"")</f>
        <v/>
      </c>
      <c r="B41">
        <f>IFERROR(INDEX($S$17:$S$817,ROW()-16),"")</f>
        <v/>
      </c>
      <c r="C41">
        <f>IFERROR(INDEX($W$17:$W$817,ROW()-16),"")</f>
        <v/>
      </c>
      <c r="D41">
        <f>IFERROR(INDEX($AA$17:$AA$817,ROW()-16),"")</f>
        <v/>
      </c>
    </row>
    <row r="42">
      <c r="A42" s="23">
        <f>IFERROR(INDEX($R$17:$R$817,ROW()-16),"")</f>
        <v/>
      </c>
      <c r="B42">
        <f>IFERROR(INDEX($S$17:$S$817,ROW()-16),"")</f>
        <v/>
      </c>
      <c r="C42">
        <f>IFERROR(INDEX($W$17:$W$817,ROW()-16),"")</f>
        <v/>
      </c>
      <c r="D42">
        <f>IFERROR(INDEX($AA$17:$AA$817,ROW()-16),"")</f>
        <v/>
      </c>
    </row>
    <row r="43">
      <c r="A43" s="23">
        <f>IFERROR(INDEX($R$17:$R$817,ROW()-16),"")</f>
        <v/>
      </c>
      <c r="B43">
        <f>IFERROR(INDEX($S$17:$S$817,ROW()-16),"")</f>
        <v/>
      </c>
      <c r="C43">
        <f>IFERROR(INDEX($W$17:$W$817,ROW()-16),"")</f>
        <v/>
      </c>
      <c r="D43">
        <f>IFERROR(INDEX($AA$17:$AA$817,ROW()-16),"")</f>
        <v/>
      </c>
    </row>
    <row r="44">
      <c r="A44" s="23">
        <f>IFERROR(INDEX($R$17:$R$817,ROW()-16),"")</f>
        <v/>
      </c>
      <c r="B44">
        <f>IFERROR(INDEX($S$17:$S$817,ROW()-16),"")</f>
        <v/>
      </c>
      <c r="C44">
        <f>IFERROR(INDEX($W$17:$W$817,ROW()-16),"")</f>
        <v/>
      </c>
      <c r="D44">
        <f>IFERROR(INDEX($AA$17:$AA$817,ROW()-16),"")</f>
        <v/>
      </c>
    </row>
    <row r="45">
      <c r="A45" s="23">
        <f>IFERROR(INDEX($R$17:$R$817,ROW()-16),"")</f>
        <v/>
      </c>
      <c r="B45">
        <f>IFERROR(INDEX($S$17:$S$817,ROW()-16),"")</f>
        <v/>
      </c>
      <c r="C45">
        <f>IFERROR(INDEX($W$17:$W$817,ROW()-16),"")</f>
        <v/>
      </c>
      <c r="D45">
        <f>IFERROR(INDEX($AA$17:$AA$817,ROW()-16),"")</f>
        <v/>
      </c>
    </row>
    <row r="46">
      <c r="A46" s="23">
        <f>IFERROR(INDEX($R$17:$R$817,ROW()-16),"")</f>
        <v/>
      </c>
      <c r="B46">
        <f>IFERROR(INDEX($S$17:$S$817,ROW()-16),"")</f>
        <v/>
      </c>
      <c r="C46">
        <f>IFERROR(INDEX($W$17:$W$817,ROW()-16),"")</f>
        <v/>
      </c>
      <c r="D46">
        <f>IFERROR(INDEX($AA$17:$AA$817,ROW()-16),"")</f>
        <v/>
      </c>
    </row>
    <row r="47">
      <c r="A47" s="23">
        <f>IFERROR(INDEX($R$17:$R$817,ROW()-16),"")</f>
        <v/>
      </c>
      <c r="B47">
        <f>IFERROR(INDEX($S$17:$S$817,ROW()-16),"")</f>
        <v/>
      </c>
      <c r="C47">
        <f>IFERROR(INDEX($W$17:$W$817,ROW()-16),"")</f>
        <v/>
      </c>
      <c r="D47">
        <f>IFERROR(INDEX($AA$17:$AA$817,ROW()-16),"")</f>
        <v/>
      </c>
    </row>
    <row r="48">
      <c r="A48" s="23">
        <f>IFERROR(INDEX($R$17:$R$817,ROW()-16),"")</f>
        <v/>
      </c>
      <c r="B48">
        <f>IFERROR(INDEX($S$17:$S$817,ROW()-16),"")</f>
        <v/>
      </c>
      <c r="C48">
        <f>IFERROR(INDEX($W$17:$W$817,ROW()-16),"")</f>
        <v/>
      </c>
      <c r="D48">
        <f>IFERROR(INDEX($AA$17:$AA$817,ROW()-16),"")</f>
        <v/>
      </c>
    </row>
    <row r="49">
      <c r="A49" s="23">
        <f>IFERROR(INDEX($R$17:$R$817,ROW()-16),"")</f>
        <v/>
      </c>
      <c r="B49">
        <f>IFERROR(INDEX($S$17:$S$817,ROW()-16),"")</f>
        <v/>
      </c>
      <c r="C49">
        <f>IFERROR(INDEX($W$17:$W$817,ROW()-16),"")</f>
        <v/>
      </c>
      <c r="D49">
        <f>IFERROR(INDEX($AA$17:$AA$817,ROW()-16),"")</f>
        <v/>
      </c>
    </row>
    <row r="50">
      <c r="A50" s="23">
        <f>IFERROR(INDEX($R$17:$R$817,ROW()-16),"")</f>
        <v/>
      </c>
      <c r="B50">
        <f>IFERROR(INDEX($S$17:$S$817,ROW()-16),"")</f>
        <v/>
      </c>
      <c r="C50">
        <f>IFERROR(INDEX($W$17:$W$817,ROW()-16),"")</f>
        <v/>
      </c>
      <c r="D50">
        <f>IFERROR(INDEX($AA$17:$AA$817,ROW()-16),"")</f>
        <v/>
      </c>
    </row>
    <row r="51">
      <c r="A51" s="23">
        <f>IFERROR(INDEX($R$17:$R$817,ROW()-16),"")</f>
        <v/>
      </c>
      <c r="B51">
        <f>IFERROR(INDEX($S$17:$S$817,ROW()-16),"")</f>
        <v/>
      </c>
      <c r="C51">
        <f>IFERROR(INDEX($W$17:$W$817,ROW()-16),"")</f>
        <v/>
      </c>
      <c r="D51">
        <f>IFERROR(INDEX($AA$17:$AA$817,ROW()-16),"")</f>
        <v/>
      </c>
    </row>
    <row r="52">
      <c r="A52" s="23">
        <f>IFERROR(INDEX($R$17:$R$817,ROW()-16),"")</f>
        <v/>
      </c>
      <c r="B52">
        <f>IFERROR(INDEX($S$17:$S$817,ROW()-16),"")</f>
        <v/>
      </c>
      <c r="C52">
        <f>IFERROR(INDEX($W$17:$W$817,ROW()-16),"")</f>
        <v/>
      </c>
      <c r="D52">
        <f>IFERROR(INDEX($AA$17:$AA$817,ROW()-16),"")</f>
        <v/>
      </c>
    </row>
    <row r="53">
      <c r="A53" s="23">
        <f>IFERROR(INDEX($R$17:$R$817,ROW()-16),"")</f>
        <v/>
      </c>
      <c r="B53">
        <f>IFERROR(INDEX($S$17:$S$817,ROW()-16),"")</f>
        <v/>
      </c>
      <c r="C53">
        <f>IFERROR(INDEX($W$17:$W$817,ROW()-16),"")</f>
        <v/>
      </c>
      <c r="D53">
        <f>IFERROR(INDEX($AA$17:$AA$817,ROW()-16),"")</f>
        <v/>
      </c>
    </row>
    <row r="54">
      <c r="A54" s="23">
        <f>IFERROR(INDEX($R$17:$R$817,ROW()-16),"")</f>
        <v/>
      </c>
      <c r="B54">
        <f>IFERROR(INDEX($S$17:$S$817,ROW()-16),"")</f>
        <v/>
      </c>
      <c r="C54">
        <f>IFERROR(INDEX($W$17:$W$817,ROW()-16),"")</f>
        <v/>
      </c>
      <c r="D54">
        <f>IFERROR(INDEX($AA$17:$AA$817,ROW()-16),"")</f>
        <v/>
      </c>
    </row>
    <row r="55">
      <c r="A55" s="23">
        <f>IFERROR(INDEX($R$17:$R$817,ROW()-16),"")</f>
        <v/>
      </c>
      <c r="B55">
        <f>IFERROR(INDEX($S$17:$S$817,ROW()-16),"")</f>
        <v/>
      </c>
      <c r="C55">
        <f>IFERROR(INDEX($W$17:$W$817,ROW()-16),"")</f>
        <v/>
      </c>
      <c r="D55">
        <f>IFERROR(INDEX($AA$17:$AA$817,ROW()-16),"")</f>
        <v/>
      </c>
    </row>
    <row r="56">
      <c r="A56" s="23">
        <f>IFERROR(INDEX($R$17:$R$817,ROW()-16),"")</f>
        <v/>
      </c>
      <c r="B56">
        <f>IFERROR(INDEX($S$17:$S$817,ROW()-16),"")</f>
        <v/>
      </c>
      <c r="C56">
        <f>IFERROR(INDEX($W$17:$W$817,ROW()-16),"")</f>
        <v/>
      </c>
      <c r="D56">
        <f>IFERROR(INDEX($AA$17:$AA$817,ROW()-16),"")</f>
        <v/>
      </c>
    </row>
    <row r="57">
      <c r="A57" s="23">
        <f>IFERROR(INDEX($R$17:$R$817,ROW()-16),"")</f>
        <v/>
      </c>
      <c r="B57">
        <f>IFERROR(INDEX($S$17:$S$817,ROW()-16),"")</f>
        <v/>
      </c>
      <c r="C57">
        <f>IFERROR(INDEX($W$17:$W$817,ROW()-16),"")</f>
        <v/>
      </c>
      <c r="D57">
        <f>IFERROR(INDEX($AA$17:$AA$817,ROW()-16),"")</f>
        <v/>
      </c>
    </row>
    <row r="58">
      <c r="A58" s="23">
        <f>IFERROR(INDEX($R$17:$R$817,ROW()-16),"")</f>
        <v/>
      </c>
      <c r="B58">
        <f>IFERROR(INDEX($S$17:$S$817,ROW()-16),"")</f>
        <v/>
      </c>
      <c r="C58">
        <f>IFERROR(INDEX($W$17:$W$817,ROW()-16),"")</f>
        <v/>
      </c>
      <c r="D58">
        <f>IFERROR(INDEX($AA$17:$AA$817,ROW()-16),"")</f>
        <v/>
      </c>
    </row>
    <row r="59">
      <c r="A59" s="23">
        <f>IFERROR(INDEX($R$17:$R$817,ROW()-16),"")</f>
        <v/>
      </c>
      <c r="B59">
        <f>IFERROR(INDEX($S$17:$S$817,ROW()-16),"")</f>
        <v/>
      </c>
      <c r="C59">
        <f>IFERROR(INDEX($W$17:$W$817,ROW()-16),"")</f>
        <v/>
      </c>
      <c r="D59">
        <f>IFERROR(INDEX($AA$17:$AA$817,ROW()-16),"")</f>
        <v/>
      </c>
    </row>
    <row r="60">
      <c r="A60" s="23">
        <f>IFERROR(INDEX($R$17:$R$817,ROW()-16),"")</f>
        <v/>
      </c>
      <c r="B60">
        <f>IFERROR(INDEX($S$17:$S$817,ROW()-16),"")</f>
        <v/>
      </c>
      <c r="C60">
        <f>IFERROR(INDEX($W$17:$W$817,ROW()-16),"")</f>
        <v/>
      </c>
      <c r="D60">
        <f>IFERROR(INDEX($AA$17:$AA$817,ROW()-16),"")</f>
        <v/>
      </c>
    </row>
    <row r="61">
      <c r="A61" s="23">
        <f>IFERROR(INDEX($R$17:$R$817,ROW()-16),"")</f>
        <v/>
      </c>
      <c r="B61">
        <f>IFERROR(INDEX($S$17:$S$817,ROW()-16),"")</f>
        <v/>
      </c>
      <c r="C61">
        <f>IFERROR(INDEX($W$17:$W$817,ROW()-16),"")</f>
        <v/>
      </c>
      <c r="D61">
        <f>IFERROR(INDEX($AA$17:$AA$817,ROW()-16),"")</f>
        <v/>
      </c>
    </row>
    <row r="62">
      <c r="A62" s="23">
        <f>IFERROR(INDEX($R$17:$R$817,ROW()-16),"")</f>
        <v/>
      </c>
      <c r="B62">
        <f>IFERROR(INDEX($S$17:$S$817,ROW()-16),"")</f>
        <v/>
      </c>
      <c r="C62">
        <f>IFERROR(INDEX($W$17:$W$817,ROW()-16),"")</f>
        <v/>
      </c>
      <c r="D62">
        <f>IFERROR(INDEX($AA$17:$AA$817,ROW()-16),"")</f>
        <v/>
      </c>
    </row>
    <row r="63">
      <c r="A63" s="23">
        <f>IFERROR(INDEX($R$17:$R$817,ROW()-16),"")</f>
        <v/>
      </c>
      <c r="B63">
        <f>IFERROR(INDEX($S$17:$S$817,ROW()-16),"")</f>
        <v/>
      </c>
      <c r="C63">
        <f>IFERROR(INDEX($W$17:$W$817,ROW()-16),"")</f>
        <v/>
      </c>
      <c r="D63">
        <f>IFERROR(INDEX($AA$17:$AA$817,ROW()-16),"")</f>
        <v/>
      </c>
    </row>
    <row r="64">
      <c r="A64" s="23">
        <f>IFERROR(INDEX($R$17:$R$817,ROW()-16),"")</f>
        <v/>
      </c>
      <c r="B64">
        <f>IFERROR(INDEX($S$17:$S$817,ROW()-16),"")</f>
        <v/>
      </c>
      <c r="C64">
        <f>IFERROR(INDEX($W$17:$W$817,ROW()-16),"")</f>
        <v/>
      </c>
      <c r="D64">
        <f>IFERROR(INDEX($AA$17:$AA$817,ROW()-16),"")</f>
        <v/>
      </c>
    </row>
    <row r="65">
      <c r="A65" s="23">
        <f>IFERROR(INDEX($R$17:$R$817,ROW()-16),"")</f>
        <v/>
      </c>
      <c r="B65">
        <f>IFERROR(INDEX($S$17:$S$817,ROW()-16),"")</f>
        <v/>
      </c>
      <c r="C65">
        <f>IFERROR(INDEX($W$17:$W$817,ROW()-16),"")</f>
        <v/>
      </c>
      <c r="D65">
        <f>IFERROR(INDEX($AA$17:$AA$817,ROW()-16),"")</f>
        <v/>
      </c>
    </row>
    <row r="66">
      <c r="A66" s="23">
        <f>IFERROR(INDEX($R$17:$R$817,ROW()-16),"")</f>
        <v/>
      </c>
      <c r="B66">
        <f>IFERROR(INDEX($S$17:$S$817,ROW()-16),"")</f>
        <v/>
      </c>
      <c r="C66">
        <f>IFERROR(INDEX($W$17:$W$817,ROW()-16),"")</f>
        <v/>
      </c>
      <c r="D66">
        <f>IFERROR(INDEX($AA$17:$AA$817,ROW()-16),"")</f>
        <v/>
      </c>
    </row>
    <row r="67">
      <c r="A67" s="23">
        <f>IFERROR(INDEX($R$17:$R$817,ROW()-16),"")</f>
        <v/>
      </c>
      <c r="B67">
        <f>IFERROR(INDEX($S$17:$S$817,ROW()-16),"")</f>
        <v/>
      </c>
      <c r="C67">
        <f>IFERROR(INDEX($W$17:$W$817,ROW()-16),"")</f>
        <v/>
      </c>
      <c r="D67">
        <f>IFERROR(INDEX($AA$17:$AA$817,ROW()-16),"")</f>
        <v/>
      </c>
    </row>
    <row r="68">
      <c r="A68" s="23">
        <f>IFERROR(INDEX($R$17:$R$817,ROW()-16),"")</f>
        <v/>
      </c>
      <c r="B68">
        <f>IFERROR(INDEX($S$17:$S$817,ROW()-16),"")</f>
        <v/>
      </c>
      <c r="C68">
        <f>IFERROR(INDEX($W$17:$W$817,ROW()-16),"")</f>
        <v/>
      </c>
      <c r="D68">
        <f>IFERROR(INDEX($AA$17:$AA$817,ROW()-16),"")</f>
        <v/>
      </c>
    </row>
    <row r="69">
      <c r="A69" s="23">
        <f>IFERROR(INDEX($R$17:$R$817,ROW()-16),"")</f>
        <v/>
      </c>
      <c r="B69">
        <f>IFERROR(INDEX($S$17:$S$817,ROW()-16),"")</f>
        <v/>
      </c>
      <c r="C69">
        <f>IFERROR(INDEX($W$17:$W$817,ROW()-16),"")</f>
        <v/>
      </c>
      <c r="D69">
        <f>IFERROR(INDEX($AA$17:$AA$817,ROW()-16),"")</f>
        <v/>
      </c>
    </row>
    <row r="70">
      <c r="A70" s="23">
        <f>IFERROR(INDEX($R$17:$R$817,ROW()-16),"")</f>
        <v/>
      </c>
      <c r="B70">
        <f>IFERROR(INDEX($S$17:$S$817,ROW()-16),"")</f>
        <v/>
      </c>
      <c r="C70">
        <f>IFERROR(INDEX($W$17:$W$817,ROW()-16),"")</f>
        <v/>
      </c>
      <c r="D70">
        <f>IFERROR(INDEX($AA$17:$AA$817,ROW()-16),"")</f>
        <v/>
      </c>
    </row>
    <row r="71">
      <c r="A71" s="23">
        <f>IFERROR(INDEX($R$17:$R$817,ROW()-16),"")</f>
        <v/>
      </c>
      <c r="B71">
        <f>IFERROR(INDEX($S$17:$S$817,ROW()-16),"")</f>
        <v/>
      </c>
      <c r="C71">
        <f>IFERROR(INDEX($W$17:$W$817,ROW()-16),"")</f>
        <v/>
      </c>
      <c r="D71">
        <f>IFERROR(INDEX($AA$17:$AA$817,ROW()-16),"")</f>
        <v/>
      </c>
    </row>
    <row r="72">
      <c r="A72" s="23">
        <f>IFERROR(INDEX($R$17:$R$817,ROW()-16),"")</f>
        <v/>
      </c>
      <c r="B72">
        <f>IFERROR(INDEX($S$17:$S$817,ROW()-16),"")</f>
        <v/>
      </c>
      <c r="C72">
        <f>IFERROR(INDEX($W$17:$W$817,ROW()-16),"")</f>
        <v/>
      </c>
      <c r="D72">
        <f>IFERROR(INDEX($AA$17:$AA$817,ROW()-16),"")</f>
        <v/>
      </c>
    </row>
    <row r="73">
      <c r="A73" s="23">
        <f>IFERROR(INDEX($R$17:$R$817,ROW()-16),"")</f>
        <v/>
      </c>
      <c r="B73">
        <f>IFERROR(INDEX($S$17:$S$817,ROW()-16),"")</f>
        <v/>
      </c>
      <c r="C73">
        <f>IFERROR(INDEX($W$17:$W$817,ROW()-16),"")</f>
        <v/>
      </c>
      <c r="D73">
        <f>IFERROR(INDEX($AA$17:$AA$817,ROW()-16),"")</f>
        <v/>
      </c>
    </row>
    <row r="74">
      <c r="A74" s="23">
        <f>IFERROR(INDEX($R$17:$R$817,ROW()-16),"")</f>
        <v/>
      </c>
      <c r="B74">
        <f>IFERROR(INDEX($S$17:$S$817,ROW()-16),"")</f>
        <v/>
      </c>
      <c r="C74">
        <f>IFERROR(INDEX($W$17:$W$817,ROW()-16),"")</f>
        <v/>
      </c>
      <c r="D74">
        <f>IFERROR(INDEX($AA$17:$AA$817,ROW()-16),"")</f>
        <v/>
      </c>
    </row>
    <row r="75">
      <c r="A75" s="23">
        <f>IFERROR(INDEX($R$17:$R$817,ROW()-16),"")</f>
        <v/>
      </c>
      <c r="B75">
        <f>IFERROR(INDEX($S$17:$S$817,ROW()-16),"")</f>
        <v/>
      </c>
      <c r="C75">
        <f>IFERROR(INDEX($W$17:$W$817,ROW()-16),"")</f>
        <v/>
      </c>
      <c r="D75">
        <f>IFERROR(INDEX($AA$17:$AA$817,ROW()-16),"")</f>
        <v/>
      </c>
    </row>
    <row r="76">
      <c r="A76" s="23">
        <f>IFERROR(INDEX($R$17:$R$817,ROW()-16),"")</f>
        <v/>
      </c>
      <c r="B76">
        <f>IFERROR(INDEX($S$17:$S$817,ROW()-16),"")</f>
        <v/>
      </c>
      <c r="C76">
        <f>IFERROR(INDEX($W$17:$W$817,ROW()-16),"")</f>
        <v/>
      </c>
      <c r="D76">
        <f>IFERROR(INDEX($AA$17:$AA$817,ROW()-16),"")</f>
        <v/>
      </c>
    </row>
    <row r="77">
      <c r="A77" s="23">
        <f>IFERROR(INDEX($R$17:$R$817,ROW()-16),"")</f>
        <v/>
      </c>
      <c r="B77">
        <f>IFERROR(INDEX($S$17:$S$817,ROW()-16),"")</f>
        <v/>
      </c>
      <c r="C77">
        <f>IFERROR(INDEX($W$17:$W$817,ROW()-16),"")</f>
        <v/>
      </c>
      <c r="D77">
        <f>IFERROR(INDEX($AA$17:$AA$817,ROW()-16),"")</f>
        <v/>
      </c>
    </row>
    <row r="78">
      <c r="A78" s="23">
        <f>IFERROR(INDEX($R$17:$R$817,ROW()-16),"")</f>
        <v/>
      </c>
      <c r="B78">
        <f>IFERROR(INDEX($S$17:$S$817,ROW()-16),"")</f>
        <v/>
      </c>
      <c r="C78">
        <f>IFERROR(INDEX($W$17:$W$817,ROW()-16),"")</f>
        <v/>
      </c>
      <c r="D78">
        <f>IFERROR(INDEX($AA$17:$AA$817,ROW()-16),"")</f>
        <v/>
      </c>
    </row>
    <row r="79">
      <c r="A79" s="23">
        <f>IFERROR(INDEX($R$17:$R$817,ROW()-16),"")</f>
        <v/>
      </c>
      <c r="B79">
        <f>IFERROR(INDEX($S$17:$S$817,ROW()-16),"")</f>
        <v/>
      </c>
      <c r="C79">
        <f>IFERROR(INDEX($W$17:$W$817,ROW()-16),"")</f>
        <v/>
      </c>
      <c r="D79">
        <f>IFERROR(INDEX($AA$17:$AA$817,ROW()-16),"")</f>
        <v/>
      </c>
    </row>
    <row r="80">
      <c r="A80" s="23">
        <f>IFERROR(INDEX($R$17:$R$817,ROW()-16),"")</f>
        <v/>
      </c>
      <c r="B80">
        <f>IFERROR(INDEX($S$17:$S$817,ROW()-16),"")</f>
        <v/>
      </c>
      <c r="C80">
        <f>IFERROR(INDEX($W$17:$W$817,ROW()-16),"")</f>
        <v/>
      </c>
      <c r="D80">
        <f>IFERROR(INDEX($AA$17:$AA$817,ROW()-16),"")</f>
        <v/>
      </c>
    </row>
    <row r="81">
      <c r="A81" s="23">
        <f>IFERROR(INDEX($R$17:$R$817,ROW()-16),"")</f>
        <v/>
      </c>
      <c r="B81">
        <f>IFERROR(INDEX($S$17:$S$817,ROW()-16),"")</f>
        <v/>
      </c>
      <c r="C81">
        <f>IFERROR(INDEX($W$17:$W$817,ROW()-16),"")</f>
        <v/>
      </c>
      <c r="D81">
        <f>IFERROR(INDEX($AA$17:$AA$817,ROW()-16),"")</f>
        <v/>
      </c>
    </row>
    <row r="82">
      <c r="A82" s="23">
        <f>IFERROR(INDEX($R$17:$R$817,ROW()-16),"")</f>
        <v/>
      </c>
      <c r="B82">
        <f>IFERROR(INDEX($S$17:$S$817,ROW()-16),"")</f>
        <v/>
      </c>
      <c r="C82">
        <f>IFERROR(INDEX($W$17:$W$817,ROW()-16),"")</f>
        <v/>
      </c>
      <c r="D82">
        <f>IFERROR(INDEX($AA$17:$AA$817,ROW()-16),"")</f>
        <v/>
      </c>
    </row>
    <row r="83">
      <c r="A83" s="23">
        <f>IFERROR(INDEX($R$17:$R$817,ROW()-16),"")</f>
        <v/>
      </c>
      <c r="B83">
        <f>IFERROR(INDEX($S$17:$S$817,ROW()-16),"")</f>
        <v/>
      </c>
      <c r="C83">
        <f>IFERROR(INDEX($W$17:$W$817,ROW()-16),"")</f>
        <v/>
      </c>
      <c r="D83">
        <f>IFERROR(INDEX($AA$17:$AA$817,ROW()-16),"")</f>
        <v/>
      </c>
    </row>
    <row r="84">
      <c r="A84" s="23">
        <f>IFERROR(INDEX($R$17:$R$817,ROW()-16),"")</f>
        <v/>
      </c>
      <c r="B84">
        <f>IFERROR(INDEX($S$17:$S$817,ROW()-16),"")</f>
        <v/>
      </c>
      <c r="C84">
        <f>IFERROR(INDEX($W$17:$W$817,ROW()-16),"")</f>
        <v/>
      </c>
      <c r="D84">
        <f>IFERROR(INDEX($AA$17:$AA$817,ROW()-16),"")</f>
        <v/>
      </c>
    </row>
    <row r="85">
      <c r="A85" s="23">
        <f>IFERROR(INDEX($R$17:$R$817,ROW()-16),"")</f>
        <v/>
      </c>
      <c r="B85">
        <f>IFERROR(INDEX($S$17:$S$817,ROW()-16),"")</f>
        <v/>
      </c>
      <c r="C85">
        <f>IFERROR(INDEX($W$17:$W$817,ROW()-16),"")</f>
        <v/>
      </c>
      <c r="D85">
        <f>IFERROR(INDEX($AA$17:$AA$817,ROW()-16),"")</f>
        <v/>
      </c>
    </row>
    <row r="86">
      <c r="A86" s="23">
        <f>IFERROR(INDEX($R$17:$R$817,ROW()-16),"")</f>
        <v/>
      </c>
      <c r="B86">
        <f>IFERROR(INDEX($S$17:$S$817,ROW()-16),"")</f>
        <v/>
      </c>
      <c r="C86">
        <f>IFERROR(INDEX($W$17:$W$817,ROW()-16),"")</f>
        <v/>
      </c>
      <c r="D86">
        <f>IFERROR(INDEX($AA$17:$AA$817,ROW()-16),"")</f>
        <v/>
      </c>
    </row>
    <row r="87">
      <c r="A87" s="23">
        <f>IFERROR(INDEX($R$17:$R$817,ROW()-16),"")</f>
        <v/>
      </c>
      <c r="B87">
        <f>IFERROR(INDEX($S$17:$S$817,ROW()-16),"")</f>
        <v/>
      </c>
      <c r="C87">
        <f>IFERROR(INDEX($W$17:$W$817,ROW()-16),"")</f>
        <v/>
      </c>
      <c r="D87">
        <f>IFERROR(INDEX($AA$17:$AA$817,ROW()-16),"")</f>
        <v/>
      </c>
    </row>
    <row r="88">
      <c r="A88" s="23">
        <f>IFERROR(INDEX($R$17:$R$817,ROW()-16),"")</f>
        <v/>
      </c>
      <c r="B88">
        <f>IFERROR(INDEX($S$17:$S$817,ROW()-16),"")</f>
        <v/>
      </c>
      <c r="C88">
        <f>IFERROR(INDEX($W$17:$W$817,ROW()-16),"")</f>
        <v/>
      </c>
      <c r="D88">
        <f>IFERROR(INDEX($AA$17:$AA$817,ROW()-16),"")</f>
        <v/>
      </c>
    </row>
    <row r="89">
      <c r="A89" s="23">
        <f>IFERROR(INDEX($R$17:$R$817,ROW()-16),"")</f>
        <v/>
      </c>
      <c r="B89">
        <f>IFERROR(INDEX($S$17:$S$817,ROW()-16),"")</f>
        <v/>
      </c>
      <c r="C89">
        <f>IFERROR(INDEX($W$17:$W$817,ROW()-16),"")</f>
        <v/>
      </c>
      <c r="D89">
        <f>IFERROR(INDEX($AA$17:$AA$817,ROW()-16),"")</f>
        <v/>
      </c>
    </row>
    <row r="90">
      <c r="A90" s="23">
        <f>IFERROR(INDEX($R$17:$R$817,ROW()-16),"")</f>
        <v/>
      </c>
      <c r="B90">
        <f>IFERROR(INDEX($S$17:$S$817,ROW()-16),"")</f>
        <v/>
      </c>
      <c r="C90">
        <f>IFERROR(INDEX($W$17:$W$817,ROW()-16),"")</f>
        <v/>
      </c>
      <c r="D90">
        <f>IFERROR(INDEX($AA$17:$AA$817,ROW()-16),"")</f>
        <v/>
      </c>
    </row>
    <row r="91">
      <c r="A91" s="23">
        <f>IFERROR(INDEX($R$17:$R$817,ROW()-16),"")</f>
        <v/>
      </c>
      <c r="B91">
        <f>IFERROR(INDEX($S$17:$S$817,ROW()-16),"")</f>
        <v/>
      </c>
      <c r="C91">
        <f>IFERROR(INDEX($W$17:$W$817,ROW()-16),"")</f>
        <v/>
      </c>
      <c r="D91">
        <f>IFERROR(INDEX($AA$17:$AA$817,ROW()-16),"")</f>
        <v/>
      </c>
    </row>
    <row r="92">
      <c r="A92" s="23">
        <f>IFERROR(INDEX($R$17:$R$817,ROW()-16),"")</f>
        <v/>
      </c>
      <c r="B92">
        <f>IFERROR(INDEX($S$17:$S$817,ROW()-16),"")</f>
        <v/>
      </c>
      <c r="C92">
        <f>IFERROR(INDEX($W$17:$W$817,ROW()-16),"")</f>
        <v/>
      </c>
      <c r="D92">
        <f>IFERROR(INDEX($AA$17:$AA$817,ROW()-16),"")</f>
        <v/>
      </c>
    </row>
    <row r="93">
      <c r="A93" s="23">
        <f>IFERROR(INDEX($R$17:$R$817,ROW()-16),"")</f>
        <v/>
      </c>
      <c r="B93">
        <f>IFERROR(INDEX($S$17:$S$817,ROW()-16),"")</f>
        <v/>
      </c>
      <c r="C93">
        <f>IFERROR(INDEX($W$17:$W$817,ROW()-16),"")</f>
        <v/>
      </c>
      <c r="D93">
        <f>IFERROR(INDEX($AA$17:$AA$817,ROW()-16),"")</f>
        <v/>
      </c>
    </row>
    <row r="94">
      <c r="A94" s="23">
        <f>IFERROR(INDEX($R$17:$R$817,ROW()-16),"")</f>
        <v/>
      </c>
      <c r="B94">
        <f>IFERROR(INDEX($S$17:$S$817,ROW()-16),"")</f>
        <v/>
      </c>
      <c r="C94">
        <f>IFERROR(INDEX($W$17:$W$817,ROW()-16),"")</f>
        <v/>
      </c>
      <c r="D94">
        <f>IFERROR(INDEX($AA$17:$AA$817,ROW()-16),"")</f>
        <v/>
      </c>
    </row>
    <row r="95">
      <c r="A95" s="23">
        <f>IFERROR(INDEX($R$17:$R$817,ROW()-16),"")</f>
        <v/>
      </c>
      <c r="B95">
        <f>IFERROR(INDEX($S$17:$S$817,ROW()-16),"")</f>
        <v/>
      </c>
      <c r="C95">
        <f>IFERROR(INDEX($W$17:$W$817,ROW()-16),"")</f>
        <v/>
      </c>
      <c r="D95">
        <f>IFERROR(INDEX($AA$17:$AA$817,ROW()-16),"")</f>
        <v/>
      </c>
    </row>
    <row r="96">
      <c r="A96" s="23">
        <f>IFERROR(INDEX($R$17:$R$817,ROW()-16),"")</f>
        <v/>
      </c>
      <c r="B96">
        <f>IFERROR(INDEX($S$17:$S$817,ROW()-16),"")</f>
        <v/>
      </c>
      <c r="C96">
        <f>IFERROR(INDEX($W$17:$W$817,ROW()-16),"")</f>
        <v/>
      </c>
      <c r="D96">
        <f>IFERROR(INDEX($AA$17:$AA$817,ROW()-16),"")</f>
        <v/>
      </c>
    </row>
    <row r="97">
      <c r="A97" s="23">
        <f>IFERROR(INDEX($R$17:$R$817,ROW()-16),"")</f>
        <v/>
      </c>
      <c r="B97">
        <f>IFERROR(INDEX($S$17:$S$817,ROW()-16),"")</f>
        <v/>
      </c>
      <c r="C97">
        <f>IFERROR(INDEX($W$17:$W$817,ROW()-16),"")</f>
        <v/>
      </c>
      <c r="D97">
        <f>IFERROR(INDEX($AA$17:$AA$817,ROW()-16),"")</f>
        <v/>
      </c>
    </row>
    <row r="98">
      <c r="A98" s="23">
        <f>IFERROR(INDEX($R$17:$R$817,ROW()-16),"")</f>
        <v/>
      </c>
      <c r="B98">
        <f>IFERROR(INDEX($S$17:$S$817,ROW()-16),"")</f>
        <v/>
      </c>
      <c r="C98">
        <f>IFERROR(INDEX($W$17:$W$817,ROW()-16),"")</f>
        <v/>
      </c>
      <c r="D98">
        <f>IFERROR(INDEX($AA$17:$AA$817,ROW()-16),"")</f>
        <v/>
      </c>
    </row>
    <row r="99">
      <c r="A99" s="23">
        <f>IFERROR(INDEX($R$17:$R$817,ROW()-16),"")</f>
        <v/>
      </c>
      <c r="B99">
        <f>IFERROR(INDEX($S$17:$S$817,ROW()-16),"")</f>
        <v/>
      </c>
      <c r="C99">
        <f>IFERROR(INDEX($W$17:$W$817,ROW()-16),"")</f>
        <v/>
      </c>
      <c r="D99">
        <f>IFERROR(INDEX($AA$17:$AA$817,ROW()-16),"")</f>
        <v/>
      </c>
    </row>
    <row r="100">
      <c r="A100" s="23">
        <f>IFERROR(INDEX($R$17:$R$817,ROW()-16),"")</f>
        <v/>
      </c>
      <c r="B100">
        <f>IFERROR(INDEX($S$17:$S$817,ROW()-16),"")</f>
        <v/>
      </c>
      <c r="C100">
        <f>IFERROR(INDEX($W$17:$W$817,ROW()-16),"")</f>
        <v/>
      </c>
      <c r="D100">
        <f>IFERROR(INDEX($AA$17:$AA$817,ROW()-16),"")</f>
        <v/>
      </c>
    </row>
    <row r="101">
      <c r="A101" s="23">
        <f>IFERROR(INDEX($R$17:$R$817,ROW()-16),"")</f>
        <v/>
      </c>
      <c r="B101">
        <f>IFERROR(INDEX($S$17:$S$817,ROW()-16),"")</f>
        <v/>
      </c>
      <c r="C101">
        <f>IFERROR(INDEX($W$17:$W$817,ROW()-16),"")</f>
        <v/>
      </c>
      <c r="D101">
        <f>IFERROR(INDEX($AA$17:$AA$817,ROW()-16),"")</f>
        <v/>
      </c>
    </row>
    <row r="102">
      <c r="A102" s="23">
        <f>IFERROR(INDEX($R$17:$R$817,ROW()-16),"")</f>
        <v/>
      </c>
      <c r="B102">
        <f>IFERROR(INDEX($S$17:$S$817,ROW()-16),"")</f>
        <v/>
      </c>
      <c r="C102">
        <f>IFERROR(INDEX($W$17:$W$817,ROW()-16),"")</f>
        <v/>
      </c>
      <c r="D102">
        <f>IFERROR(INDEX($AA$17:$AA$817,ROW()-16),"")</f>
        <v/>
      </c>
    </row>
    <row r="103">
      <c r="A103" s="23">
        <f>IFERROR(INDEX($R$17:$R$817,ROW()-16),"")</f>
        <v/>
      </c>
      <c r="B103">
        <f>IFERROR(INDEX($S$17:$S$817,ROW()-16),"")</f>
        <v/>
      </c>
      <c r="C103">
        <f>IFERROR(INDEX($W$17:$W$817,ROW()-16),"")</f>
        <v/>
      </c>
      <c r="D103">
        <f>IFERROR(INDEX($AA$17:$AA$817,ROW()-16),"")</f>
        <v/>
      </c>
    </row>
    <row r="104">
      <c r="A104" s="23">
        <f>IFERROR(INDEX($R$17:$R$817,ROW()-16),"")</f>
        <v/>
      </c>
      <c r="B104">
        <f>IFERROR(INDEX($S$17:$S$817,ROW()-16),"")</f>
        <v/>
      </c>
      <c r="C104">
        <f>IFERROR(INDEX($W$17:$W$817,ROW()-16),"")</f>
        <v/>
      </c>
      <c r="D104">
        <f>IFERROR(INDEX($AA$17:$AA$817,ROW()-16),"")</f>
        <v/>
      </c>
    </row>
    <row r="105">
      <c r="A105" s="23">
        <f>IFERROR(INDEX($R$17:$R$817,ROW()-16),"")</f>
        <v/>
      </c>
      <c r="B105">
        <f>IFERROR(INDEX($S$17:$S$817,ROW()-16),"")</f>
        <v/>
      </c>
      <c r="C105">
        <f>IFERROR(INDEX($W$17:$W$817,ROW()-16),"")</f>
        <v/>
      </c>
      <c r="D105">
        <f>IFERROR(INDEX($AA$17:$AA$817,ROW()-16),"")</f>
        <v/>
      </c>
    </row>
    <row r="106">
      <c r="A106" s="23">
        <f>IFERROR(INDEX($R$17:$R$817,ROW()-16),"")</f>
        <v/>
      </c>
      <c r="B106">
        <f>IFERROR(INDEX($S$17:$S$817,ROW()-16),"")</f>
        <v/>
      </c>
      <c r="C106">
        <f>IFERROR(INDEX($W$17:$W$817,ROW()-16),"")</f>
        <v/>
      </c>
      <c r="D106">
        <f>IFERROR(INDEX($AA$17:$AA$817,ROW()-16),"")</f>
        <v/>
      </c>
    </row>
    <row r="107">
      <c r="A107" s="23">
        <f>IFERROR(INDEX($R$17:$R$817,ROW()-16),"")</f>
        <v/>
      </c>
      <c r="B107">
        <f>IFERROR(INDEX($S$17:$S$817,ROW()-16),"")</f>
        <v/>
      </c>
      <c r="C107">
        <f>IFERROR(INDEX($W$17:$W$817,ROW()-16),"")</f>
        <v/>
      </c>
      <c r="D107">
        <f>IFERROR(INDEX($AA$17:$AA$817,ROW()-16),"")</f>
        <v/>
      </c>
    </row>
    <row r="108">
      <c r="A108" s="23">
        <f>IFERROR(INDEX($R$17:$R$817,ROW()-16),"")</f>
        <v/>
      </c>
      <c r="B108">
        <f>IFERROR(INDEX($S$17:$S$817,ROW()-16),"")</f>
        <v/>
      </c>
      <c r="C108">
        <f>IFERROR(INDEX($W$17:$W$817,ROW()-16),"")</f>
        <v/>
      </c>
      <c r="D108">
        <f>IFERROR(INDEX($AA$17:$AA$817,ROW()-16),"")</f>
        <v/>
      </c>
    </row>
    <row r="109">
      <c r="A109" s="23">
        <f>IFERROR(INDEX($R$17:$R$817,ROW()-16),"")</f>
        <v/>
      </c>
      <c r="B109">
        <f>IFERROR(INDEX($S$17:$S$817,ROW()-16),"")</f>
        <v/>
      </c>
      <c r="C109">
        <f>IFERROR(INDEX($W$17:$W$817,ROW()-16),"")</f>
        <v/>
      </c>
      <c r="D109">
        <f>IFERROR(INDEX($AA$17:$AA$817,ROW()-16),"")</f>
        <v/>
      </c>
    </row>
    <row r="110">
      <c r="A110" s="23">
        <f>IFERROR(INDEX($R$17:$R$817,ROW()-16),"")</f>
        <v/>
      </c>
      <c r="B110">
        <f>IFERROR(INDEX($S$17:$S$817,ROW()-16),"")</f>
        <v/>
      </c>
      <c r="C110">
        <f>IFERROR(INDEX($W$17:$W$817,ROW()-16),"")</f>
        <v/>
      </c>
      <c r="D110">
        <f>IFERROR(INDEX($AA$17:$AA$817,ROW()-16),"")</f>
        <v/>
      </c>
    </row>
    <row r="111">
      <c r="A111" s="23">
        <f>IFERROR(INDEX($R$17:$R$817,ROW()-16),"")</f>
        <v/>
      </c>
      <c r="B111">
        <f>IFERROR(INDEX($S$17:$S$817,ROW()-16),"")</f>
        <v/>
      </c>
      <c r="C111">
        <f>IFERROR(INDEX($W$17:$W$817,ROW()-16),"")</f>
        <v/>
      </c>
      <c r="D111">
        <f>IFERROR(INDEX($AA$17:$AA$817,ROW()-16),"")</f>
        <v/>
      </c>
    </row>
    <row r="112">
      <c r="A112" s="23">
        <f>IFERROR(INDEX($R$17:$R$817,ROW()-16),"")</f>
        <v/>
      </c>
      <c r="B112">
        <f>IFERROR(INDEX($S$17:$S$817,ROW()-16),"")</f>
        <v/>
      </c>
      <c r="C112">
        <f>IFERROR(INDEX($W$17:$W$817,ROW()-16),"")</f>
        <v/>
      </c>
      <c r="D112">
        <f>IFERROR(INDEX($AA$17:$AA$817,ROW()-16),"")</f>
        <v/>
      </c>
    </row>
    <row r="113">
      <c r="A113" s="23">
        <f>IFERROR(INDEX($R$17:$R$817,ROW()-16),"")</f>
        <v/>
      </c>
      <c r="B113">
        <f>IFERROR(INDEX($S$17:$S$817,ROW()-16),"")</f>
        <v/>
      </c>
      <c r="C113">
        <f>IFERROR(INDEX($W$17:$W$817,ROW()-16),"")</f>
        <v/>
      </c>
      <c r="D113">
        <f>IFERROR(INDEX($AA$17:$AA$817,ROW()-16),"")</f>
        <v/>
      </c>
    </row>
    <row r="114">
      <c r="A114" s="23">
        <f>IFERROR(INDEX($R$17:$R$817,ROW()-16),"")</f>
        <v/>
      </c>
      <c r="B114">
        <f>IFERROR(INDEX($S$17:$S$817,ROW()-16),"")</f>
        <v/>
      </c>
      <c r="C114">
        <f>IFERROR(INDEX($W$17:$W$817,ROW()-16),"")</f>
        <v/>
      </c>
      <c r="D114">
        <f>IFERROR(INDEX($AA$17:$AA$817,ROW()-16),"")</f>
        <v/>
      </c>
    </row>
    <row r="115">
      <c r="A115" s="23">
        <f>IFERROR(INDEX($R$17:$R$817,ROW()-16),"")</f>
        <v/>
      </c>
      <c r="B115">
        <f>IFERROR(INDEX($S$17:$S$817,ROW()-16),"")</f>
        <v/>
      </c>
      <c r="C115">
        <f>IFERROR(INDEX($W$17:$W$817,ROW()-16),"")</f>
        <v/>
      </c>
      <c r="D115">
        <f>IFERROR(INDEX($AA$17:$AA$817,ROW()-16),"")</f>
        <v/>
      </c>
    </row>
    <row r="116">
      <c r="A116" s="23">
        <f>IFERROR(INDEX($R$17:$R$817,ROW()-16),"")</f>
        <v/>
      </c>
      <c r="B116">
        <f>IFERROR(INDEX($S$17:$S$817,ROW()-16),"")</f>
        <v/>
      </c>
      <c r="C116">
        <f>IFERROR(INDEX($W$17:$W$817,ROW()-16),"")</f>
        <v/>
      </c>
      <c r="D116">
        <f>IFERROR(INDEX($AA$17:$AA$817,ROW()-16),"")</f>
        <v/>
      </c>
    </row>
    <row r="117">
      <c r="A117" s="23">
        <f>IFERROR(INDEX($R$17:$R$817,ROW()-16),"")</f>
        <v/>
      </c>
      <c r="B117">
        <f>IFERROR(INDEX($S$17:$S$817,ROW()-16),"")</f>
        <v/>
      </c>
      <c r="C117">
        <f>IFERROR(INDEX($W$17:$W$817,ROW()-16),"")</f>
        <v/>
      </c>
      <c r="D117">
        <f>IFERROR(INDEX($AA$17:$AA$817,ROW()-16),"")</f>
        <v/>
      </c>
    </row>
    <row r="118">
      <c r="A118" s="23">
        <f>IFERROR(INDEX($R$17:$R$817,ROW()-16),"")</f>
        <v/>
      </c>
      <c r="B118">
        <f>IFERROR(INDEX($S$17:$S$817,ROW()-16),"")</f>
        <v/>
      </c>
      <c r="C118">
        <f>IFERROR(INDEX($W$17:$W$817,ROW()-16),"")</f>
        <v/>
      </c>
      <c r="D118">
        <f>IFERROR(INDEX($AA$17:$AA$817,ROW()-16),"")</f>
        <v/>
      </c>
    </row>
    <row r="119">
      <c r="A119" s="23">
        <f>IFERROR(INDEX($R$17:$R$817,ROW()-16),"")</f>
        <v/>
      </c>
      <c r="B119">
        <f>IFERROR(INDEX($S$17:$S$817,ROW()-16),"")</f>
        <v/>
      </c>
      <c r="C119">
        <f>IFERROR(INDEX($W$17:$W$817,ROW()-16),"")</f>
        <v/>
      </c>
      <c r="D119">
        <f>IFERROR(INDEX($AA$17:$AA$817,ROW()-16),"")</f>
        <v/>
      </c>
    </row>
    <row r="120">
      <c r="A120" s="23">
        <f>IFERROR(INDEX($R$17:$R$817,ROW()-16),"")</f>
        <v/>
      </c>
      <c r="B120">
        <f>IFERROR(INDEX($S$17:$S$817,ROW()-16),"")</f>
        <v/>
      </c>
      <c r="C120">
        <f>IFERROR(INDEX($W$17:$W$817,ROW()-16),"")</f>
        <v/>
      </c>
      <c r="D120">
        <f>IFERROR(INDEX($AA$17:$AA$817,ROW()-16),"")</f>
        <v/>
      </c>
    </row>
    <row r="121">
      <c r="A121" s="23">
        <f>IFERROR(INDEX($R$17:$R$817,ROW()-16),"")</f>
        <v/>
      </c>
      <c r="B121">
        <f>IFERROR(INDEX($S$17:$S$817,ROW()-16),"")</f>
        <v/>
      </c>
      <c r="C121">
        <f>IFERROR(INDEX($W$17:$W$817,ROW()-16),"")</f>
        <v/>
      </c>
      <c r="D121">
        <f>IFERROR(INDEX($AA$17:$AA$817,ROW()-16),"")</f>
        <v/>
      </c>
    </row>
    <row r="122">
      <c r="A122" s="23">
        <f>IFERROR(INDEX($R$17:$R$817,ROW()-16),"")</f>
        <v/>
      </c>
      <c r="B122">
        <f>IFERROR(INDEX($S$17:$S$817,ROW()-16),"")</f>
        <v/>
      </c>
      <c r="C122">
        <f>IFERROR(INDEX($W$17:$W$817,ROW()-16),"")</f>
        <v/>
      </c>
      <c r="D122">
        <f>IFERROR(INDEX($AA$17:$AA$817,ROW()-16),"")</f>
        <v/>
      </c>
    </row>
    <row r="123">
      <c r="A123" s="23">
        <f>IFERROR(INDEX($R$17:$R$817,ROW()-16),"")</f>
        <v/>
      </c>
      <c r="B123">
        <f>IFERROR(INDEX($S$17:$S$817,ROW()-16),"")</f>
        <v/>
      </c>
      <c r="C123">
        <f>IFERROR(INDEX($W$17:$W$817,ROW()-16),"")</f>
        <v/>
      </c>
      <c r="D123">
        <f>IFERROR(INDEX($AA$17:$AA$817,ROW()-16),"")</f>
        <v/>
      </c>
    </row>
    <row r="124">
      <c r="A124" s="23">
        <f>IFERROR(INDEX($R$17:$R$817,ROW()-16),"")</f>
        <v/>
      </c>
      <c r="B124">
        <f>IFERROR(INDEX($S$17:$S$817,ROW()-16),"")</f>
        <v/>
      </c>
      <c r="C124">
        <f>IFERROR(INDEX($W$17:$W$817,ROW()-16),"")</f>
        <v/>
      </c>
      <c r="D124">
        <f>IFERROR(INDEX($AA$17:$AA$817,ROW()-16),"")</f>
        <v/>
      </c>
    </row>
    <row r="125">
      <c r="A125" s="23">
        <f>IFERROR(INDEX($R$17:$R$817,ROW()-16),"")</f>
        <v/>
      </c>
      <c r="B125">
        <f>IFERROR(INDEX($S$17:$S$817,ROW()-16),"")</f>
        <v/>
      </c>
      <c r="C125">
        <f>IFERROR(INDEX($W$17:$W$817,ROW()-16),"")</f>
        <v/>
      </c>
      <c r="D125">
        <f>IFERROR(INDEX($AA$17:$AA$817,ROW()-16),"")</f>
        <v/>
      </c>
    </row>
    <row r="126">
      <c r="A126" s="23">
        <f>IFERROR(INDEX($R$17:$R$817,ROW()-16),"")</f>
        <v/>
      </c>
      <c r="B126">
        <f>IFERROR(INDEX($S$17:$S$817,ROW()-16),"")</f>
        <v/>
      </c>
      <c r="C126">
        <f>IFERROR(INDEX($W$17:$W$817,ROW()-16),"")</f>
        <v/>
      </c>
      <c r="D126">
        <f>IFERROR(INDEX($AA$17:$AA$817,ROW()-16),"")</f>
        <v/>
      </c>
    </row>
    <row r="127">
      <c r="A127" s="23">
        <f>IFERROR(INDEX($R$17:$R$817,ROW()-16),"")</f>
        <v/>
      </c>
      <c r="B127">
        <f>IFERROR(INDEX($S$17:$S$817,ROW()-16),"")</f>
        <v/>
      </c>
      <c r="C127">
        <f>IFERROR(INDEX($W$17:$W$817,ROW()-16),"")</f>
        <v/>
      </c>
      <c r="D127">
        <f>IFERROR(INDEX($AA$17:$AA$817,ROW()-16),"")</f>
        <v/>
      </c>
    </row>
    <row r="128">
      <c r="A128" s="23">
        <f>IFERROR(INDEX($R$17:$R$817,ROW()-16),"")</f>
        <v/>
      </c>
      <c r="B128">
        <f>IFERROR(INDEX($S$17:$S$817,ROW()-16),"")</f>
        <v/>
      </c>
      <c r="C128">
        <f>IFERROR(INDEX($W$17:$W$817,ROW()-16),"")</f>
        <v/>
      </c>
      <c r="D128">
        <f>IFERROR(INDEX($AA$17:$AA$817,ROW()-16),"")</f>
        <v/>
      </c>
    </row>
    <row r="129">
      <c r="A129" s="23">
        <f>IFERROR(INDEX($R$17:$R$817,ROW()-16),"")</f>
        <v/>
      </c>
      <c r="B129">
        <f>IFERROR(INDEX($S$17:$S$817,ROW()-16),"")</f>
        <v/>
      </c>
      <c r="C129">
        <f>IFERROR(INDEX($W$17:$W$817,ROW()-16),"")</f>
        <v/>
      </c>
      <c r="D129">
        <f>IFERROR(INDEX($AA$17:$AA$817,ROW()-16),"")</f>
        <v/>
      </c>
    </row>
    <row r="130">
      <c r="A130" s="23">
        <f>IFERROR(INDEX($R$17:$R$817,ROW()-16),"")</f>
        <v/>
      </c>
      <c r="B130">
        <f>IFERROR(INDEX($S$17:$S$817,ROW()-16),"")</f>
        <v/>
      </c>
      <c r="C130">
        <f>IFERROR(INDEX($W$17:$W$817,ROW()-16),"")</f>
        <v/>
      </c>
      <c r="D130">
        <f>IFERROR(INDEX($AA$17:$AA$817,ROW()-16),"")</f>
        <v/>
      </c>
    </row>
    <row r="131">
      <c r="A131" s="23">
        <f>IFERROR(INDEX($R$17:$R$817,ROW()-16),"")</f>
        <v/>
      </c>
      <c r="B131">
        <f>IFERROR(INDEX($S$17:$S$817,ROW()-16),"")</f>
        <v/>
      </c>
      <c r="C131">
        <f>IFERROR(INDEX($W$17:$W$817,ROW()-16),"")</f>
        <v/>
      </c>
      <c r="D131">
        <f>IFERROR(INDEX($AA$17:$AA$817,ROW()-16),"")</f>
        <v/>
      </c>
    </row>
    <row r="132">
      <c r="A132" s="23">
        <f>IFERROR(INDEX($R$17:$R$817,ROW()-16),"")</f>
        <v/>
      </c>
      <c r="B132">
        <f>IFERROR(INDEX($S$17:$S$817,ROW()-16),"")</f>
        <v/>
      </c>
      <c r="C132">
        <f>IFERROR(INDEX($W$17:$W$817,ROW()-16),"")</f>
        <v/>
      </c>
      <c r="D132">
        <f>IFERROR(INDEX($AA$17:$AA$817,ROW()-16),"")</f>
        <v/>
      </c>
    </row>
    <row r="133">
      <c r="A133" s="23">
        <f>IFERROR(INDEX($R$17:$R$817,ROW()-16),"")</f>
        <v/>
      </c>
      <c r="B133">
        <f>IFERROR(INDEX($S$17:$S$817,ROW()-16),"")</f>
        <v/>
      </c>
      <c r="C133">
        <f>IFERROR(INDEX($W$17:$W$817,ROW()-16),"")</f>
        <v/>
      </c>
      <c r="D133">
        <f>IFERROR(INDEX($AA$17:$AA$817,ROW()-16),"")</f>
        <v/>
      </c>
    </row>
    <row r="134">
      <c r="A134" s="23">
        <f>IFERROR(INDEX($R$17:$R$817,ROW()-16),"")</f>
        <v/>
      </c>
      <c r="B134">
        <f>IFERROR(INDEX($S$17:$S$817,ROW()-16),"")</f>
        <v/>
      </c>
      <c r="C134">
        <f>IFERROR(INDEX($W$17:$W$817,ROW()-16),"")</f>
        <v/>
      </c>
      <c r="D134">
        <f>IFERROR(INDEX($AA$17:$AA$817,ROW()-16),"")</f>
        <v/>
      </c>
    </row>
    <row r="135">
      <c r="A135" s="23">
        <f>IFERROR(INDEX($R$17:$R$817,ROW()-16),"")</f>
        <v/>
      </c>
      <c r="B135">
        <f>IFERROR(INDEX($S$17:$S$817,ROW()-16),"")</f>
        <v/>
      </c>
      <c r="C135">
        <f>IFERROR(INDEX($W$17:$W$817,ROW()-16),"")</f>
        <v/>
      </c>
      <c r="D135">
        <f>IFERROR(INDEX($AA$17:$AA$817,ROW()-16),"")</f>
        <v/>
      </c>
    </row>
    <row r="136">
      <c r="A136" s="23">
        <f>IFERROR(INDEX($R$17:$R$817,ROW()-16),"")</f>
        <v/>
      </c>
      <c r="B136">
        <f>IFERROR(INDEX($S$17:$S$817,ROW()-16),"")</f>
        <v/>
      </c>
      <c r="C136">
        <f>IFERROR(INDEX($W$17:$W$817,ROW()-16),"")</f>
        <v/>
      </c>
      <c r="D136">
        <f>IFERROR(INDEX($AA$17:$AA$817,ROW()-16),"")</f>
        <v/>
      </c>
    </row>
    <row r="137">
      <c r="A137" s="23">
        <f>IFERROR(INDEX($R$17:$R$817,ROW()-16),"")</f>
        <v/>
      </c>
      <c r="B137">
        <f>IFERROR(INDEX($S$17:$S$817,ROW()-16),"")</f>
        <v/>
      </c>
      <c r="C137">
        <f>IFERROR(INDEX($W$17:$W$817,ROW()-16),"")</f>
        <v/>
      </c>
      <c r="D137">
        <f>IFERROR(INDEX($AA$17:$AA$817,ROW()-16),"")</f>
        <v/>
      </c>
    </row>
    <row r="138">
      <c r="A138" s="23">
        <f>IFERROR(INDEX($R$17:$R$817,ROW()-16),"")</f>
        <v/>
      </c>
      <c r="B138">
        <f>IFERROR(INDEX($S$17:$S$817,ROW()-16),"")</f>
        <v/>
      </c>
      <c r="C138">
        <f>IFERROR(INDEX($W$17:$W$817,ROW()-16),"")</f>
        <v/>
      </c>
      <c r="D138">
        <f>IFERROR(INDEX($AA$17:$AA$817,ROW()-16),"")</f>
        <v/>
      </c>
    </row>
    <row r="139">
      <c r="A139" s="23">
        <f>IFERROR(INDEX($R$17:$R$817,ROW()-16),"")</f>
        <v/>
      </c>
      <c r="B139">
        <f>IFERROR(INDEX($S$17:$S$817,ROW()-16),"")</f>
        <v/>
      </c>
      <c r="C139">
        <f>IFERROR(INDEX($W$17:$W$817,ROW()-16),"")</f>
        <v/>
      </c>
      <c r="D139">
        <f>IFERROR(INDEX($AA$17:$AA$817,ROW()-16),"")</f>
        <v/>
      </c>
    </row>
    <row r="140">
      <c r="A140" s="23">
        <f>IFERROR(INDEX($R$17:$R$817,ROW()-16),"")</f>
        <v/>
      </c>
      <c r="B140">
        <f>IFERROR(INDEX($S$17:$S$817,ROW()-16),"")</f>
        <v/>
      </c>
      <c r="C140">
        <f>IFERROR(INDEX($W$17:$W$817,ROW()-16),"")</f>
        <v/>
      </c>
      <c r="D140">
        <f>IFERROR(INDEX($AA$17:$AA$817,ROW()-16),"")</f>
        <v/>
      </c>
    </row>
    <row r="141">
      <c r="A141" s="23">
        <f>IFERROR(INDEX($R$17:$R$817,ROW()-16),"")</f>
        <v/>
      </c>
      <c r="B141">
        <f>IFERROR(INDEX($S$17:$S$817,ROW()-16),"")</f>
        <v/>
      </c>
      <c r="C141">
        <f>IFERROR(INDEX($W$17:$W$817,ROW()-16),"")</f>
        <v/>
      </c>
      <c r="D141">
        <f>IFERROR(INDEX($AA$17:$AA$817,ROW()-16),"")</f>
        <v/>
      </c>
    </row>
    <row r="142">
      <c r="A142" s="23">
        <f>IFERROR(INDEX($R$17:$R$817,ROW()-16),"")</f>
        <v/>
      </c>
      <c r="B142">
        <f>IFERROR(INDEX($S$17:$S$817,ROW()-16),"")</f>
        <v/>
      </c>
      <c r="C142">
        <f>IFERROR(INDEX($W$17:$W$817,ROW()-16),"")</f>
        <v/>
      </c>
      <c r="D142">
        <f>IFERROR(INDEX($AA$17:$AA$817,ROW()-16),"")</f>
        <v/>
      </c>
    </row>
    <row r="143">
      <c r="A143" s="23">
        <f>IFERROR(INDEX($R$17:$R$817,ROW()-16),"")</f>
        <v/>
      </c>
      <c r="B143">
        <f>IFERROR(INDEX($S$17:$S$817,ROW()-16),"")</f>
        <v/>
      </c>
      <c r="C143">
        <f>IFERROR(INDEX($W$17:$W$817,ROW()-16),"")</f>
        <v/>
      </c>
      <c r="D143">
        <f>IFERROR(INDEX($AA$17:$AA$817,ROW()-16),"")</f>
        <v/>
      </c>
    </row>
    <row r="144">
      <c r="A144" s="23">
        <f>IFERROR(INDEX($R$17:$R$817,ROW()-16),"")</f>
        <v/>
      </c>
      <c r="B144">
        <f>IFERROR(INDEX($S$17:$S$817,ROW()-16),"")</f>
        <v/>
      </c>
      <c r="C144">
        <f>IFERROR(INDEX($W$17:$W$817,ROW()-16),"")</f>
        <v/>
      </c>
      <c r="D144">
        <f>IFERROR(INDEX($AA$17:$AA$817,ROW()-16),"")</f>
        <v/>
      </c>
    </row>
    <row r="145">
      <c r="A145" s="23">
        <f>IFERROR(INDEX($R$17:$R$817,ROW()-16),"")</f>
        <v/>
      </c>
      <c r="B145">
        <f>IFERROR(INDEX($S$17:$S$817,ROW()-16),"")</f>
        <v/>
      </c>
      <c r="C145">
        <f>IFERROR(INDEX($W$17:$W$817,ROW()-16),"")</f>
        <v/>
      </c>
      <c r="D145">
        <f>IFERROR(INDEX($AA$17:$AA$817,ROW()-16),"")</f>
        <v/>
      </c>
    </row>
    <row r="146">
      <c r="A146" s="23">
        <f>IFERROR(INDEX($R$17:$R$817,ROW()-16),"")</f>
        <v/>
      </c>
      <c r="B146">
        <f>IFERROR(INDEX($S$17:$S$817,ROW()-16),"")</f>
        <v/>
      </c>
      <c r="C146">
        <f>IFERROR(INDEX($W$17:$W$817,ROW()-16),"")</f>
        <v/>
      </c>
      <c r="D146">
        <f>IFERROR(INDEX($AA$17:$AA$817,ROW()-16),"")</f>
        <v/>
      </c>
    </row>
    <row r="147">
      <c r="A147" s="23">
        <f>IFERROR(INDEX($R$17:$R$817,ROW()-16),"")</f>
        <v/>
      </c>
      <c r="B147">
        <f>IFERROR(INDEX($S$17:$S$817,ROW()-16),"")</f>
        <v/>
      </c>
      <c r="C147">
        <f>IFERROR(INDEX($W$17:$W$817,ROW()-16),"")</f>
        <v/>
      </c>
      <c r="D147">
        <f>IFERROR(INDEX($AA$17:$AA$817,ROW()-16),"")</f>
        <v/>
      </c>
    </row>
    <row r="148">
      <c r="A148" s="23">
        <f>IFERROR(INDEX($R$17:$R$817,ROW()-16),"")</f>
        <v/>
      </c>
      <c r="B148">
        <f>IFERROR(INDEX($S$17:$S$817,ROW()-16),"")</f>
        <v/>
      </c>
      <c r="C148">
        <f>IFERROR(INDEX($W$17:$W$817,ROW()-16),"")</f>
        <v/>
      </c>
      <c r="D148">
        <f>IFERROR(INDEX($AA$17:$AA$817,ROW()-16),"")</f>
        <v/>
      </c>
    </row>
    <row r="149">
      <c r="A149" s="23">
        <f>IFERROR(INDEX($R$17:$R$817,ROW()-16),"")</f>
        <v/>
      </c>
      <c r="B149">
        <f>IFERROR(INDEX($S$17:$S$817,ROW()-16),"")</f>
        <v/>
      </c>
      <c r="C149">
        <f>IFERROR(INDEX($W$17:$W$817,ROW()-16),"")</f>
        <v/>
      </c>
      <c r="D149">
        <f>IFERROR(INDEX($AA$17:$AA$817,ROW()-16),"")</f>
        <v/>
      </c>
    </row>
    <row r="150">
      <c r="A150" s="23">
        <f>IFERROR(INDEX($R$17:$R$817,ROW()-16),"")</f>
        <v/>
      </c>
      <c r="B150">
        <f>IFERROR(INDEX($S$17:$S$817,ROW()-16),"")</f>
        <v/>
      </c>
      <c r="C150">
        <f>IFERROR(INDEX($W$17:$W$817,ROW()-16),"")</f>
        <v/>
      </c>
      <c r="D150">
        <f>IFERROR(INDEX($AA$17:$AA$817,ROW()-16),"")</f>
        <v/>
      </c>
    </row>
    <row r="151">
      <c r="A151" s="23">
        <f>IFERROR(INDEX($R$17:$R$817,ROW()-16),"")</f>
        <v/>
      </c>
      <c r="B151">
        <f>IFERROR(INDEX($S$17:$S$817,ROW()-16),"")</f>
        <v/>
      </c>
      <c r="C151">
        <f>IFERROR(INDEX($W$17:$W$817,ROW()-16),"")</f>
        <v/>
      </c>
      <c r="D151">
        <f>IFERROR(INDEX($AA$17:$AA$817,ROW()-16),"")</f>
        <v/>
      </c>
    </row>
    <row r="152">
      <c r="A152" s="23">
        <f>IFERROR(INDEX($R$17:$R$817,ROW()-16),"")</f>
        <v/>
      </c>
      <c r="B152">
        <f>IFERROR(INDEX($S$17:$S$817,ROW()-16),"")</f>
        <v/>
      </c>
      <c r="C152">
        <f>IFERROR(INDEX($W$17:$W$817,ROW()-16),"")</f>
        <v/>
      </c>
      <c r="D152">
        <f>IFERROR(INDEX($AA$17:$AA$817,ROW()-16),"")</f>
        <v/>
      </c>
    </row>
    <row r="153">
      <c r="A153" s="23">
        <f>IFERROR(INDEX($R$17:$R$817,ROW()-16),"")</f>
        <v/>
      </c>
      <c r="B153">
        <f>IFERROR(INDEX($S$17:$S$817,ROW()-16),"")</f>
        <v/>
      </c>
      <c r="C153">
        <f>IFERROR(INDEX($W$17:$W$817,ROW()-16),"")</f>
        <v/>
      </c>
      <c r="D153">
        <f>IFERROR(INDEX($AA$17:$AA$817,ROW()-16),"")</f>
        <v/>
      </c>
    </row>
    <row r="154">
      <c r="A154" s="23">
        <f>IFERROR(INDEX($R$17:$R$817,ROW()-16),"")</f>
        <v/>
      </c>
      <c r="B154">
        <f>IFERROR(INDEX($S$17:$S$817,ROW()-16),"")</f>
        <v/>
      </c>
      <c r="C154">
        <f>IFERROR(INDEX($W$17:$W$817,ROW()-16),"")</f>
        <v/>
      </c>
      <c r="D154">
        <f>IFERROR(INDEX($AA$17:$AA$817,ROW()-16),"")</f>
        <v/>
      </c>
    </row>
    <row r="155">
      <c r="A155" s="23">
        <f>IFERROR(INDEX($R$17:$R$817,ROW()-16),"")</f>
        <v/>
      </c>
      <c r="B155">
        <f>IFERROR(INDEX($S$17:$S$817,ROW()-16),"")</f>
        <v/>
      </c>
      <c r="C155">
        <f>IFERROR(INDEX($W$17:$W$817,ROW()-16),"")</f>
        <v/>
      </c>
      <c r="D155">
        <f>IFERROR(INDEX($AA$17:$AA$817,ROW()-16),"")</f>
        <v/>
      </c>
    </row>
    <row r="156">
      <c r="A156" s="23">
        <f>IFERROR(INDEX($R$17:$R$817,ROW()-16),"")</f>
        <v/>
      </c>
      <c r="B156">
        <f>IFERROR(INDEX($S$17:$S$817,ROW()-16),"")</f>
        <v/>
      </c>
      <c r="C156">
        <f>IFERROR(INDEX($W$17:$W$817,ROW()-16),"")</f>
        <v/>
      </c>
      <c r="D156">
        <f>IFERROR(INDEX($AA$17:$AA$817,ROW()-16),"")</f>
        <v/>
      </c>
    </row>
    <row r="157">
      <c r="A157" s="23">
        <f>IFERROR(INDEX($R$17:$R$817,ROW()-16),"")</f>
        <v/>
      </c>
      <c r="B157">
        <f>IFERROR(INDEX($S$17:$S$817,ROW()-16),"")</f>
        <v/>
      </c>
      <c r="C157">
        <f>IFERROR(INDEX($W$17:$W$817,ROW()-16),"")</f>
        <v/>
      </c>
      <c r="D157">
        <f>IFERROR(INDEX($AA$17:$AA$817,ROW()-16),"")</f>
        <v/>
      </c>
    </row>
    <row r="158">
      <c r="A158" s="23">
        <f>IFERROR(INDEX($R$17:$R$817,ROW()-16),"")</f>
        <v/>
      </c>
      <c r="B158">
        <f>IFERROR(INDEX($S$17:$S$817,ROW()-16),"")</f>
        <v/>
      </c>
      <c r="C158">
        <f>IFERROR(INDEX($W$17:$W$817,ROW()-16),"")</f>
        <v/>
      </c>
      <c r="D158">
        <f>IFERROR(INDEX($AA$17:$AA$817,ROW()-16),"")</f>
        <v/>
      </c>
    </row>
    <row r="159">
      <c r="A159" s="23">
        <f>IFERROR(INDEX($R$17:$R$817,ROW()-16),"")</f>
        <v/>
      </c>
      <c r="B159">
        <f>IFERROR(INDEX($S$17:$S$817,ROW()-16),"")</f>
        <v/>
      </c>
      <c r="C159">
        <f>IFERROR(INDEX($W$17:$W$817,ROW()-16),"")</f>
        <v/>
      </c>
      <c r="D159">
        <f>IFERROR(INDEX($AA$17:$AA$817,ROW()-16),"")</f>
        <v/>
      </c>
    </row>
    <row r="160">
      <c r="A160" s="23">
        <f>IFERROR(INDEX($R$17:$R$817,ROW()-16),"")</f>
        <v/>
      </c>
      <c r="B160">
        <f>IFERROR(INDEX($S$17:$S$817,ROW()-16),"")</f>
        <v/>
      </c>
      <c r="C160">
        <f>IFERROR(INDEX($W$17:$W$817,ROW()-16),"")</f>
        <v/>
      </c>
      <c r="D160">
        <f>IFERROR(INDEX($AA$17:$AA$817,ROW()-16),"")</f>
        <v/>
      </c>
    </row>
    <row r="161">
      <c r="A161" s="23">
        <f>IFERROR(INDEX($R$17:$R$817,ROW()-16),"")</f>
        <v/>
      </c>
      <c r="B161">
        <f>IFERROR(INDEX($S$17:$S$817,ROW()-16),"")</f>
        <v/>
      </c>
      <c r="C161">
        <f>IFERROR(INDEX($W$17:$W$817,ROW()-16),"")</f>
        <v/>
      </c>
      <c r="D161">
        <f>IFERROR(INDEX($AA$17:$AA$817,ROW()-16),"")</f>
        <v/>
      </c>
    </row>
    <row r="162">
      <c r="A162" s="23">
        <f>IFERROR(INDEX($R$17:$R$817,ROW()-16),"")</f>
        <v/>
      </c>
      <c r="B162">
        <f>IFERROR(INDEX($S$17:$S$817,ROW()-16),"")</f>
        <v/>
      </c>
      <c r="C162">
        <f>IFERROR(INDEX($W$17:$W$817,ROW()-16),"")</f>
        <v/>
      </c>
      <c r="D162">
        <f>IFERROR(INDEX($AA$17:$AA$817,ROW()-16),"")</f>
        <v/>
      </c>
    </row>
    <row r="163">
      <c r="A163" s="23">
        <f>IFERROR(INDEX($R$17:$R$817,ROW()-16),"")</f>
        <v/>
      </c>
      <c r="B163">
        <f>IFERROR(INDEX($S$17:$S$817,ROW()-16),"")</f>
        <v/>
      </c>
      <c r="C163">
        <f>IFERROR(INDEX($W$17:$W$817,ROW()-16),"")</f>
        <v/>
      </c>
      <c r="D163">
        <f>IFERROR(INDEX($AA$17:$AA$817,ROW()-16),"")</f>
        <v/>
      </c>
    </row>
    <row r="164">
      <c r="A164" s="23">
        <f>IFERROR(INDEX($R$17:$R$817,ROW()-16),"")</f>
        <v/>
      </c>
      <c r="B164">
        <f>IFERROR(INDEX($S$17:$S$817,ROW()-16),"")</f>
        <v/>
      </c>
      <c r="C164">
        <f>IFERROR(INDEX($W$17:$W$817,ROW()-16),"")</f>
        <v/>
      </c>
      <c r="D164">
        <f>IFERROR(INDEX($AA$17:$AA$817,ROW()-16),"")</f>
        <v/>
      </c>
    </row>
    <row r="165">
      <c r="A165" s="23">
        <f>IFERROR(INDEX($R$17:$R$817,ROW()-16),"")</f>
        <v/>
      </c>
      <c r="B165">
        <f>IFERROR(INDEX($S$17:$S$817,ROW()-16),"")</f>
        <v/>
      </c>
      <c r="C165">
        <f>IFERROR(INDEX($W$17:$W$817,ROW()-16),"")</f>
        <v/>
      </c>
      <c r="D165">
        <f>IFERROR(INDEX($AA$17:$AA$817,ROW()-16),"")</f>
        <v/>
      </c>
    </row>
    <row r="166">
      <c r="A166" s="23">
        <f>IFERROR(INDEX($R$17:$R$817,ROW()-16),"")</f>
        <v/>
      </c>
      <c r="B166">
        <f>IFERROR(INDEX($S$17:$S$817,ROW()-16),"")</f>
        <v/>
      </c>
      <c r="C166">
        <f>IFERROR(INDEX($W$17:$W$817,ROW()-16),"")</f>
        <v/>
      </c>
      <c r="D166">
        <f>IFERROR(INDEX($AA$17:$AA$817,ROW()-16),"")</f>
        <v/>
      </c>
    </row>
    <row r="167">
      <c r="A167" s="23">
        <f>IFERROR(INDEX($R$17:$R$817,ROW()-16),"")</f>
        <v/>
      </c>
      <c r="B167">
        <f>IFERROR(INDEX($S$17:$S$817,ROW()-16),"")</f>
        <v/>
      </c>
      <c r="C167">
        <f>IFERROR(INDEX($W$17:$W$817,ROW()-16),"")</f>
        <v/>
      </c>
      <c r="D167">
        <f>IFERROR(INDEX($AA$17:$AA$817,ROW()-16),"")</f>
        <v/>
      </c>
    </row>
    <row r="168">
      <c r="A168" s="23">
        <f>IFERROR(INDEX($R$17:$R$817,ROW()-16),"")</f>
        <v/>
      </c>
      <c r="B168">
        <f>IFERROR(INDEX($S$17:$S$817,ROW()-16),"")</f>
        <v/>
      </c>
      <c r="C168">
        <f>IFERROR(INDEX($W$17:$W$817,ROW()-16),"")</f>
        <v/>
      </c>
      <c r="D168">
        <f>IFERROR(INDEX($AA$17:$AA$817,ROW()-16),"")</f>
        <v/>
      </c>
    </row>
    <row r="169">
      <c r="A169" s="23">
        <f>IFERROR(INDEX($R$17:$R$817,ROW()-16),"")</f>
        <v/>
      </c>
      <c r="B169">
        <f>IFERROR(INDEX($S$17:$S$817,ROW()-16),"")</f>
        <v/>
      </c>
      <c r="C169">
        <f>IFERROR(INDEX($W$17:$W$817,ROW()-16),"")</f>
        <v/>
      </c>
      <c r="D169">
        <f>IFERROR(INDEX($AA$17:$AA$817,ROW()-16),"")</f>
        <v/>
      </c>
    </row>
    <row r="170">
      <c r="A170" s="23">
        <f>IFERROR(INDEX($R$17:$R$817,ROW()-16),"")</f>
        <v/>
      </c>
      <c r="B170">
        <f>IFERROR(INDEX($S$17:$S$817,ROW()-16),"")</f>
        <v/>
      </c>
      <c r="C170">
        <f>IFERROR(INDEX($W$17:$W$817,ROW()-16),"")</f>
        <v/>
      </c>
      <c r="D170">
        <f>IFERROR(INDEX($AA$17:$AA$817,ROW()-16),"")</f>
        <v/>
      </c>
    </row>
    <row r="171">
      <c r="A171" s="23">
        <f>IFERROR(INDEX($R$17:$R$817,ROW()-16),"")</f>
        <v/>
      </c>
      <c r="B171">
        <f>IFERROR(INDEX($S$17:$S$817,ROW()-16),"")</f>
        <v/>
      </c>
      <c r="C171">
        <f>IFERROR(INDEX($W$17:$W$817,ROW()-16),"")</f>
        <v/>
      </c>
      <c r="D171">
        <f>IFERROR(INDEX($AA$17:$AA$817,ROW()-16),"")</f>
        <v/>
      </c>
    </row>
    <row r="172">
      <c r="A172" s="23">
        <f>IFERROR(INDEX($R$17:$R$817,ROW()-16),"")</f>
        <v/>
      </c>
      <c r="B172">
        <f>IFERROR(INDEX($S$17:$S$817,ROW()-16),"")</f>
        <v/>
      </c>
      <c r="C172">
        <f>IFERROR(INDEX($W$17:$W$817,ROW()-16),"")</f>
        <v/>
      </c>
      <c r="D172">
        <f>IFERROR(INDEX($AA$17:$AA$817,ROW()-16),"")</f>
        <v/>
      </c>
    </row>
    <row r="173">
      <c r="A173" s="23">
        <f>IFERROR(INDEX($R$17:$R$817,ROW()-16),"")</f>
        <v/>
      </c>
      <c r="B173">
        <f>IFERROR(INDEX($S$17:$S$817,ROW()-16),"")</f>
        <v/>
      </c>
      <c r="C173">
        <f>IFERROR(INDEX($W$17:$W$817,ROW()-16),"")</f>
        <v/>
      </c>
      <c r="D173">
        <f>IFERROR(INDEX($AA$17:$AA$817,ROW()-16),"")</f>
        <v/>
      </c>
    </row>
    <row r="174">
      <c r="A174" s="23">
        <f>IFERROR(INDEX($R$17:$R$817,ROW()-16),"")</f>
        <v/>
      </c>
      <c r="B174">
        <f>IFERROR(INDEX($S$17:$S$817,ROW()-16),"")</f>
        <v/>
      </c>
      <c r="C174">
        <f>IFERROR(INDEX($W$17:$W$817,ROW()-16),"")</f>
        <v/>
      </c>
      <c r="D174">
        <f>IFERROR(INDEX($AA$17:$AA$817,ROW()-16),"")</f>
        <v/>
      </c>
    </row>
    <row r="175">
      <c r="A175" s="23">
        <f>IFERROR(INDEX($R$17:$R$817,ROW()-16),"")</f>
        <v/>
      </c>
      <c r="B175">
        <f>IFERROR(INDEX($S$17:$S$817,ROW()-16),"")</f>
        <v/>
      </c>
      <c r="C175">
        <f>IFERROR(INDEX($W$17:$W$817,ROW()-16),"")</f>
        <v/>
      </c>
      <c r="D175">
        <f>IFERROR(INDEX($AA$17:$AA$817,ROW()-16),"")</f>
        <v/>
      </c>
    </row>
    <row r="176">
      <c r="A176" s="23">
        <f>IFERROR(INDEX($R$17:$R$817,ROW()-16),"")</f>
        <v/>
      </c>
      <c r="B176">
        <f>IFERROR(INDEX($S$17:$S$817,ROW()-16),"")</f>
        <v/>
      </c>
      <c r="C176">
        <f>IFERROR(INDEX($W$17:$W$817,ROW()-16),"")</f>
        <v/>
      </c>
      <c r="D176">
        <f>IFERROR(INDEX($AA$17:$AA$817,ROW()-16),"")</f>
        <v/>
      </c>
    </row>
    <row r="177">
      <c r="A177" s="23">
        <f>IFERROR(INDEX($R$17:$R$817,ROW()-16),"")</f>
        <v/>
      </c>
      <c r="B177">
        <f>IFERROR(INDEX($S$17:$S$817,ROW()-16),"")</f>
        <v/>
      </c>
      <c r="C177">
        <f>IFERROR(INDEX($W$17:$W$817,ROW()-16),"")</f>
        <v/>
      </c>
      <c r="D177">
        <f>IFERROR(INDEX($AA$17:$AA$817,ROW()-16),"")</f>
        <v/>
      </c>
    </row>
    <row r="178">
      <c r="A178" s="23">
        <f>IFERROR(INDEX($R$17:$R$817,ROW()-16),"")</f>
        <v/>
      </c>
      <c r="B178">
        <f>IFERROR(INDEX($S$17:$S$817,ROW()-16),"")</f>
        <v/>
      </c>
      <c r="C178">
        <f>IFERROR(INDEX($W$17:$W$817,ROW()-16),"")</f>
        <v/>
      </c>
      <c r="D178">
        <f>IFERROR(INDEX($AA$17:$AA$817,ROW()-16),"")</f>
        <v/>
      </c>
    </row>
    <row r="179">
      <c r="A179" s="23">
        <f>IFERROR(INDEX($R$17:$R$817,ROW()-16),"")</f>
        <v/>
      </c>
      <c r="B179">
        <f>IFERROR(INDEX($S$17:$S$817,ROW()-16),"")</f>
        <v/>
      </c>
      <c r="C179">
        <f>IFERROR(INDEX($W$17:$W$817,ROW()-16),"")</f>
        <v/>
      </c>
      <c r="D179">
        <f>IFERROR(INDEX($AA$17:$AA$817,ROW()-16),"")</f>
        <v/>
      </c>
    </row>
    <row r="180">
      <c r="A180" s="23">
        <f>IFERROR(INDEX($R$17:$R$817,ROW()-16),"")</f>
        <v/>
      </c>
      <c r="B180">
        <f>IFERROR(INDEX($S$17:$S$817,ROW()-16),"")</f>
        <v/>
      </c>
      <c r="C180">
        <f>IFERROR(INDEX($W$17:$W$817,ROW()-16),"")</f>
        <v/>
      </c>
      <c r="D180">
        <f>IFERROR(INDEX($AA$17:$AA$817,ROW()-16),"")</f>
        <v/>
      </c>
    </row>
    <row r="181">
      <c r="A181" s="23">
        <f>IFERROR(INDEX($R$17:$R$817,ROW()-16),"")</f>
        <v/>
      </c>
      <c r="B181">
        <f>IFERROR(INDEX($S$17:$S$817,ROW()-16),"")</f>
        <v/>
      </c>
      <c r="C181">
        <f>IFERROR(INDEX($W$17:$W$817,ROW()-16),"")</f>
        <v/>
      </c>
      <c r="D181">
        <f>IFERROR(INDEX($AA$17:$AA$817,ROW()-16),"")</f>
        <v/>
      </c>
    </row>
    <row r="182">
      <c r="A182" s="23">
        <f>IFERROR(INDEX($R$17:$R$817,ROW()-16),"")</f>
        <v/>
      </c>
      <c r="B182">
        <f>IFERROR(INDEX($S$17:$S$817,ROW()-16),"")</f>
        <v/>
      </c>
      <c r="C182">
        <f>IFERROR(INDEX($W$17:$W$817,ROW()-16),"")</f>
        <v/>
      </c>
      <c r="D182">
        <f>IFERROR(INDEX($AA$17:$AA$817,ROW()-16),"")</f>
        <v/>
      </c>
    </row>
    <row r="183">
      <c r="A183" s="23">
        <f>IFERROR(INDEX($R$17:$R$817,ROW()-16),"")</f>
        <v/>
      </c>
      <c r="B183">
        <f>IFERROR(INDEX($S$17:$S$817,ROW()-16),"")</f>
        <v/>
      </c>
      <c r="C183">
        <f>IFERROR(INDEX($W$17:$W$817,ROW()-16),"")</f>
        <v/>
      </c>
      <c r="D183">
        <f>IFERROR(INDEX($AA$17:$AA$817,ROW()-16),"")</f>
        <v/>
      </c>
    </row>
    <row r="184">
      <c r="A184" s="23">
        <f>IFERROR(INDEX($R$17:$R$817,ROW()-16),"")</f>
        <v/>
      </c>
      <c r="B184">
        <f>IFERROR(INDEX($S$17:$S$817,ROW()-16),"")</f>
        <v/>
      </c>
      <c r="C184">
        <f>IFERROR(INDEX($W$17:$W$817,ROW()-16),"")</f>
        <v/>
      </c>
      <c r="D184">
        <f>IFERROR(INDEX($AA$17:$AA$817,ROW()-16),"")</f>
        <v/>
      </c>
    </row>
    <row r="185">
      <c r="A185" s="23">
        <f>IFERROR(INDEX($R$17:$R$817,ROW()-16),"")</f>
        <v/>
      </c>
      <c r="B185">
        <f>IFERROR(INDEX($S$17:$S$817,ROW()-16),"")</f>
        <v/>
      </c>
      <c r="C185">
        <f>IFERROR(INDEX($W$17:$W$817,ROW()-16),"")</f>
        <v/>
      </c>
      <c r="D185">
        <f>IFERROR(INDEX($AA$17:$AA$817,ROW()-16),"")</f>
        <v/>
      </c>
    </row>
    <row r="186">
      <c r="A186" s="23">
        <f>IFERROR(INDEX($R$17:$R$817,ROW()-16),"")</f>
        <v/>
      </c>
      <c r="B186">
        <f>IFERROR(INDEX($S$17:$S$817,ROW()-16),"")</f>
        <v/>
      </c>
      <c r="C186">
        <f>IFERROR(INDEX($W$17:$W$817,ROW()-16),"")</f>
        <v/>
      </c>
      <c r="D186">
        <f>IFERROR(INDEX($AA$17:$AA$817,ROW()-16),"")</f>
        <v/>
      </c>
    </row>
    <row r="187">
      <c r="A187" s="23">
        <f>IFERROR(INDEX($R$17:$R$817,ROW()-16),"")</f>
        <v/>
      </c>
      <c r="B187">
        <f>IFERROR(INDEX($S$17:$S$817,ROW()-16),"")</f>
        <v/>
      </c>
      <c r="C187">
        <f>IFERROR(INDEX($W$17:$W$817,ROW()-16),"")</f>
        <v/>
      </c>
      <c r="D187">
        <f>IFERROR(INDEX($AA$17:$AA$817,ROW()-16),"")</f>
        <v/>
      </c>
    </row>
    <row r="188">
      <c r="A188" s="23">
        <f>IFERROR(INDEX($R$17:$R$817,ROW()-16),"")</f>
        <v/>
      </c>
      <c r="B188">
        <f>IFERROR(INDEX($S$17:$S$817,ROW()-16),"")</f>
        <v/>
      </c>
      <c r="C188">
        <f>IFERROR(INDEX($W$17:$W$817,ROW()-16),"")</f>
        <v/>
      </c>
      <c r="D188">
        <f>IFERROR(INDEX($AA$17:$AA$817,ROW()-16),"")</f>
        <v/>
      </c>
    </row>
    <row r="189">
      <c r="A189" s="23">
        <f>IFERROR(INDEX($R$17:$R$817,ROW()-16),"")</f>
        <v/>
      </c>
      <c r="B189">
        <f>IFERROR(INDEX($S$17:$S$817,ROW()-16),"")</f>
        <v/>
      </c>
      <c r="C189">
        <f>IFERROR(INDEX($W$17:$W$817,ROW()-16),"")</f>
        <v/>
      </c>
      <c r="D189">
        <f>IFERROR(INDEX($AA$17:$AA$817,ROW()-16),"")</f>
        <v/>
      </c>
    </row>
    <row r="190">
      <c r="A190" s="23">
        <f>IFERROR(INDEX($R$17:$R$817,ROW()-16),"")</f>
        <v/>
      </c>
      <c r="B190">
        <f>IFERROR(INDEX($S$17:$S$817,ROW()-16),"")</f>
        <v/>
      </c>
      <c r="C190">
        <f>IFERROR(INDEX($W$17:$W$817,ROW()-16),"")</f>
        <v/>
      </c>
      <c r="D190">
        <f>IFERROR(INDEX($AA$17:$AA$817,ROW()-16),"")</f>
        <v/>
      </c>
    </row>
    <row r="191">
      <c r="A191" s="23">
        <f>IFERROR(INDEX($R$17:$R$817,ROW()-16),"")</f>
        <v/>
      </c>
      <c r="B191">
        <f>IFERROR(INDEX($S$17:$S$817,ROW()-16),"")</f>
        <v/>
      </c>
      <c r="C191">
        <f>IFERROR(INDEX($W$17:$W$817,ROW()-16),"")</f>
        <v/>
      </c>
      <c r="D191">
        <f>IFERROR(INDEX($AA$17:$AA$817,ROW()-16),"")</f>
        <v/>
      </c>
    </row>
    <row r="192">
      <c r="A192" s="23">
        <f>IFERROR(INDEX($R$17:$R$817,ROW()-16),"")</f>
        <v/>
      </c>
      <c r="B192">
        <f>IFERROR(INDEX($S$17:$S$817,ROW()-16),"")</f>
        <v/>
      </c>
      <c r="C192">
        <f>IFERROR(INDEX($W$17:$W$817,ROW()-16),"")</f>
        <v/>
      </c>
      <c r="D192">
        <f>IFERROR(INDEX($AA$17:$AA$817,ROW()-16),"")</f>
        <v/>
      </c>
    </row>
    <row r="193">
      <c r="A193" s="23">
        <f>IFERROR(INDEX($R$17:$R$817,ROW()-16),"")</f>
        <v/>
      </c>
      <c r="B193">
        <f>IFERROR(INDEX($S$17:$S$817,ROW()-16),"")</f>
        <v/>
      </c>
      <c r="C193">
        <f>IFERROR(INDEX($W$17:$W$817,ROW()-16),"")</f>
        <v/>
      </c>
      <c r="D193">
        <f>IFERROR(INDEX($AA$17:$AA$817,ROW()-16),"")</f>
        <v/>
      </c>
    </row>
    <row r="194">
      <c r="A194" s="23">
        <f>IFERROR(INDEX($R$17:$R$817,ROW()-16),"")</f>
        <v/>
      </c>
      <c r="B194">
        <f>IFERROR(INDEX($S$17:$S$817,ROW()-16),"")</f>
        <v/>
      </c>
      <c r="C194">
        <f>IFERROR(INDEX($W$17:$W$817,ROW()-16),"")</f>
        <v/>
      </c>
      <c r="D194">
        <f>IFERROR(INDEX($AA$17:$AA$817,ROW()-16),"")</f>
        <v/>
      </c>
    </row>
    <row r="195">
      <c r="A195" s="23">
        <f>IFERROR(INDEX($R$17:$R$817,ROW()-16),"")</f>
        <v/>
      </c>
      <c r="B195">
        <f>IFERROR(INDEX($S$17:$S$817,ROW()-16),"")</f>
        <v/>
      </c>
      <c r="C195">
        <f>IFERROR(INDEX($W$17:$W$817,ROW()-16),"")</f>
        <v/>
      </c>
      <c r="D195">
        <f>IFERROR(INDEX($AA$17:$AA$817,ROW()-16),"")</f>
        <v/>
      </c>
    </row>
    <row r="196">
      <c r="A196" s="23">
        <f>IFERROR(INDEX($R$17:$R$817,ROW()-16),"")</f>
        <v/>
      </c>
      <c r="B196">
        <f>IFERROR(INDEX($S$17:$S$817,ROW()-16),"")</f>
        <v/>
      </c>
      <c r="C196">
        <f>IFERROR(INDEX($W$17:$W$817,ROW()-16),"")</f>
        <v/>
      </c>
      <c r="D196">
        <f>IFERROR(INDEX($AA$17:$AA$817,ROW()-16),"")</f>
        <v/>
      </c>
    </row>
    <row r="197">
      <c r="A197" s="23">
        <f>IFERROR(INDEX($R$17:$R$817,ROW()-16),"")</f>
        <v/>
      </c>
      <c r="B197">
        <f>IFERROR(INDEX($S$17:$S$817,ROW()-16),"")</f>
        <v/>
      </c>
      <c r="C197">
        <f>IFERROR(INDEX($W$17:$W$817,ROW()-16),"")</f>
        <v/>
      </c>
      <c r="D197">
        <f>IFERROR(INDEX($AA$17:$AA$817,ROW()-16),"")</f>
        <v/>
      </c>
    </row>
    <row r="198">
      <c r="A198" s="23">
        <f>IFERROR(INDEX($R$17:$R$817,ROW()-16),"")</f>
        <v/>
      </c>
      <c r="B198">
        <f>IFERROR(INDEX($S$17:$S$817,ROW()-16),"")</f>
        <v/>
      </c>
      <c r="C198">
        <f>IFERROR(INDEX($W$17:$W$817,ROW()-16),"")</f>
        <v/>
      </c>
      <c r="D198">
        <f>IFERROR(INDEX($AA$17:$AA$817,ROW()-16),"")</f>
        <v/>
      </c>
    </row>
    <row r="199">
      <c r="A199" s="23">
        <f>IFERROR(INDEX($R$17:$R$817,ROW()-16),"")</f>
        <v/>
      </c>
      <c r="B199">
        <f>IFERROR(INDEX($S$17:$S$817,ROW()-16),"")</f>
        <v/>
      </c>
      <c r="C199">
        <f>IFERROR(INDEX($W$17:$W$817,ROW()-16),"")</f>
        <v/>
      </c>
      <c r="D199">
        <f>IFERROR(INDEX($AA$17:$AA$817,ROW()-16),"")</f>
        <v/>
      </c>
    </row>
    <row r="200">
      <c r="A200" s="23">
        <f>IFERROR(INDEX($R$17:$R$817,ROW()-16),"")</f>
        <v/>
      </c>
      <c r="B200">
        <f>IFERROR(INDEX($S$17:$S$817,ROW()-16),"")</f>
        <v/>
      </c>
      <c r="C200">
        <f>IFERROR(INDEX($W$17:$W$817,ROW()-16),"")</f>
        <v/>
      </c>
      <c r="D200">
        <f>IFERROR(INDEX($AA$17:$AA$817,ROW()-16),"")</f>
        <v/>
      </c>
    </row>
    <row r="201">
      <c r="A201" s="23">
        <f>IFERROR(INDEX($R$17:$R$817,ROW()-16),"")</f>
        <v/>
      </c>
      <c r="B201">
        <f>IFERROR(INDEX($S$17:$S$817,ROW()-16),"")</f>
        <v/>
      </c>
      <c r="C201">
        <f>IFERROR(INDEX($W$17:$W$817,ROW()-16),"")</f>
        <v/>
      </c>
      <c r="D201">
        <f>IFERROR(INDEX($AA$17:$AA$817,ROW()-16),"")</f>
        <v/>
      </c>
    </row>
    <row r="202">
      <c r="A202" s="23">
        <f>IFERROR(INDEX($R$17:$R$817,ROW()-16),"")</f>
        <v/>
      </c>
      <c r="B202">
        <f>IFERROR(INDEX($S$17:$S$817,ROW()-16),"")</f>
        <v/>
      </c>
      <c r="C202">
        <f>IFERROR(INDEX($W$17:$W$817,ROW()-16),"")</f>
        <v/>
      </c>
      <c r="D202">
        <f>IFERROR(INDEX($AA$17:$AA$817,ROW()-16),"")</f>
        <v/>
      </c>
    </row>
    <row r="203">
      <c r="A203" s="23">
        <f>IFERROR(INDEX($R$17:$R$817,ROW()-16),"")</f>
        <v/>
      </c>
      <c r="B203">
        <f>IFERROR(INDEX($S$17:$S$817,ROW()-16),"")</f>
        <v/>
      </c>
      <c r="C203">
        <f>IFERROR(INDEX($W$17:$W$817,ROW()-16),"")</f>
        <v/>
      </c>
      <c r="D203">
        <f>IFERROR(INDEX($AA$17:$AA$817,ROW()-16),"")</f>
        <v/>
      </c>
    </row>
    <row r="204">
      <c r="A204" s="23">
        <f>IFERROR(INDEX($R$17:$R$817,ROW()-16),"")</f>
        <v/>
      </c>
      <c r="B204">
        <f>IFERROR(INDEX($S$17:$S$817,ROW()-16),"")</f>
        <v/>
      </c>
      <c r="C204">
        <f>IFERROR(INDEX($W$17:$W$817,ROW()-16),"")</f>
        <v/>
      </c>
      <c r="D204">
        <f>IFERROR(INDEX($AA$17:$AA$817,ROW()-16),"")</f>
        <v/>
      </c>
    </row>
    <row r="205">
      <c r="A205" s="23">
        <f>IFERROR(INDEX($R$17:$R$817,ROW()-16),"")</f>
        <v/>
      </c>
      <c r="B205">
        <f>IFERROR(INDEX($S$17:$S$817,ROW()-16),"")</f>
        <v/>
      </c>
      <c r="C205">
        <f>IFERROR(INDEX($W$17:$W$817,ROW()-16),"")</f>
        <v/>
      </c>
      <c r="D205">
        <f>IFERROR(INDEX($AA$17:$AA$817,ROW()-16),"")</f>
        <v/>
      </c>
    </row>
    <row r="206">
      <c r="A206" s="23">
        <f>IFERROR(INDEX($R$17:$R$817,ROW()-16),"")</f>
        <v/>
      </c>
      <c r="B206">
        <f>IFERROR(INDEX($S$17:$S$817,ROW()-16),"")</f>
        <v/>
      </c>
      <c r="C206">
        <f>IFERROR(INDEX($W$17:$W$817,ROW()-16),"")</f>
        <v/>
      </c>
      <c r="D206">
        <f>IFERROR(INDEX($AA$17:$AA$817,ROW()-16),"")</f>
        <v/>
      </c>
    </row>
    <row r="207">
      <c r="A207" s="23">
        <f>IFERROR(INDEX($R$17:$R$817,ROW()-16),"")</f>
        <v/>
      </c>
      <c r="B207">
        <f>IFERROR(INDEX($S$17:$S$817,ROW()-16),"")</f>
        <v/>
      </c>
      <c r="C207">
        <f>IFERROR(INDEX($W$17:$W$817,ROW()-16),"")</f>
        <v/>
      </c>
      <c r="D207">
        <f>IFERROR(INDEX($AA$17:$AA$817,ROW()-16),"")</f>
        <v/>
      </c>
    </row>
    <row r="208">
      <c r="A208" s="23">
        <f>IFERROR(INDEX($R$17:$R$817,ROW()-16),"")</f>
        <v/>
      </c>
      <c r="B208">
        <f>IFERROR(INDEX($S$17:$S$817,ROW()-16),"")</f>
        <v/>
      </c>
      <c r="C208">
        <f>IFERROR(INDEX($W$17:$W$817,ROW()-16),"")</f>
        <v/>
      </c>
      <c r="D208">
        <f>IFERROR(INDEX($AA$17:$AA$817,ROW()-16),"")</f>
        <v/>
      </c>
    </row>
    <row r="209">
      <c r="A209" s="23">
        <f>IFERROR(INDEX($R$17:$R$817,ROW()-16),"")</f>
        <v/>
      </c>
      <c r="B209">
        <f>IFERROR(INDEX($S$17:$S$817,ROW()-16),"")</f>
        <v/>
      </c>
      <c r="C209">
        <f>IFERROR(INDEX($W$17:$W$817,ROW()-16),"")</f>
        <v/>
      </c>
      <c r="D209">
        <f>IFERROR(INDEX($AA$17:$AA$817,ROW()-16),"")</f>
        <v/>
      </c>
    </row>
    <row r="210">
      <c r="A210" s="23">
        <f>IFERROR(INDEX($R$17:$R$817,ROW()-16),"")</f>
        <v/>
      </c>
      <c r="B210">
        <f>IFERROR(INDEX($S$17:$S$817,ROW()-16),"")</f>
        <v/>
      </c>
      <c r="C210">
        <f>IFERROR(INDEX($W$17:$W$817,ROW()-16),"")</f>
        <v/>
      </c>
      <c r="D210">
        <f>IFERROR(INDEX($AA$17:$AA$817,ROW()-16),"")</f>
        <v/>
      </c>
    </row>
    <row r="211">
      <c r="A211" s="23">
        <f>IFERROR(INDEX($R$17:$R$817,ROW()-16),"")</f>
        <v/>
      </c>
      <c r="B211">
        <f>IFERROR(INDEX($S$17:$S$817,ROW()-16),"")</f>
        <v/>
      </c>
      <c r="C211">
        <f>IFERROR(INDEX($W$17:$W$817,ROW()-16),"")</f>
        <v/>
      </c>
      <c r="D211">
        <f>IFERROR(INDEX($AA$17:$AA$817,ROW()-16),"")</f>
        <v/>
      </c>
    </row>
    <row r="212">
      <c r="A212" s="23">
        <f>IFERROR(INDEX($R$17:$R$817,ROW()-16),"")</f>
        <v/>
      </c>
      <c r="B212">
        <f>IFERROR(INDEX($S$17:$S$817,ROW()-16),"")</f>
        <v/>
      </c>
      <c r="C212">
        <f>IFERROR(INDEX($W$17:$W$817,ROW()-16),"")</f>
        <v/>
      </c>
      <c r="D212">
        <f>IFERROR(INDEX($AA$17:$AA$817,ROW()-16),"")</f>
        <v/>
      </c>
    </row>
    <row r="213">
      <c r="A213" s="23">
        <f>IFERROR(INDEX($R$17:$R$817,ROW()-16),"")</f>
        <v/>
      </c>
      <c r="B213">
        <f>IFERROR(INDEX($S$17:$S$817,ROW()-16),"")</f>
        <v/>
      </c>
      <c r="C213">
        <f>IFERROR(INDEX($W$17:$W$817,ROW()-16),"")</f>
        <v/>
      </c>
      <c r="D213">
        <f>IFERROR(INDEX($AA$17:$AA$817,ROW()-16),"")</f>
        <v/>
      </c>
    </row>
    <row r="214">
      <c r="A214" s="23">
        <f>IFERROR(INDEX($R$17:$R$817,ROW()-16),"")</f>
        <v/>
      </c>
      <c r="B214">
        <f>IFERROR(INDEX($S$17:$S$817,ROW()-16),"")</f>
        <v/>
      </c>
      <c r="C214">
        <f>IFERROR(INDEX($W$17:$W$817,ROW()-16),"")</f>
        <v/>
      </c>
      <c r="D214">
        <f>IFERROR(INDEX($AA$17:$AA$817,ROW()-16),"")</f>
        <v/>
      </c>
    </row>
    <row r="215">
      <c r="A215" s="23">
        <f>IFERROR(INDEX($R$17:$R$817,ROW()-16),"")</f>
        <v/>
      </c>
      <c r="B215">
        <f>IFERROR(INDEX($S$17:$S$817,ROW()-16),"")</f>
        <v/>
      </c>
      <c r="C215">
        <f>IFERROR(INDEX($W$17:$W$817,ROW()-16),"")</f>
        <v/>
      </c>
      <c r="D215">
        <f>IFERROR(INDEX($AA$17:$AA$817,ROW()-16),"")</f>
        <v/>
      </c>
    </row>
    <row r="216">
      <c r="A216" s="23">
        <f>IFERROR(INDEX($R$17:$R$817,ROW()-16),"")</f>
        <v/>
      </c>
      <c r="B216">
        <f>IFERROR(INDEX($S$17:$S$817,ROW()-16),"")</f>
        <v/>
      </c>
      <c r="C216">
        <f>IFERROR(INDEX($W$17:$W$817,ROW()-16),"")</f>
        <v/>
      </c>
      <c r="D216">
        <f>IFERROR(INDEX($AA$17:$AA$817,ROW()-16),"")</f>
        <v/>
      </c>
    </row>
    <row r="217">
      <c r="A217" s="23">
        <f>IFERROR(INDEX($R$17:$R$817,ROW()-16),"")</f>
        <v/>
      </c>
      <c r="B217">
        <f>IFERROR(INDEX($S$17:$S$817,ROW()-16),"")</f>
        <v/>
      </c>
      <c r="C217">
        <f>IFERROR(INDEX($W$17:$W$817,ROW()-16),"")</f>
        <v/>
      </c>
      <c r="D217">
        <f>IFERROR(INDEX($AA$17:$AA$817,ROW()-16),"")</f>
        <v/>
      </c>
    </row>
    <row r="218">
      <c r="A218" s="23">
        <f>IFERROR(INDEX($R$17:$R$817,ROW()-16),"")</f>
        <v/>
      </c>
      <c r="B218">
        <f>IFERROR(INDEX($S$17:$S$817,ROW()-16),"")</f>
        <v/>
      </c>
      <c r="C218">
        <f>IFERROR(INDEX($W$17:$W$817,ROW()-16),"")</f>
        <v/>
      </c>
      <c r="D218">
        <f>IFERROR(INDEX($AA$17:$AA$817,ROW()-16),"")</f>
        <v/>
      </c>
    </row>
    <row r="219">
      <c r="A219" s="23">
        <f>IFERROR(INDEX($R$17:$R$817,ROW()-16),"")</f>
        <v/>
      </c>
      <c r="B219">
        <f>IFERROR(INDEX($S$17:$S$817,ROW()-16),"")</f>
        <v/>
      </c>
      <c r="C219">
        <f>IFERROR(INDEX($W$17:$W$817,ROW()-16),"")</f>
        <v/>
      </c>
      <c r="D219">
        <f>IFERROR(INDEX($AA$17:$AA$817,ROW()-16),"")</f>
        <v/>
      </c>
    </row>
    <row r="220">
      <c r="A220" s="23">
        <f>IFERROR(INDEX($R$17:$R$817,ROW()-16),"")</f>
        <v/>
      </c>
      <c r="B220">
        <f>IFERROR(INDEX($S$17:$S$817,ROW()-16),"")</f>
        <v/>
      </c>
      <c r="C220">
        <f>IFERROR(INDEX($W$17:$W$817,ROW()-16),"")</f>
        <v/>
      </c>
      <c r="D220">
        <f>IFERROR(INDEX($AA$17:$AA$817,ROW()-16),"")</f>
        <v/>
      </c>
    </row>
    <row r="221">
      <c r="A221" s="23">
        <f>IFERROR(INDEX($R$17:$R$817,ROW()-16),"")</f>
        <v/>
      </c>
      <c r="B221">
        <f>IFERROR(INDEX($S$17:$S$817,ROW()-16),"")</f>
        <v/>
      </c>
      <c r="C221">
        <f>IFERROR(INDEX($W$17:$W$817,ROW()-16),"")</f>
        <v/>
      </c>
      <c r="D221">
        <f>IFERROR(INDEX($AA$17:$AA$817,ROW()-16),"")</f>
        <v/>
      </c>
    </row>
    <row r="222">
      <c r="A222" s="23">
        <f>IFERROR(INDEX($R$17:$R$817,ROW()-16),"")</f>
        <v/>
      </c>
      <c r="B222">
        <f>IFERROR(INDEX($S$17:$S$817,ROW()-16),"")</f>
        <v/>
      </c>
      <c r="C222">
        <f>IFERROR(INDEX($W$17:$W$817,ROW()-16),"")</f>
        <v/>
      </c>
      <c r="D222">
        <f>IFERROR(INDEX($AA$17:$AA$817,ROW()-16),"")</f>
        <v/>
      </c>
    </row>
    <row r="223">
      <c r="A223" s="23">
        <f>IFERROR(INDEX($R$17:$R$817,ROW()-16),"")</f>
        <v/>
      </c>
      <c r="B223">
        <f>IFERROR(INDEX($S$17:$S$817,ROW()-16),"")</f>
        <v/>
      </c>
      <c r="C223">
        <f>IFERROR(INDEX($W$17:$W$817,ROW()-16),"")</f>
        <v/>
      </c>
      <c r="D223">
        <f>IFERROR(INDEX($AA$17:$AA$817,ROW()-16),"")</f>
        <v/>
      </c>
    </row>
    <row r="224">
      <c r="A224" s="23">
        <f>IFERROR(INDEX($R$17:$R$817,ROW()-16),"")</f>
        <v/>
      </c>
      <c r="B224">
        <f>IFERROR(INDEX($S$17:$S$817,ROW()-16),"")</f>
        <v/>
      </c>
      <c r="C224">
        <f>IFERROR(INDEX($W$17:$W$817,ROW()-16),"")</f>
        <v/>
      </c>
      <c r="D224">
        <f>IFERROR(INDEX($AA$17:$AA$817,ROW()-16),"")</f>
        <v/>
      </c>
    </row>
    <row r="225">
      <c r="A225" s="23">
        <f>IFERROR(INDEX($R$17:$R$817,ROW()-16),"")</f>
        <v/>
      </c>
      <c r="B225">
        <f>IFERROR(INDEX($S$17:$S$817,ROW()-16),"")</f>
        <v/>
      </c>
      <c r="C225">
        <f>IFERROR(INDEX($W$17:$W$817,ROW()-16),"")</f>
        <v/>
      </c>
      <c r="D225">
        <f>IFERROR(INDEX($AA$17:$AA$817,ROW()-16),"")</f>
        <v/>
      </c>
    </row>
    <row r="226">
      <c r="A226" s="23">
        <f>IFERROR(INDEX($R$17:$R$817,ROW()-16),"")</f>
        <v/>
      </c>
      <c r="B226">
        <f>IFERROR(INDEX($S$17:$S$817,ROW()-16),"")</f>
        <v/>
      </c>
      <c r="C226">
        <f>IFERROR(INDEX($W$17:$W$817,ROW()-16),"")</f>
        <v/>
      </c>
      <c r="D226">
        <f>IFERROR(INDEX($AA$17:$AA$817,ROW()-16),"")</f>
        <v/>
      </c>
    </row>
    <row r="227">
      <c r="A227" s="23">
        <f>IFERROR(INDEX($R$17:$R$817,ROW()-16),"")</f>
        <v/>
      </c>
      <c r="B227">
        <f>IFERROR(INDEX($S$17:$S$817,ROW()-16),"")</f>
        <v/>
      </c>
      <c r="C227">
        <f>IFERROR(INDEX($W$17:$W$817,ROW()-16),"")</f>
        <v/>
      </c>
      <c r="D227">
        <f>IFERROR(INDEX($AA$17:$AA$817,ROW()-16),"")</f>
        <v/>
      </c>
    </row>
    <row r="228">
      <c r="A228" s="23">
        <f>IFERROR(INDEX($R$17:$R$817,ROW()-16),"")</f>
        <v/>
      </c>
      <c r="B228">
        <f>IFERROR(INDEX($S$17:$S$817,ROW()-16),"")</f>
        <v/>
      </c>
      <c r="C228">
        <f>IFERROR(INDEX($W$17:$W$817,ROW()-16),"")</f>
        <v/>
      </c>
      <c r="D228">
        <f>IFERROR(INDEX($AA$17:$AA$817,ROW()-16),"")</f>
        <v/>
      </c>
    </row>
    <row r="229">
      <c r="A229" s="23">
        <f>IFERROR(INDEX($R$17:$R$817,ROW()-16),"")</f>
        <v/>
      </c>
      <c r="B229">
        <f>IFERROR(INDEX($S$17:$S$817,ROW()-16),"")</f>
        <v/>
      </c>
      <c r="C229">
        <f>IFERROR(INDEX($W$17:$W$817,ROW()-16),"")</f>
        <v/>
      </c>
      <c r="D229">
        <f>IFERROR(INDEX($AA$17:$AA$817,ROW()-16),"")</f>
        <v/>
      </c>
    </row>
    <row r="230">
      <c r="A230" s="23">
        <f>IFERROR(INDEX($R$17:$R$817,ROW()-16),"")</f>
        <v/>
      </c>
      <c r="B230">
        <f>IFERROR(INDEX($S$17:$S$817,ROW()-16),"")</f>
        <v/>
      </c>
      <c r="C230">
        <f>IFERROR(INDEX($W$17:$W$817,ROW()-16),"")</f>
        <v/>
      </c>
      <c r="D230">
        <f>IFERROR(INDEX($AA$17:$AA$817,ROW()-16),"")</f>
        <v/>
      </c>
    </row>
    <row r="231">
      <c r="A231" s="23">
        <f>IFERROR(INDEX($R$17:$R$817,ROW()-16),"")</f>
        <v/>
      </c>
      <c r="B231">
        <f>IFERROR(INDEX($S$17:$S$817,ROW()-16),"")</f>
        <v/>
      </c>
      <c r="C231">
        <f>IFERROR(INDEX($W$17:$W$817,ROW()-16),"")</f>
        <v/>
      </c>
      <c r="D231">
        <f>IFERROR(INDEX($AA$17:$AA$817,ROW()-16),"")</f>
        <v/>
      </c>
    </row>
    <row r="232">
      <c r="A232" s="23">
        <f>IFERROR(INDEX($R$17:$R$817,ROW()-16),"")</f>
        <v/>
      </c>
      <c r="B232">
        <f>IFERROR(INDEX($S$17:$S$817,ROW()-16),"")</f>
        <v/>
      </c>
      <c r="C232">
        <f>IFERROR(INDEX($W$17:$W$817,ROW()-16),"")</f>
        <v/>
      </c>
      <c r="D232">
        <f>IFERROR(INDEX($AA$17:$AA$817,ROW()-16),"")</f>
        <v/>
      </c>
    </row>
    <row r="233">
      <c r="A233" s="23">
        <f>IFERROR(INDEX($R$17:$R$817,ROW()-16),"")</f>
        <v/>
      </c>
      <c r="B233">
        <f>IFERROR(INDEX($S$17:$S$817,ROW()-16),"")</f>
        <v/>
      </c>
      <c r="C233">
        <f>IFERROR(INDEX($W$17:$W$817,ROW()-16),"")</f>
        <v/>
      </c>
      <c r="D233">
        <f>IFERROR(INDEX($AA$17:$AA$817,ROW()-16),"")</f>
        <v/>
      </c>
    </row>
    <row r="234">
      <c r="A234" s="23">
        <f>IFERROR(INDEX($R$17:$R$817,ROW()-16),"")</f>
        <v/>
      </c>
      <c r="B234">
        <f>IFERROR(INDEX($S$17:$S$817,ROW()-16),"")</f>
        <v/>
      </c>
      <c r="C234">
        <f>IFERROR(INDEX($W$17:$W$817,ROW()-16),"")</f>
        <v/>
      </c>
      <c r="D234">
        <f>IFERROR(INDEX($AA$17:$AA$817,ROW()-16),"")</f>
        <v/>
      </c>
    </row>
    <row r="235">
      <c r="A235" s="23">
        <f>IFERROR(INDEX($R$17:$R$817,ROW()-16),"")</f>
        <v/>
      </c>
      <c r="B235">
        <f>IFERROR(INDEX($S$17:$S$817,ROW()-16),"")</f>
        <v/>
      </c>
      <c r="C235">
        <f>IFERROR(INDEX($W$17:$W$817,ROW()-16),"")</f>
        <v/>
      </c>
      <c r="D235">
        <f>IFERROR(INDEX($AA$17:$AA$817,ROW()-16),"")</f>
        <v/>
      </c>
    </row>
    <row r="236">
      <c r="A236" s="23">
        <f>IFERROR(INDEX($R$17:$R$817,ROW()-16),"")</f>
        <v/>
      </c>
      <c r="B236">
        <f>IFERROR(INDEX($S$17:$S$817,ROW()-16),"")</f>
        <v/>
      </c>
      <c r="C236">
        <f>IFERROR(INDEX($W$17:$W$817,ROW()-16),"")</f>
        <v/>
      </c>
      <c r="D236">
        <f>IFERROR(INDEX($AA$17:$AA$817,ROW()-16),"")</f>
        <v/>
      </c>
    </row>
    <row r="237">
      <c r="A237" s="23">
        <f>IFERROR(INDEX($R$17:$R$817,ROW()-16),"")</f>
        <v/>
      </c>
      <c r="B237">
        <f>IFERROR(INDEX($S$17:$S$817,ROW()-16),"")</f>
        <v/>
      </c>
      <c r="C237">
        <f>IFERROR(INDEX($W$17:$W$817,ROW()-16),"")</f>
        <v/>
      </c>
      <c r="D237">
        <f>IFERROR(INDEX($AA$17:$AA$817,ROW()-16),"")</f>
        <v/>
      </c>
    </row>
    <row r="238">
      <c r="A238" s="23">
        <f>IFERROR(INDEX($R$17:$R$817,ROW()-16),"")</f>
        <v/>
      </c>
      <c r="B238">
        <f>IFERROR(INDEX($S$17:$S$817,ROW()-16),"")</f>
        <v/>
      </c>
      <c r="C238">
        <f>IFERROR(INDEX($W$17:$W$817,ROW()-16),"")</f>
        <v/>
      </c>
      <c r="D238">
        <f>IFERROR(INDEX($AA$17:$AA$817,ROW()-16),"")</f>
        <v/>
      </c>
    </row>
    <row r="239">
      <c r="A239" s="23">
        <f>IFERROR(INDEX($R$17:$R$817,ROW()-16),"")</f>
        <v/>
      </c>
      <c r="B239">
        <f>IFERROR(INDEX($S$17:$S$817,ROW()-16),"")</f>
        <v/>
      </c>
      <c r="C239">
        <f>IFERROR(INDEX($W$17:$W$817,ROW()-16),"")</f>
        <v/>
      </c>
      <c r="D239">
        <f>IFERROR(INDEX($AA$17:$AA$817,ROW()-16),"")</f>
        <v/>
      </c>
    </row>
    <row r="240">
      <c r="A240" s="23">
        <f>IFERROR(INDEX($R$17:$R$817,ROW()-16),"")</f>
        <v/>
      </c>
      <c r="B240">
        <f>IFERROR(INDEX($S$17:$S$817,ROW()-16),"")</f>
        <v/>
      </c>
      <c r="C240">
        <f>IFERROR(INDEX($W$17:$W$817,ROW()-16),"")</f>
        <v/>
      </c>
      <c r="D240">
        <f>IFERROR(INDEX($AA$17:$AA$817,ROW()-16),"")</f>
        <v/>
      </c>
    </row>
    <row r="241">
      <c r="A241" s="23">
        <f>IFERROR(INDEX($R$17:$R$817,ROW()-16),"")</f>
        <v/>
      </c>
      <c r="B241">
        <f>IFERROR(INDEX($S$17:$S$817,ROW()-16),"")</f>
        <v/>
      </c>
      <c r="C241">
        <f>IFERROR(INDEX($W$17:$W$817,ROW()-16),"")</f>
        <v/>
      </c>
      <c r="D241">
        <f>IFERROR(INDEX($AA$17:$AA$817,ROW()-16),"")</f>
        <v/>
      </c>
    </row>
    <row r="242">
      <c r="A242" s="23">
        <f>IFERROR(INDEX($R$17:$R$817,ROW()-16),"")</f>
        <v/>
      </c>
      <c r="B242">
        <f>IFERROR(INDEX($S$17:$S$817,ROW()-16),"")</f>
        <v/>
      </c>
      <c r="C242">
        <f>IFERROR(INDEX($W$17:$W$817,ROW()-16),"")</f>
        <v/>
      </c>
      <c r="D242">
        <f>IFERROR(INDEX($AA$17:$AA$817,ROW()-16),"")</f>
        <v/>
      </c>
    </row>
    <row r="243">
      <c r="A243" s="23">
        <f>IFERROR(INDEX($R$17:$R$817,ROW()-16),"")</f>
        <v/>
      </c>
      <c r="B243">
        <f>IFERROR(INDEX($S$17:$S$817,ROW()-16),"")</f>
        <v/>
      </c>
      <c r="C243">
        <f>IFERROR(INDEX($W$17:$W$817,ROW()-16),"")</f>
        <v/>
      </c>
      <c r="D243">
        <f>IFERROR(INDEX($AA$17:$AA$817,ROW()-16),"")</f>
        <v/>
      </c>
    </row>
    <row r="244">
      <c r="A244" s="23">
        <f>IFERROR(INDEX($R$17:$R$817,ROW()-16),"")</f>
        <v/>
      </c>
      <c r="B244">
        <f>IFERROR(INDEX($S$17:$S$817,ROW()-16),"")</f>
        <v/>
      </c>
      <c r="C244">
        <f>IFERROR(INDEX($W$17:$W$817,ROW()-16),"")</f>
        <v/>
      </c>
      <c r="D244">
        <f>IFERROR(INDEX($AA$17:$AA$817,ROW()-16),"")</f>
        <v/>
      </c>
    </row>
    <row r="245">
      <c r="A245" s="23">
        <f>IFERROR(INDEX($R$17:$R$817,ROW()-16),"")</f>
        <v/>
      </c>
      <c r="B245">
        <f>IFERROR(INDEX($S$17:$S$817,ROW()-16),"")</f>
        <v/>
      </c>
      <c r="C245">
        <f>IFERROR(INDEX($W$17:$W$817,ROW()-16),"")</f>
        <v/>
      </c>
      <c r="D245">
        <f>IFERROR(INDEX($AA$17:$AA$817,ROW()-16),"")</f>
        <v/>
      </c>
    </row>
    <row r="246">
      <c r="A246" s="23">
        <f>IFERROR(INDEX($R$17:$R$817,ROW()-16),"")</f>
        <v/>
      </c>
      <c r="B246">
        <f>IFERROR(INDEX($S$17:$S$817,ROW()-16),"")</f>
        <v/>
      </c>
      <c r="C246">
        <f>IFERROR(INDEX($W$17:$W$817,ROW()-16),"")</f>
        <v/>
      </c>
      <c r="D246">
        <f>IFERROR(INDEX($AA$17:$AA$817,ROW()-16),"")</f>
        <v/>
      </c>
    </row>
    <row r="247">
      <c r="A247" s="23">
        <f>IFERROR(INDEX($R$17:$R$817,ROW()-16),"")</f>
        <v/>
      </c>
      <c r="B247">
        <f>IFERROR(INDEX($S$17:$S$817,ROW()-16),"")</f>
        <v/>
      </c>
      <c r="C247">
        <f>IFERROR(INDEX($W$17:$W$817,ROW()-16),"")</f>
        <v/>
      </c>
      <c r="D247">
        <f>IFERROR(INDEX($AA$17:$AA$817,ROW()-16),"")</f>
        <v/>
      </c>
    </row>
    <row r="248">
      <c r="A248" s="23">
        <f>IFERROR(INDEX($R$17:$R$817,ROW()-16),"")</f>
        <v/>
      </c>
      <c r="B248">
        <f>IFERROR(INDEX($S$17:$S$817,ROW()-16),"")</f>
        <v/>
      </c>
      <c r="C248">
        <f>IFERROR(INDEX($W$17:$W$817,ROW()-16),"")</f>
        <v/>
      </c>
      <c r="D248">
        <f>IFERROR(INDEX($AA$17:$AA$817,ROW()-16),"")</f>
        <v/>
      </c>
    </row>
    <row r="249">
      <c r="A249" s="23">
        <f>IFERROR(INDEX($R$17:$R$817,ROW()-16),"")</f>
        <v/>
      </c>
      <c r="B249">
        <f>IFERROR(INDEX($S$17:$S$817,ROW()-16),"")</f>
        <v/>
      </c>
      <c r="C249">
        <f>IFERROR(INDEX($W$17:$W$817,ROW()-16),"")</f>
        <v/>
      </c>
      <c r="D249">
        <f>IFERROR(INDEX($AA$17:$AA$817,ROW()-16),"")</f>
        <v/>
      </c>
    </row>
    <row r="250">
      <c r="A250" s="23">
        <f>IFERROR(INDEX($R$17:$R$817,ROW()-16),"")</f>
        <v/>
      </c>
      <c r="B250">
        <f>IFERROR(INDEX($S$17:$S$817,ROW()-16),"")</f>
        <v/>
      </c>
      <c r="C250">
        <f>IFERROR(INDEX($W$17:$W$817,ROW()-16),"")</f>
        <v/>
      </c>
      <c r="D250">
        <f>IFERROR(INDEX($AA$17:$AA$817,ROW()-16),"")</f>
        <v/>
      </c>
    </row>
    <row r="251">
      <c r="A251" s="23">
        <f>IFERROR(INDEX($R$17:$R$817,ROW()-16),"")</f>
        <v/>
      </c>
      <c r="B251">
        <f>IFERROR(INDEX($S$17:$S$817,ROW()-16),"")</f>
        <v/>
      </c>
      <c r="C251">
        <f>IFERROR(INDEX($W$17:$W$817,ROW()-16),"")</f>
        <v/>
      </c>
      <c r="D251">
        <f>IFERROR(INDEX($AA$17:$AA$817,ROW()-16),"")</f>
        <v/>
      </c>
    </row>
    <row r="252">
      <c r="A252" s="23">
        <f>IFERROR(INDEX($R$17:$R$817,ROW()-16),"")</f>
        <v/>
      </c>
      <c r="B252">
        <f>IFERROR(INDEX($S$17:$S$817,ROW()-16),"")</f>
        <v/>
      </c>
      <c r="C252">
        <f>IFERROR(INDEX($W$17:$W$817,ROW()-16),"")</f>
        <v/>
      </c>
      <c r="D252">
        <f>IFERROR(INDEX($AA$17:$AA$817,ROW()-16),"")</f>
        <v/>
      </c>
    </row>
    <row r="253">
      <c r="A253" s="23">
        <f>IFERROR(INDEX($R$17:$R$817,ROW()-16),"")</f>
        <v/>
      </c>
      <c r="B253">
        <f>IFERROR(INDEX($S$17:$S$817,ROW()-16),"")</f>
        <v/>
      </c>
      <c r="C253">
        <f>IFERROR(INDEX($W$17:$W$817,ROW()-16),"")</f>
        <v/>
      </c>
      <c r="D253">
        <f>IFERROR(INDEX($AA$17:$AA$817,ROW()-16),"")</f>
        <v/>
      </c>
    </row>
    <row r="254">
      <c r="A254" s="23">
        <f>IFERROR(INDEX($R$17:$R$817,ROW()-16),"")</f>
        <v/>
      </c>
      <c r="B254">
        <f>IFERROR(INDEX($S$17:$S$817,ROW()-16),"")</f>
        <v/>
      </c>
      <c r="C254">
        <f>IFERROR(INDEX($W$17:$W$817,ROW()-16),"")</f>
        <v/>
      </c>
      <c r="D254">
        <f>IFERROR(INDEX($AA$17:$AA$817,ROW()-16),"")</f>
        <v/>
      </c>
    </row>
    <row r="255">
      <c r="A255" s="23">
        <f>IFERROR(INDEX($R$17:$R$817,ROW()-16),"")</f>
        <v/>
      </c>
      <c r="B255">
        <f>IFERROR(INDEX($S$17:$S$817,ROW()-16),"")</f>
        <v/>
      </c>
      <c r="C255">
        <f>IFERROR(INDEX($W$17:$W$817,ROW()-16),"")</f>
        <v/>
      </c>
      <c r="D255">
        <f>IFERROR(INDEX($AA$17:$AA$817,ROW()-16),"")</f>
        <v/>
      </c>
    </row>
    <row r="256">
      <c r="A256" s="23">
        <f>IFERROR(INDEX($R$17:$R$817,ROW()-16),"")</f>
        <v/>
      </c>
      <c r="B256">
        <f>IFERROR(INDEX($S$17:$S$817,ROW()-16),"")</f>
        <v/>
      </c>
      <c r="C256">
        <f>IFERROR(INDEX($W$17:$W$817,ROW()-16),"")</f>
        <v/>
      </c>
      <c r="D256">
        <f>IFERROR(INDEX($AA$17:$AA$817,ROW()-16),"")</f>
        <v/>
      </c>
    </row>
    <row r="257">
      <c r="A257" s="23">
        <f>IFERROR(INDEX($R$17:$R$817,ROW()-16),"")</f>
        <v/>
      </c>
      <c r="B257">
        <f>IFERROR(INDEX($S$17:$S$817,ROW()-16),"")</f>
        <v/>
      </c>
      <c r="C257">
        <f>IFERROR(INDEX($W$17:$W$817,ROW()-16),"")</f>
        <v/>
      </c>
      <c r="D257">
        <f>IFERROR(INDEX($AA$17:$AA$817,ROW()-16),"")</f>
        <v/>
      </c>
    </row>
    <row r="258">
      <c r="A258" s="23">
        <f>IFERROR(INDEX($R$17:$R$817,ROW()-16),"")</f>
        <v/>
      </c>
      <c r="B258">
        <f>IFERROR(INDEX($S$17:$S$817,ROW()-16),"")</f>
        <v/>
      </c>
      <c r="C258">
        <f>IFERROR(INDEX($W$17:$W$817,ROW()-16),"")</f>
        <v/>
      </c>
      <c r="D258">
        <f>IFERROR(INDEX($AA$17:$AA$817,ROW()-16),"")</f>
        <v/>
      </c>
    </row>
    <row r="259">
      <c r="A259" s="23">
        <f>IFERROR(INDEX($R$17:$R$817,ROW()-16),"")</f>
        <v/>
      </c>
      <c r="B259">
        <f>IFERROR(INDEX($S$17:$S$817,ROW()-16),"")</f>
        <v/>
      </c>
      <c r="C259">
        <f>IFERROR(INDEX($W$17:$W$817,ROW()-16),"")</f>
        <v/>
      </c>
      <c r="D259">
        <f>IFERROR(INDEX($AA$17:$AA$817,ROW()-16),"")</f>
        <v/>
      </c>
    </row>
    <row r="260">
      <c r="A260" s="23">
        <f>IFERROR(INDEX($R$17:$R$817,ROW()-16),"")</f>
        <v/>
      </c>
      <c r="B260">
        <f>IFERROR(INDEX($S$17:$S$817,ROW()-16),"")</f>
        <v/>
      </c>
      <c r="C260">
        <f>IFERROR(INDEX($W$17:$W$817,ROW()-16),"")</f>
        <v/>
      </c>
      <c r="D260">
        <f>IFERROR(INDEX($AA$17:$AA$817,ROW()-16),"")</f>
        <v/>
      </c>
    </row>
    <row r="261">
      <c r="A261" s="23">
        <f>IFERROR(INDEX($R$17:$R$817,ROW()-16),"")</f>
        <v/>
      </c>
      <c r="B261">
        <f>IFERROR(INDEX($S$17:$S$817,ROW()-16),"")</f>
        <v/>
      </c>
      <c r="C261">
        <f>IFERROR(INDEX($W$17:$W$817,ROW()-16),"")</f>
        <v/>
      </c>
      <c r="D261">
        <f>IFERROR(INDEX($AA$17:$AA$817,ROW()-16),"")</f>
        <v/>
      </c>
    </row>
    <row r="262">
      <c r="A262" s="23">
        <f>IFERROR(INDEX($R$17:$R$817,ROW()-16),"")</f>
        <v/>
      </c>
      <c r="B262">
        <f>IFERROR(INDEX($S$17:$S$817,ROW()-16),"")</f>
        <v/>
      </c>
      <c r="C262">
        <f>IFERROR(INDEX($W$17:$W$817,ROW()-16),"")</f>
        <v/>
      </c>
      <c r="D262">
        <f>IFERROR(INDEX($AA$17:$AA$817,ROW()-16),"")</f>
        <v/>
      </c>
    </row>
    <row r="263">
      <c r="A263" s="23">
        <f>IFERROR(INDEX($R$17:$R$817,ROW()-16),"")</f>
        <v/>
      </c>
      <c r="B263">
        <f>IFERROR(INDEX($S$17:$S$817,ROW()-16),"")</f>
        <v/>
      </c>
      <c r="C263">
        <f>IFERROR(INDEX($W$17:$W$817,ROW()-16),"")</f>
        <v/>
      </c>
      <c r="D263">
        <f>IFERROR(INDEX($AA$17:$AA$817,ROW()-16),"")</f>
        <v/>
      </c>
    </row>
    <row r="264">
      <c r="A264" s="23">
        <f>IFERROR(INDEX($R$17:$R$817,ROW()-16),"")</f>
        <v/>
      </c>
      <c r="B264">
        <f>IFERROR(INDEX($S$17:$S$817,ROW()-16),"")</f>
        <v/>
      </c>
      <c r="C264">
        <f>IFERROR(INDEX($W$17:$W$817,ROW()-16),"")</f>
        <v/>
      </c>
      <c r="D264">
        <f>IFERROR(INDEX($AA$17:$AA$817,ROW()-16),"")</f>
        <v/>
      </c>
    </row>
    <row r="265">
      <c r="A265" s="23">
        <f>IFERROR(INDEX($R$17:$R$817,ROW()-16),"")</f>
        <v/>
      </c>
      <c r="B265">
        <f>IFERROR(INDEX($S$17:$S$817,ROW()-16),"")</f>
        <v/>
      </c>
      <c r="C265">
        <f>IFERROR(INDEX($W$17:$W$817,ROW()-16),"")</f>
        <v/>
      </c>
      <c r="D265">
        <f>IFERROR(INDEX($AA$17:$AA$817,ROW()-16),"")</f>
        <v/>
      </c>
    </row>
    <row r="266">
      <c r="A266" s="23">
        <f>IFERROR(INDEX($R$17:$R$817,ROW()-16),"")</f>
        <v/>
      </c>
      <c r="B266">
        <f>IFERROR(INDEX($S$17:$S$817,ROW()-16),"")</f>
        <v/>
      </c>
      <c r="C266">
        <f>IFERROR(INDEX($W$17:$W$817,ROW()-16),"")</f>
        <v/>
      </c>
      <c r="D266">
        <f>IFERROR(INDEX($AA$17:$AA$817,ROW()-16),"")</f>
        <v/>
      </c>
    </row>
    <row r="267">
      <c r="A267" s="23">
        <f>IFERROR(INDEX($R$17:$R$817,ROW()-16),"")</f>
        <v/>
      </c>
      <c r="B267">
        <f>IFERROR(INDEX($S$17:$S$817,ROW()-16),"")</f>
        <v/>
      </c>
      <c r="C267">
        <f>IFERROR(INDEX($W$17:$W$817,ROW()-16),"")</f>
        <v/>
      </c>
      <c r="D267">
        <f>IFERROR(INDEX($AA$17:$AA$817,ROW()-16),"")</f>
        <v/>
      </c>
    </row>
    <row r="268">
      <c r="A268" s="23">
        <f>IFERROR(INDEX($R$17:$R$817,ROW()-16),"")</f>
        <v/>
      </c>
      <c r="B268">
        <f>IFERROR(INDEX($S$17:$S$817,ROW()-16),"")</f>
        <v/>
      </c>
      <c r="C268">
        <f>IFERROR(INDEX($W$17:$W$817,ROW()-16),"")</f>
        <v/>
      </c>
      <c r="D268">
        <f>IFERROR(INDEX($AA$17:$AA$817,ROW()-16),"")</f>
        <v/>
      </c>
    </row>
    <row r="269">
      <c r="A269" s="23">
        <f>IFERROR(INDEX($R$17:$R$817,ROW()-16),"")</f>
        <v/>
      </c>
      <c r="B269">
        <f>IFERROR(INDEX($S$17:$S$817,ROW()-16),"")</f>
        <v/>
      </c>
      <c r="C269">
        <f>IFERROR(INDEX($W$17:$W$817,ROW()-16),"")</f>
        <v/>
      </c>
      <c r="D269">
        <f>IFERROR(INDEX($AA$17:$AA$817,ROW()-16),"")</f>
        <v/>
      </c>
    </row>
    <row r="270">
      <c r="A270" s="23">
        <f>IFERROR(INDEX($R$17:$R$817,ROW()-16),"")</f>
        <v/>
      </c>
      <c r="B270">
        <f>IFERROR(INDEX($S$17:$S$817,ROW()-16),"")</f>
        <v/>
      </c>
      <c r="C270">
        <f>IFERROR(INDEX($W$17:$W$817,ROW()-16),"")</f>
        <v/>
      </c>
      <c r="D270">
        <f>IFERROR(INDEX($AA$17:$AA$817,ROW()-16),"")</f>
        <v/>
      </c>
    </row>
    <row r="271">
      <c r="A271" s="23">
        <f>IFERROR(INDEX($R$17:$R$817,ROW()-16),"")</f>
        <v/>
      </c>
      <c r="B271">
        <f>IFERROR(INDEX($S$17:$S$817,ROW()-16),"")</f>
        <v/>
      </c>
      <c r="C271">
        <f>IFERROR(INDEX($W$17:$W$817,ROW()-16),"")</f>
        <v/>
      </c>
      <c r="D271">
        <f>IFERROR(INDEX($AA$17:$AA$817,ROW()-16),"")</f>
        <v/>
      </c>
    </row>
    <row r="272">
      <c r="A272" s="23">
        <f>IFERROR(INDEX($R$17:$R$817,ROW()-16),"")</f>
        <v/>
      </c>
      <c r="B272">
        <f>IFERROR(INDEX($S$17:$S$817,ROW()-16),"")</f>
        <v/>
      </c>
      <c r="C272">
        <f>IFERROR(INDEX($W$17:$W$817,ROW()-16),"")</f>
        <v/>
      </c>
      <c r="D272">
        <f>IFERROR(INDEX($AA$17:$AA$817,ROW()-16),"")</f>
        <v/>
      </c>
    </row>
    <row r="273">
      <c r="A273" s="23">
        <f>IFERROR(INDEX($R$17:$R$817,ROW()-16),"")</f>
        <v/>
      </c>
      <c r="B273">
        <f>IFERROR(INDEX($S$17:$S$817,ROW()-16),"")</f>
        <v/>
      </c>
      <c r="C273">
        <f>IFERROR(INDEX($W$17:$W$817,ROW()-16),"")</f>
        <v/>
      </c>
      <c r="D273">
        <f>IFERROR(INDEX($AA$17:$AA$817,ROW()-16),"")</f>
        <v/>
      </c>
    </row>
    <row r="274">
      <c r="A274" s="23">
        <f>IFERROR(INDEX($R$17:$R$817,ROW()-16),"")</f>
        <v/>
      </c>
      <c r="B274">
        <f>IFERROR(INDEX($S$17:$S$817,ROW()-16),"")</f>
        <v/>
      </c>
      <c r="C274">
        <f>IFERROR(INDEX($W$17:$W$817,ROW()-16),"")</f>
        <v/>
      </c>
      <c r="D274">
        <f>IFERROR(INDEX($AA$17:$AA$817,ROW()-16),"")</f>
        <v/>
      </c>
    </row>
    <row r="275">
      <c r="A275" s="23">
        <f>IFERROR(INDEX($R$17:$R$817,ROW()-16),"")</f>
        <v/>
      </c>
      <c r="B275">
        <f>IFERROR(INDEX($S$17:$S$817,ROW()-16),"")</f>
        <v/>
      </c>
      <c r="C275">
        <f>IFERROR(INDEX($W$17:$W$817,ROW()-16),"")</f>
        <v/>
      </c>
      <c r="D275">
        <f>IFERROR(INDEX($AA$17:$AA$817,ROW()-16),"")</f>
        <v/>
      </c>
    </row>
    <row r="276">
      <c r="A276" s="23">
        <f>IFERROR(INDEX($R$17:$R$817,ROW()-16),"")</f>
        <v/>
      </c>
      <c r="B276">
        <f>IFERROR(INDEX($S$17:$S$817,ROW()-16),"")</f>
        <v/>
      </c>
      <c r="C276">
        <f>IFERROR(INDEX($W$17:$W$817,ROW()-16),"")</f>
        <v/>
      </c>
      <c r="D276">
        <f>IFERROR(INDEX($AA$17:$AA$817,ROW()-16),"")</f>
        <v/>
      </c>
    </row>
    <row r="277">
      <c r="A277" s="23">
        <f>IFERROR(INDEX($R$17:$R$817,ROW()-16),"")</f>
        <v/>
      </c>
      <c r="B277">
        <f>IFERROR(INDEX($S$17:$S$817,ROW()-16),"")</f>
        <v/>
      </c>
      <c r="C277">
        <f>IFERROR(INDEX($W$17:$W$817,ROW()-16),"")</f>
        <v/>
      </c>
      <c r="D277">
        <f>IFERROR(INDEX($AA$17:$AA$817,ROW()-16),"")</f>
        <v/>
      </c>
    </row>
    <row r="278">
      <c r="A278" s="23">
        <f>IFERROR(INDEX($R$17:$R$817,ROW()-16),"")</f>
        <v/>
      </c>
      <c r="B278">
        <f>IFERROR(INDEX($S$17:$S$817,ROW()-16),"")</f>
        <v/>
      </c>
      <c r="C278">
        <f>IFERROR(INDEX($W$17:$W$817,ROW()-16),"")</f>
        <v/>
      </c>
      <c r="D278">
        <f>IFERROR(INDEX($AA$17:$AA$817,ROW()-16),"")</f>
        <v/>
      </c>
    </row>
    <row r="279">
      <c r="A279" s="23">
        <f>IFERROR(INDEX($R$17:$R$817,ROW()-16),"")</f>
        <v/>
      </c>
      <c r="B279">
        <f>IFERROR(INDEX($S$17:$S$817,ROW()-16),"")</f>
        <v/>
      </c>
      <c r="C279">
        <f>IFERROR(INDEX($W$17:$W$817,ROW()-16),"")</f>
        <v/>
      </c>
      <c r="D279">
        <f>IFERROR(INDEX($AA$17:$AA$817,ROW()-16),"")</f>
        <v/>
      </c>
    </row>
    <row r="280">
      <c r="A280" s="23">
        <f>IFERROR(INDEX($R$17:$R$817,ROW()-16),"")</f>
        <v/>
      </c>
      <c r="B280">
        <f>IFERROR(INDEX($S$17:$S$817,ROW()-16),"")</f>
        <v/>
      </c>
      <c r="C280">
        <f>IFERROR(INDEX($W$17:$W$817,ROW()-16),"")</f>
        <v/>
      </c>
      <c r="D280">
        <f>IFERROR(INDEX($AA$17:$AA$817,ROW()-16),"")</f>
        <v/>
      </c>
    </row>
    <row r="281">
      <c r="A281" s="23">
        <f>IFERROR(INDEX($R$17:$R$817,ROW()-16),"")</f>
        <v/>
      </c>
      <c r="B281">
        <f>IFERROR(INDEX($S$17:$S$817,ROW()-16),"")</f>
        <v/>
      </c>
      <c r="C281">
        <f>IFERROR(INDEX($W$17:$W$817,ROW()-16),"")</f>
        <v/>
      </c>
      <c r="D281">
        <f>IFERROR(INDEX($AA$17:$AA$817,ROW()-16),"")</f>
        <v/>
      </c>
    </row>
    <row r="282">
      <c r="A282" s="23">
        <f>IFERROR(INDEX($R$17:$R$817,ROW()-16),"")</f>
        <v/>
      </c>
      <c r="B282">
        <f>IFERROR(INDEX($S$17:$S$817,ROW()-16),"")</f>
        <v/>
      </c>
      <c r="C282">
        <f>IFERROR(INDEX($W$17:$W$817,ROW()-16),"")</f>
        <v/>
      </c>
      <c r="D282">
        <f>IFERROR(INDEX($AA$17:$AA$817,ROW()-16),"")</f>
        <v/>
      </c>
    </row>
    <row r="283">
      <c r="A283" s="23">
        <f>IFERROR(INDEX($R$17:$R$817,ROW()-16),"")</f>
        <v/>
      </c>
      <c r="B283">
        <f>IFERROR(INDEX($S$17:$S$817,ROW()-16),"")</f>
        <v/>
      </c>
      <c r="C283">
        <f>IFERROR(INDEX($W$17:$W$817,ROW()-16),"")</f>
        <v/>
      </c>
      <c r="D283">
        <f>IFERROR(INDEX($AA$17:$AA$817,ROW()-16),"")</f>
        <v/>
      </c>
    </row>
    <row r="284">
      <c r="A284" s="23">
        <f>IFERROR(INDEX($R$17:$R$817,ROW()-16),"")</f>
        <v/>
      </c>
      <c r="B284">
        <f>IFERROR(INDEX($S$17:$S$817,ROW()-16),"")</f>
        <v/>
      </c>
      <c r="C284">
        <f>IFERROR(INDEX($W$17:$W$817,ROW()-16),"")</f>
        <v/>
      </c>
      <c r="D284">
        <f>IFERROR(INDEX($AA$17:$AA$817,ROW()-16),"")</f>
        <v/>
      </c>
    </row>
    <row r="285">
      <c r="A285" s="23">
        <f>IFERROR(INDEX($R$17:$R$817,ROW()-16),"")</f>
        <v/>
      </c>
      <c r="B285">
        <f>IFERROR(INDEX($S$17:$S$817,ROW()-16),"")</f>
        <v/>
      </c>
      <c r="C285">
        <f>IFERROR(INDEX($W$17:$W$817,ROW()-16),"")</f>
        <v/>
      </c>
      <c r="D285">
        <f>IFERROR(INDEX($AA$17:$AA$817,ROW()-16),"")</f>
        <v/>
      </c>
    </row>
    <row r="286">
      <c r="A286" s="23">
        <f>IFERROR(INDEX($R$17:$R$817,ROW()-16),"")</f>
        <v/>
      </c>
      <c r="B286">
        <f>IFERROR(INDEX($S$17:$S$817,ROW()-16),"")</f>
        <v/>
      </c>
      <c r="C286">
        <f>IFERROR(INDEX($W$17:$W$817,ROW()-16),"")</f>
        <v/>
      </c>
      <c r="D286">
        <f>IFERROR(INDEX($AA$17:$AA$817,ROW()-16),"")</f>
        <v/>
      </c>
    </row>
    <row r="287">
      <c r="A287" s="23">
        <f>IFERROR(INDEX($R$17:$R$817,ROW()-16),"")</f>
        <v/>
      </c>
      <c r="B287">
        <f>IFERROR(INDEX($S$17:$S$817,ROW()-16),"")</f>
        <v/>
      </c>
      <c r="C287">
        <f>IFERROR(INDEX($W$17:$W$817,ROW()-16),"")</f>
        <v/>
      </c>
      <c r="D287">
        <f>IFERROR(INDEX($AA$17:$AA$817,ROW()-16),"")</f>
        <v/>
      </c>
    </row>
    <row r="288">
      <c r="A288" s="23">
        <f>IFERROR(INDEX($R$17:$R$817,ROW()-16),"")</f>
        <v/>
      </c>
      <c r="B288">
        <f>IFERROR(INDEX($S$17:$S$817,ROW()-16),"")</f>
        <v/>
      </c>
      <c r="C288">
        <f>IFERROR(INDEX($W$17:$W$817,ROW()-16),"")</f>
        <v/>
      </c>
      <c r="D288">
        <f>IFERROR(INDEX($AA$17:$AA$817,ROW()-16),"")</f>
        <v/>
      </c>
    </row>
    <row r="289">
      <c r="A289" s="23">
        <f>IFERROR(INDEX($R$17:$R$817,ROW()-16),"")</f>
        <v/>
      </c>
      <c r="B289">
        <f>IFERROR(INDEX($S$17:$S$817,ROW()-16),"")</f>
        <v/>
      </c>
      <c r="C289">
        <f>IFERROR(INDEX($W$17:$W$817,ROW()-16),"")</f>
        <v/>
      </c>
      <c r="D289">
        <f>IFERROR(INDEX($AA$17:$AA$817,ROW()-16),"")</f>
        <v/>
      </c>
    </row>
    <row r="290">
      <c r="A290" s="23">
        <f>IFERROR(INDEX($R$17:$R$817,ROW()-16),"")</f>
        <v/>
      </c>
      <c r="B290">
        <f>IFERROR(INDEX($S$17:$S$817,ROW()-16),"")</f>
        <v/>
      </c>
      <c r="C290">
        <f>IFERROR(INDEX($W$17:$W$817,ROW()-16),"")</f>
        <v/>
      </c>
      <c r="D290">
        <f>IFERROR(INDEX($AA$17:$AA$817,ROW()-16),"")</f>
        <v/>
      </c>
    </row>
    <row r="291">
      <c r="A291" s="23">
        <f>IFERROR(INDEX($R$17:$R$817,ROW()-16),"")</f>
        <v/>
      </c>
      <c r="B291">
        <f>IFERROR(INDEX($S$17:$S$817,ROW()-16),"")</f>
        <v/>
      </c>
      <c r="C291">
        <f>IFERROR(INDEX($W$17:$W$817,ROW()-16),"")</f>
        <v/>
      </c>
      <c r="D291">
        <f>IFERROR(INDEX($AA$17:$AA$817,ROW()-16),"")</f>
        <v/>
      </c>
    </row>
    <row r="292">
      <c r="A292" s="23">
        <f>IFERROR(INDEX($R$17:$R$817,ROW()-16),"")</f>
        <v/>
      </c>
      <c r="B292">
        <f>IFERROR(INDEX($S$17:$S$817,ROW()-16),"")</f>
        <v/>
      </c>
      <c r="C292">
        <f>IFERROR(INDEX($W$17:$W$817,ROW()-16),"")</f>
        <v/>
      </c>
      <c r="D292">
        <f>IFERROR(INDEX($AA$17:$AA$817,ROW()-16),"")</f>
        <v/>
      </c>
    </row>
    <row r="293">
      <c r="A293" s="23">
        <f>IFERROR(INDEX($R$17:$R$817,ROW()-16),"")</f>
        <v/>
      </c>
      <c r="B293">
        <f>IFERROR(INDEX($S$17:$S$817,ROW()-16),"")</f>
        <v/>
      </c>
      <c r="C293">
        <f>IFERROR(INDEX($W$17:$W$817,ROW()-16),"")</f>
        <v/>
      </c>
      <c r="D293">
        <f>IFERROR(INDEX($AA$17:$AA$817,ROW()-16),"")</f>
        <v/>
      </c>
    </row>
    <row r="294">
      <c r="A294" s="23">
        <f>IFERROR(INDEX($R$17:$R$817,ROW()-16),"")</f>
        <v/>
      </c>
      <c r="B294">
        <f>IFERROR(INDEX($S$17:$S$817,ROW()-16),"")</f>
        <v/>
      </c>
      <c r="C294">
        <f>IFERROR(INDEX($W$17:$W$817,ROW()-16),"")</f>
        <v/>
      </c>
      <c r="D294">
        <f>IFERROR(INDEX($AA$17:$AA$817,ROW()-16),"")</f>
        <v/>
      </c>
    </row>
    <row r="295">
      <c r="A295" s="23">
        <f>IFERROR(INDEX($R$17:$R$817,ROW()-16),"")</f>
        <v/>
      </c>
      <c r="B295">
        <f>IFERROR(INDEX($S$17:$S$817,ROW()-16),"")</f>
        <v/>
      </c>
      <c r="C295">
        <f>IFERROR(INDEX($W$17:$W$817,ROW()-16),"")</f>
        <v/>
      </c>
      <c r="D295">
        <f>IFERROR(INDEX($AA$17:$AA$817,ROW()-16),"")</f>
        <v/>
      </c>
    </row>
    <row r="296">
      <c r="A296" s="23">
        <f>IFERROR(INDEX($R$17:$R$817,ROW()-16),"")</f>
        <v/>
      </c>
      <c r="B296">
        <f>IFERROR(INDEX($S$17:$S$817,ROW()-16),"")</f>
        <v/>
      </c>
      <c r="C296">
        <f>IFERROR(INDEX($W$17:$W$817,ROW()-16),"")</f>
        <v/>
      </c>
      <c r="D296">
        <f>IFERROR(INDEX($AA$17:$AA$817,ROW()-16),"")</f>
        <v/>
      </c>
    </row>
    <row r="297">
      <c r="A297" s="23">
        <f>IFERROR(INDEX($R$17:$R$817,ROW()-16),"")</f>
        <v/>
      </c>
      <c r="B297">
        <f>IFERROR(INDEX($S$17:$S$817,ROW()-16),"")</f>
        <v/>
      </c>
      <c r="C297">
        <f>IFERROR(INDEX($W$17:$W$817,ROW()-16),"")</f>
        <v/>
      </c>
      <c r="D297">
        <f>IFERROR(INDEX($AA$17:$AA$817,ROW()-16),"")</f>
        <v/>
      </c>
    </row>
    <row r="298">
      <c r="A298" s="23">
        <f>IFERROR(INDEX($R$17:$R$817,ROW()-16),"")</f>
        <v/>
      </c>
      <c r="B298">
        <f>IFERROR(INDEX($S$17:$S$817,ROW()-16),"")</f>
        <v/>
      </c>
      <c r="C298">
        <f>IFERROR(INDEX($W$17:$W$817,ROW()-16),"")</f>
        <v/>
      </c>
      <c r="D298">
        <f>IFERROR(INDEX($AA$17:$AA$817,ROW()-16),"")</f>
        <v/>
      </c>
    </row>
    <row r="299">
      <c r="A299" s="23">
        <f>IFERROR(INDEX($R$17:$R$817,ROW()-16),"")</f>
        <v/>
      </c>
      <c r="B299">
        <f>IFERROR(INDEX($S$17:$S$817,ROW()-16),"")</f>
        <v/>
      </c>
      <c r="C299">
        <f>IFERROR(INDEX($W$17:$W$817,ROW()-16),"")</f>
        <v/>
      </c>
      <c r="D299">
        <f>IFERROR(INDEX($AA$17:$AA$817,ROW()-16),"")</f>
        <v/>
      </c>
    </row>
    <row r="300">
      <c r="A300" s="23">
        <f>IFERROR(INDEX($R$17:$R$817,ROW()-16),"")</f>
        <v/>
      </c>
      <c r="B300">
        <f>IFERROR(INDEX($S$17:$S$817,ROW()-16),"")</f>
        <v/>
      </c>
      <c r="C300">
        <f>IFERROR(INDEX($W$17:$W$817,ROW()-16),"")</f>
        <v/>
      </c>
      <c r="D300">
        <f>IFERROR(INDEX($AA$17:$AA$817,ROW()-16),"")</f>
        <v/>
      </c>
    </row>
    <row r="301">
      <c r="A301" s="23">
        <f>IFERROR(INDEX($R$17:$R$817,ROW()-16),"")</f>
        <v/>
      </c>
      <c r="B301">
        <f>IFERROR(INDEX($S$17:$S$817,ROW()-16),"")</f>
        <v/>
      </c>
      <c r="C301">
        <f>IFERROR(INDEX($W$17:$W$817,ROW()-16),"")</f>
        <v/>
      </c>
      <c r="D301">
        <f>IFERROR(INDEX($AA$17:$AA$817,ROW()-16),"")</f>
        <v/>
      </c>
    </row>
    <row r="302">
      <c r="A302" s="23">
        <f>IFERROR(INDEX($R$17:$R$817,ROW()-16),"")</f>
        <v/>
      </c>
      <c r="B302">
        <f>IFERROR(INDEX($S$17:$S$817,ROW()-16),"")</f>
        <v/>
      </c>
      <c r="C302">
        <f>IFERROR(INDEX($W$17:$W$817,ROW()-16),"")</f>
        <v/>
      </c>
      <c r="D302">
        <f>IFERROR(INDEX($AA$17:$AA$817,ROW()-16),"")</f>
        <v/>
      </c>
    </row>
    <row r="303">
      <c r="A303" s="23">
        <f>IFERROR(INDEX($R$17:$R$817,ROW()-16),"")</f>
        <v/>
      </c>
      <c r="B303">
        <f>IFERROR(INDEX($S$17:$S$817,ROW()-16),"")</f>
        <v/>
      </c>
      <c r="C303">
        <f>IFERROR(INDEX($W$17:$W$817,ROW()-16),"")</f>
        <v/>
      </c>
      <c r="D303">
        <f>IFERROR(INDEX($AA$17:$AA$817,ROW()-16),"")</f>
        <v/>
      </c>
    </row>
    <row r="304">
      <c r="A304" s="23">
        <f>IFERROR(INDEX($R$17:$R$817,ROW()-16),"")</f>
        <v/>
      </c>
      <c r="B304">
        <f>IFERROR(INDEX($S$17:$S$817,ROW()-16),"")</f>
        <v/>
      </c>
      <c r="C304">
        <f>IFERROR(INDEX($W$17:$W$817,ROW()-16),"")</f>
        <v/>
      </c>
      <c r="D304">
        <f>IFERROR(INDEX($AA$17:$AA$817,ROW()-16),"")</f>
        <v/>
      </c>
    </row>
    <row r="305">
      <c r="A305" s="23">
        <f>IFERROR(INDEX($R$17:$R$817,ROW()-16),"")</f>
        <v/>
      </c>
      <c r="B305">
        <f>IFERROR(INDEX($S$17:$S$817,ROW()-16),"")</f>
        <v/>
      </c>
      <c r="C305">
        <f>IFERROR(INDEX($W$17:$W$817,ROW()-16),"")</f>
        <v/>
      </c>
      <c r="D305">
        <f>IFERROR(INDEX($AA$17:$AA$817,ROW()-16),"")</f>
        <v/>
      </c>
    </row>
    <row r="306">
      <c r="A306" s="23">
        <f>IFERROR(INDEX($R$17:$R$817,ROW()-16),"")</f>
        <v/>
      </c>
      <c r="B306">
        <f>IFERROR(INDEX($S$17:$S$817,ROW()-16),"")</f>
        <v/>
      </c>
      <c r="C306">
        <f>IFERROR(INDEX($W$17:$W$817,ROW()-16),"")</f>
        <v/>
      </c>
      <c r="D306">
        <f>IFERROR(INDEX($AA$17:$AA$817,ROW()-16),"")</f>
        <v/>
      </c>
    </row>
    <row r="307">
      <c r="A307" s="23">
        <f>IFERROR(INDEX($R$17:$R$817,ROW()-16),"")</f>
        <v/>
      </c>
      <c r="B307">
        <f>IFERROR(INDEX($S$17:$S$817,ROW()-16),"")</f>
        <v/>
      </c>
      <c r="C307">
        <f>IFERROR(INDEX($W$17:$W$817,ROW()-16),"")</f>
        <v/>
      </c>
      <c r="D307">
        <f>IFERROR(INDEX($AA$17:$AA$817,ROW()-16),"")</f>
        <v/>
      </c>
    </row>
    <row r="308">
      <c r="A308" s="23">
        <f>IFERROR(INDEX($R$17:$R$817,ROW()-16),"")</f>
        <v/>
      </c>
      <c r="B308">
        <f>IFERROR(INDEX($S$17:$S$817,ROW()-16),"")</f>
        <v/>
      </c>
      <c r="C308">
        <f>IFERROR(INDEX($W$17:$W$817,ROW()-16),"")</f>
        <v/>
      </c>
      <c r="D308">
        <f>IFERROR(INDEX($AA$17:$AA$817,ROW()-16),"")</f>
        <v/>
      </c>
    </row>
    <row r="309">
      <c r="A309" s="23">
        <f>IFERROR(INDEX($R$17:$R$817,ROW()-16),"")</f>
        <v/>
      </c>
      <c r="B309">
        <f>IFERROR(INDEX($S$17:$S$817,ROW()-16),"")</f>
        <v/>
      </c>
      <c r="C309">
        <f>IFERROR(INDEX($W$17:$W$817,ROW()-16),"")</f>
        <v/>
      </c>
      <c r="D309">
        <f>IFERROR(INDEX($AA$17:$AA$817,ROW()-16),"")</f>
        <v/>
      </c>
    </row>
    <row r="310">
      <c r="A310" s="23">
        <f>IFERROR(INDEX($R$17:$R$817,ROW()-16),"")</f>
        <v/>
      </c>
      <c r="B310">
        <f>IFERROR(INDEX($S$17:$S$817,ROW()-16),"")</f>
        <v/>
      </c>
      <c r="C310">
        <f>IFERROR(INDEX($W$17:$W$817,ROW()-16),"")</f>
        <v/>
      </c>
      <c r="D310">
        <f>IFERROR(INDEX($AA$17:$AA$817,ROW()-16),"")</f>
        <v/>
      </c>
    </row>
    <row r="311">
      <c r="A311" s="23">
        <f>IFERROR(INDEX($R$17:$R$817,ROW()-16),"")</f>
        <v/>
      </c>
      <c r="B311">
        <f>IFERROR(INDEX($S$17:$S$817,ROW()-16),"")</f>
        <v/>
      </c>
      <c r="C311">
        <f>IFERROR(INDEX($W$17:$W$817,ROW()-16),"")</f>
        <v/>
      </c>
      <c r="D311">
        <f>IFERROR(INDEX($AA$17:$AA$817,ROW()-16),"")</f>
        <v/>
      </c>
    </row>
    <row r="312">
      <c r="A312" s="23">
        <f>IFERROR(INDEX($R$17:$R$817,ROW()-16),"")</f>
        <v/>
      </c>
      <c r="B312">
        <f>IFERROR(INDEX($S$17:$S$817,ROW()-16),"")</f>
        <v/>
      </c>
      <c r="C312">
        <f>IFERROR(INDEX($W$17:$W$817,ROW()-16),"")</f>
        <v/>
      </c>
      <c r="D312">
        <f>IFERROR(INDEX($AA$17:$AA$817,ROW()-16),"")</f>
        <v/>
      </c>
    </row>
    <row r="313">
      <c r="A313" s="23">
        <f>IFERROR(INDEX($R$17:$R$817,ROW()-16),"")</f>
        <v/>
      </c>
      <c r="B313">
        <f>IFERROR(INDEX($S$17:$S$817,ROW()-16),"")</f>
        <v/>
      </c>
      <c r="C313">
        <f>IFERROR(INDEX($W$17:$W$817,ROW()-16),"")</f>
        <v/>
      </c>
      <c r="D313">
        <f>IFERROR(INDEX($AA$17:$AA$817,ROW()-16),"")</f>
        <v/>
      </c>
    </row>
    <row r="314">
      <c r="A314" s="23">
        <f>IFERROR(INDEX($R$17:$R$817,ROW()-16),"")</f>
        <v/>
      </c>
      <c r="B314">
        <f>IFERROR(INDEX($S$17:$S$817,ROW()-16),"")</f>
        <v/>
      </c>
      <c r="C314">
        <f>IFERROR(INDEX($W$17:$W$817,ROW()-16),"")</f>
        <v/>
      </c>
      <c r="D314">
        <f>IFERROR(INDEX($AA$17:$AA$817,ROW()-16),"")</f>
        <v/>
      </c>
    </row>
    <row r="315">
      <c r="A315" s="23">
        <f>IFERROR(INDEX($R$17:$R$817,ROW()-16),"")</f>
        <v/>
      </c>
      <c r="B315">
        <f>IFERROR(INDEX($S$17:$S$817,ROW()-16),"")</f>
        <v/>
      </c>
      <c r="C315">
        <f>IFERROR(INDEX($W$17:$W$817,ROW()-16),"")</f>
        <v/>
      </c>
      <c r="D315">
        <f>IFERROR(INDEX($AA$17:$AA$817,ROW()-16),"")</f>
        <v/>
      </c>
    </row>
    <row r="316">
      <c r="A316" s="23">
        <f>IFERROR(INDEX($R$17:$R$817,ROW()-16),"")</f>
        <v/>
      </c>
      <c r="B316">
        <f>IFERROR(INDEX($S$17:$S$817,ROW()-16),"")</f>
        <v/>
      </c>
      <c r="C316">
        <f>IFERROR(INDEX($W$17:$W$817,ROW()-16),"")</f>
        <v/>
      </c>
      <c r="D316">
        <f>IFERROR(INDEX($AA$17:$AA$817,ROW()-16),"")</f>
        <v/>
      </c>
    </row>
    <row r="317">
      <c r="A317" s="23">
        <f>IFERROR(INDEX($R$17:$R$817,ROW()-16),"")</f>
        <v/>
      </c>
      <c r="B317">
        <f>IFERROR(INDEX($S$17:$S$817,ROW()-16),"")</f>
        <v/>
      </c>
      <c r="C317">
        <f>IFERROR(INDEX($W$17:$W$817,ROW()-16),"")</f>
        <v/>
      </c>
      <c r="D317">
        <f>IFERROR(INDEX($AA$17:$AA$817,ROW()-16),"")</f>
        <v/>
      </c>
    </row>
    <row r="318">
      <c r="A318" s="23">
        <f>IFERROR(INDEX($R$17:$R$817,ROW()-16),"")</f>
        <v/>
      </c>
      <c r="B318">
        <f>IFERROR(INDEX($S$17:$S$817,ROW()-16),"")</f>
        <v/>
      </c>
      <c r="C318">
        <f>IFERROR(INDEX($W$17:$W$817,ROW()-16),"")</f>
        <v/>
      </c>
      <c r="D318">
        <f>IFERROR(INDEX($AA$17:$AA$817,ROW()-16),"")</f>
        <v/>
      </c>
    </row>
    <row r="319">
      <c r="A319" s="23">
        <f>IFERROR(INDEX($R$17:$R$817,ROW()-16),"")</f>
        <v/>
      </c>
      <c r="B319">
        <f>IFERROR(INDEX($S$17:$S$817,ROW()-16),"")</f>
        <v/>
      </c>
      <c r="C319">
        <f>IFERROR(INDEX($W$17:$W$817,ROW()-16),"")</f>
        <v/>
      </c>
      <c r="D319">
        <f>IFERROR(INDEX($AA$17:$AA$817,ROW()-16),"")</f>
        <v/>
      </c>
    </row>
    <row r="320">
      <c r="A320" s="23">
        <f>IFERROR(INDEX($R$17:$R$817,ROW()-16),"")</f>
        <v/>
      </c>
      <c r="B320">
        <f>IFERROR(INDEX($S$17:$S$817,ROW()-16),"")</f>
        <v/>
      </c>
      <c r="C320">
        <f>IFERROR(INDEX($W$17:$W$817,ROW()-16),"")</f>
        <v/>
      </c>
      <c r="D320">
        <f>IFERROR(INDEX($AA$17:$AA$817,ROW()-16),"")</f>
        <v/>
      </c>
    </row>
    <row r="321">
      <c r="A321" s="23">
        <f>IFERROR(INDEX($R$17:$R$817,ROW()-16),"")</f>
        <v/>
      </c>
      <c r="B321">
        <f>IFERROR(INDEX($S$17:$S$817,ROW()-16),"")</f>
        <v/>
      </c>
      <c r="C321">
        <f>IFERROR(INDEX($W$17:$W$817,ROW()-16),"")</f>
        <v/>
      </c>
      <c r="D321">
        <f>IFERROR(INDEX($AA$17:$AA$817,ROW()-16),"")</f>
        <v/>
      </c>
    </row>
    <row r="322">
      <c r="A322" s="23">
        <f>IFERROR(INDEX($R$17:$R$817,ROW()-16),"")</f>
        <v/>
      </c>
      <c r="B322">
        <f>IFERROR(INDEX($S$17:$S$817,ROW()-16),"")</f>
        <v/>
      </c>
      <c r="C322">
        <f>IFERROR(INDEX($W$17:$W$817,ROW()-16),"")</f>
        <v/>
      </c>
      <c r="D322">
        <f>IFERROR(INDEX($AA$17:$AA$817,ROW()-16),"")</f>
        <v/>
      </c>
    </row>
    <row r="323">
      <c r="A323" s="23">
        <f>IFERROR(INDEX($R$17:$R$817,ROW()-16),"")</f>
        <v/>
      </c>
      <c r="B323">
        <f>IFERROR(INDEX($S$17:$S$817,ROW()-16),"")</f>
        <v/>
      </c>
      <c r="C323">
        <f>IFERROR(INDEX($W$17:$W$817,ROW()-16),"")</f>
        <v/>
      </c>
      <c r="D323">
        <f>IFERROR(INDEX($AA$17:$AA$817,ROW()-16),"")</f>
        <v/>
      </c>
    </row>
    <row r="324">
      <c r="A324" s="23">
        <f>IFERROR(INDEX($R$17:$R$817,ROW()-16),"")</f>
        <v/>
      </c>
      <c r="B324">
        <f>IFERROR(INDEX($S$17:$S$817,ROW()-16),"")</f>
        <v/>
      </c>
      <c r="C324">
        <f>IFERROR(INDEX($W$17:$W$817,ROW()-16),"")</f>
        <v/>
      </c>
      <c r="D324">
        <f>IFERROR(INDEX($AA$17:$AA$817,ROW()-16),"")</f>
        <v/>
      </c>
    </row>
    <row r="325">
      <c r="A325" s="23">
        <f>IFERROR(INDEX($R$17:$R$817,ROW()-16),"")</f>
        <v/>
      </c>
      <c r="B325">
        <f>IFERROR(INDEX($S$17:$S$817,ROW()-16),"")</f>
        <v/>
      </c>
      <c r="C325">
        <f>IFERROR(INDEX($W$17:$W$817,ROW()-16),"")</f>
        <v/>
      </c>
      <c r="D325">
        <f>IFERROR(INDEX($AA$17:$AA$817,ROW()-16),"")</f>
        <v/>
      </c>
    </row>
    <row r="326">
      <c r="A326" s="23">
        <f>IFERROR(INDEX($R$17:$R$817,ROW()-16),"")</f>
        <v/>
      </c>
      <c r="B326">
        <f>IFERROR(INDEX($S$17:$S$817,ROW()-16),"")</f>
        <v/>
      </c>
      <c r="C326">
        <f>IFERROR(INDEX($W$17:$W$817,ROW()-16),"")</f>
        <v/>
      </c>
      <c r="D326">
        <f>IFERROR(INDEX($AA$17:$AA$817,ROW()-16),"")</f>
        <v/>
      </c>
    </row>
    <row r="327">
      <c r="A327" s="23">
        <f>IFERROR(INDEX($R$17:$R$817,ROW()-16),"")</f>
        <v/>
      </c>
      <c r="B327">
        <f>IFERROR(INDEX($S$17:$S$817,ROW()-16),"")</f>
        <v/>
      </c>
      <c r="C327">
        <f>IFERROR(INDEX($W$17:$W$817,ROW()-16),"")</f>
        <v/>
      </c>
      <c r="D327">
        <f>IFERROR(INDEX($AA$17:$AA$817,ROW()-16),"")</f>
        <v/>
      </c>
    </row>
    <row r="328">
      <c r="A328" s="23">
        <f>IFERROR(INDEX($R$17:$R$817,ROW()-16),"")</f>
        <v/>
      </c>
      <c r="B328">
        <f>IFERROR(INDEX($S$17:$S$817,ROW()-16),"")</f>
        <v/>
      </c>
      <c r="C328">
        <f>IFERROR(INDEX($W$17:$W$817,ROW()-16),"")</f>
        <v/>
      </c>
      <c r="D328">
        <f>IFERROR(INDEX($AA$17:$AA$817,ROW()-16),"")</f>
        <v/>
      </c>
    </row>
    <row r="329">
      <c r="A329" s="23">
        <f>IFERROR(INDEX($R$17:$R$817,ROW()-16),"")</f>
        <v/>
      </c>
      <c r="B329">
        <f>IFERROR(INDEX($S$17:$S$817,ROW()-16),"")</f>
        <v/>
      </c>
      <c r="C329">
        <f>IFERROR(INDEX($W$17:$W$817,ROW()-16),"")</f>
        <v/>
      </c>
      <c r="D329">
        <f>IFERROR(INDEX($AA$17:$AA$817,ROW()-16),"")</f>
        <v/>
      </c>
    </row>
    <row r="330">
      <c r="A330" s="23">
        <f>IFERROR(INDEX($R$17:$R$817,ROW()-16),"")</f>
        <v/>
      </c>
      <c r="B330">
        <f>IFERROR(INDEX($S$17:$S$817,ROW()-16),"")</f>
        <v/>
      </c>
      <c r="C330">
        <f>IFERROR(INDEX($W$17:$W$817,ROW()-16),"")</f>
        <v/>
      </c>
      <c r="D330">
        <f>IFERROR(INDEX($AA$17:$AA$817,ROW()-16),"")</f>
        <v/>
      </c>
    </row>
    <row r="331">
      <c r="A331" s="23">
        <f>IFERROR(INDEX($R$17:$R$817,ROW()-16),"")</f>
        <v/>
      </c>
      <c r="B331">
        <f>IFERROR(INDEX($S$17:$S$817,ROW()-16),"")</f>
        <v/>
      </c>
      <c r="C331">
        <f>IFERROR(INDEX($W$17:$W$817,ROW()-16),"")</f>
        <v/>
      </c>
      <c r="D331">
        <f>IFERROR(INDEX($AA$17:$AA$817,ROW()-16),"")</f>
        <v/>
      </c>
    </row>
    <row r="332">
      <c r="A332" s="23">
        <f>IFERROR(INDEX($R$17:$R$817,ROW()-16),"")</f>
        <v/>
      </c>
      <c r="B332">
        <f>IFERROR(INDEX($S$17:$S$817,ROW()-16),"")</f>
        <v/>
      </c>
      <c r="C332">
        <f>IFERROR(INDEX($W$17:$W$817,ROW()-16),"")</f>
        <v/>
      </c>
      <c r="D332">
        <f>IFERROR(INDEX($AA$17:$AA$817,ROW()-16),"")</f>
        <v/>
      </c>
    </row>
    <row r="333">
      <c r="A333" s="23">
        <f>IFERROR(INDEX($R$17:$R$817,ROW()-16),"")</f>
        <v/>
      </c>
      <c r="B333">
        <f>IFERROR(INDEX($S$17:$S$817,ROW()-16),"")</f>
        <v/>
      </c>
      <c r="C333">
        <f>IFERROR(INDEX($W$17:$W$817,ROW()-16),"")</f>
        <v/>
      </c>
      <c r="D333">
        <f>IFERROR(INDEX($AA$17:$AA$817,ROW()-16),"")</f>
        <v/>
      </c>
    </row>
    <row r="334">
      <c r="A334" s="23">
        <f>IFERROR(INDEX($R$17:$R$817,ROW()-16),"")</f>
        <v/>
      </c>
      <c r="B334">
        <f>IFERROR(INDEX($S$17:$S$817,ROW()-16),"")</f>
        <v/>
      </c>
      <c r="C334">
        <f>IFERROR(INDEX($W$17:$W$817,ROW()-16),"")</f>
        <v/>
      </c>
      <c r="D334">
        <f>IFERROR(INDEX($AA$17:$AA$817,ROW()-16),"")</f>
        <v/>
      </c>
    </row>
    <row r="335">
      <c r="A335" s="23">
        <f>IFERROR(INDEX($R$17:$R$817,ROW()-16),"")</f>
        <v/>
      </c>
      <c r="B335">
        <f>IFERROR(INDEX($S$17:$S$817,ROW()-16),"")</f>
        <v/>
      </c>
      <c r="C335">
        <f>IFERROR(INDEX($W$17:$W$817,ROW()-16),"")</f>
        <v/>
      </c>
      <c r="D335">
        <f>IFERROR(INDEX($AA$17:$AA$817,ROW()-16),"")</f>
        <v/>
      </c>
    </row>
    <row r="336">
      <c r="A336" s="23">
        <f>IFERROR(INDEX($R$17:$R$817,ROW()-16),"")</f>
        <v/>
      </c>
      <c r="B336">
        <f>IFERROR(INDEX($S$17:$S$817,ROW()-16),"")</f>
        <v/>
      </c>
      <c r="C336">
        <f>IFERROR(INDEX($W$17:$W$817,ROW()-16),"")</f>
        <v/>
      </c>
      <c r="D336">
        <f>IFERROR(INDEX($AA$17:$AA$817,ROW()-16),"")</f>
        <v/>
      </c>
    </row>
    <row r="337">
      <c r="A337" s="23">
        <f>IFERROR(INDEX($R$17:$R$817,ROW()-16),"")</f>
        <v/>
      </c>
      <c r="B337">
        <f>IFERROR(INDEX($S$17:$S$817,ROW()-16),"")</f>
        <v/>
      </c>
      <c r="C337">
        <f>IFERROR(INDEX($W$17:$W$817,ROW()-16),"")</f>
        <v/>
      </c>
      <c r="D337">
        <f>IFERROR(INDEX($AA$17:$AA$817,ROW()-16),"")</f>
        <v/>
      </c>
    </row>
    <row r="338">
      <c r="A338" s="23">
        <f>IFERROR(INDEX($R$17:$R$817,ROW()-16),"")</f>
        <v/>
      </c>
      <c r="B338">
        <f>IFERROR(INDEX($S$17:$S$817,ROW()-16),"")</f>
        <v/>
      </c>
      <c r="C338">
        <f>IFERROR(INDEX($W$17:$W$817,ROW()-16),"")</f>
        <v/>
      </c>
      <c r="D338">
        <f>IFERROR(INDEX($AA$17:$AA$817,ROW()-16),"")</f>
        <v/>
      </c>
    </row>
    <row r="339">
      <c r="A339" s="23">
        <f>IFERROR(INDEX($R$17:$R$817,ROW()-16),"")</f>
        <v/>
      </c>
      <c r="B339">
        <f>IFERROR(INDEX($S$17:$S$817,ROW()-16),"")</f>
        <v/>
      </c>
      <c r="C339">
        <f>IFERROR(INDEX($W$17:$W$817,ROW()-16),"")</f>
        <v/>
      </c>
      <c r="D339">
        <f>IFERROR(INDEX($AA$17:$AA$817,ROW()-16),"")</f>
        <v/>
      </c>
    </row>
    <row r="340">
      <c r="A340" s="23">
        <f>IFERROR(INDEX($R$17:$R$817,ROW()-16),"")</f>
        <v/>
      </c>
      <c r="B340">
        <f>IFERROR(INDEX($S$17:$S$817,ROW()-16),"")</f>
        <v/>
      </c>
      <c r="C340">
        <f>IFERROR(INDEX($W$17:$W$817,ROW()-16),"")</f>
        <v/>
      </c>
      <c r="D340">
        <f>IFERROR(INDEX($AA$17:$AA$817,ROW()-16),"")</f>
        <v/>
      </c>
    </row>
    <row r="341">
      <c r="A341" s="23">
        <f>IFERROR(INDEX($R$17:$R$817,ROW()-16),"")</f>
        <v/>
      </c>
      <c r="B341">
        <f>IFERROR(INDEX($S$17:$S$817,ROW()-16),"")</f>
        <v/>
      </c>
      <c r="C341">
        <f>IFERROR(INDEX($W$17:$W$817,ROW()-16),"")</f>
        <v/>
      </c>
      <c r="D341">
        <f>IFERROR(INDEX($AA$17:$AA$817,ROW()-16),"")</f>
        <v/>
      </c>
    </row>
    <row r="342">
      <c r="A342" s="23">
        <f>IFERROR(INDEX($R$17:$R$817,ROW()-16),"")</f>
        <v/>
      </c>
      <c r="B342">
        <f>IFERROR(INDEX($S$17:$S$817,ROW()-16),"")</f>
        <v/>
      </c>
      <c r="C342">
        <f>IFERROR(INDEX($W$17:$W$817,ROW()-16),"")</f>
        <v/>
      </c>
      <c r="D342">
        <f>IFERROR(INDEX($AA$17:$AA$817,ROW()-16),"")</f>
        <v/>
      </c>
    </row>
    <row r="343">
      <c r="A343" s="23">
        <f>IFERROR(INDEX($R$17:$R$817,ROW()-16),"")</f>
        <v/>
      </c>
      <c r="B343">
        <f>IFERROR(INDEX($S$17:$S$817,ROW()-16),"")</f>
        <v/>
      </c>
      <c r="C343">
        <f>IFERROR(INDEX($W$17:$W$817,ROW()-16),"")</f>
        <v/>
      </c>
      <c r="D343">
        <f>IFERROR(INDEX($AA$17:$AA$817,ROW()-16),"")</f>
        <v/>
      </c>
    </row>
    <row r="344">
      <c r="A344" s="23">
        <f>IFERROR(INDEX($R$17:$R$817,ROW()-16),"")</f>
        <v/>
      </c>
      <c r="B344">
        <f>IFERROR(INDEX($S$17:$S$817,ROW()-16),"")</f>
        <v/>
      </c>
      <c r="C344">
        <f>IFERROR(INDEX($W$17:$W$817,ROW()-16),"")</f>
        <v/>
      </c>
      <c r="D344">
        <f>IFERROR(INDEX($AA$17:$AA$817,ROW()-16),"")</f>
        <v/>
      </c>
    </row>
    <row r="345">
      <c r="A345" s="23">
        <f>IFERROR(INDEX($R$17:$R$817,ROW()-16),"")</f>
        <v/>
      </c>
      <c r="B345">
        <f>IFERROR(INDEX($S$17:$S$817,ROW()-16),"")</f>
        <v/>
      </c>
      <c r="C345">
        <f>IFERROR(INDEX($W$17:$W$817,ROW()-16),"")</f>
        <v/>
      </c>
      <c r="D345">
        <f>IFERROR(INDEX($AA$17:$AA$817,ROW()-16),"")</f>
        <v/>
      </c>
    </row>
    <row r="346">
      <c r="A346" s="23">
        <f>IFERROR(INDEX($R$17:$R$817,ROW()-16),"")</f>
        <v/>
      </c>
      <c r="B346">
        <f>IFERROR(INDEX($S$17:$S$817,ROW()-16),"")</f>
        <v/>
      </c>
      <c r="C346">
        <f>IFERROR(INDEX($W$17:$W$817,ROW()-16),"")</f>
        <v/>
      </c>
      <c r="D346">
        <f>IFERROR(INDEX($AA$17:$AA$817,ROW()-16),"")</f>
        <v/>
      </c>
    </row>
    <row r="347">
      <c r="A347" s="23">
        <f>IFERROR(INDEX($R$17:$R$817,ROW()-16),"")</f>
        <v/>
      </c>
      <c r="B347">
        <f>IFERROR(INDEX($S$17:$S$817,ROW()-16),"")</f>
        <v/>
      </c>
      <c r="C347">
        <f>IFERROR(INDEX($W$17:$W$817,ROW()-16),"")</f>
        <v/>
      </c>
      <c r="D347">
        <f>IFERROR(INDEX($AA$17:$AA$817,ROW()-16),"")</f>
        <v/>
      </c>
    </row>
    <row r="348">
      <c r="A348" s="23">
        <f>IFERROR(INDEX($R$17:$R$817,ROW()-16),"")</f>
        <v/>
      </c>
      <c r="B348">
        <f>IFERROR(INDEX($S$17:$S$817,ROW()-16),"")</f>
        <v/>
      </c>
      <c r="C348">
        <f>IFERROR(INDEX($W$17:$W$817,ROW()-16),"")</f>
        <v/>
      </c>
      <c r="D348">
        <f>IFERROR(INDEX($AA$17:$AA$817,ROW()-16),"")</f>
        <v/>
      </c>
    </row>
    <row r="349">
      <c r="A349" s="23">
        <f>IFERROR(INDEX($R$17:$R$817,ROW()-16),"")</f>
        <v/>
      </c>
      <c r="B349">
        <f>IFERROR(INDEX($S$17:$S$817,ROW()-16),"")</f>
        <v/>
      </c>
      <c r="C349">
        <f>IFERROR(INDEX($W$17:$W$817,ROW()-16),"")</f>
        <v/>
      </c>
      <c r="D349">
        <f>IFERROR(INDEX($AA$17:$AA$817,ROW()-16),"")</f>
        <v/>
      </c>
    </row>
    <row r="350">
      <c r="A350" s="23">
        <f>IFERROR(INDEX($R$17:$R$817,ROW()-16),"")</f>
        <v/>
      </c>
      <c r="B350">
        <f>IFERROR(INDEX($S$17:$S$817,ROW()-16),"")</f>
        <v/>
      </c>
      <c r="C350">
        <f>IFERROR(INDEX($W$17:$W$817,ROW()-16),"")</f>
        <v/>
      </c>
      <c r="D350">
        <f>IFERROR(INDEX($AA$17:$AA$817,ROW()-16),"")</f>
        <v/>
      </c>
    </row>
    <row r="351">
      <c r="A351" s="23">
        <f>IFERROR(INDEX($R$17:$R$817,ROW()-16),"")</f>
        <v/>
      </c>
      <c r="B351">
        <f>IFERROR(INDEX($S$17:$S$817,ROW()-16),"")</f>
        <v/>
      </c>
      <c r="C351">
        <f>IFERROR(INDEX($W$17:$W$817,ROW()-16),"")</f>
        <v/>
      </c>
      <c r="D351">
        <f>IFERROR(INDEX($AA$17:$AA$817,ROW()-16),"")</f>
        <v/>
      </c>
    </row>
    <row r="352">
      <c r="A352" s="23">
        <f>IFERROR(INDEX($R$17:$R$817,ROW()-16),"")</f>
        <v/>
      </c>
      <c r="B352">
        <f>IFERROR(INDEX($S$17:$S$817,ROW()-16),"")</f>
        <v/>
      </c>
      <c r="C352">
        <f>IFERROR(INDEX($W$17:$W$817,ROW()-16),"")</f>
        <v/>
      </c>
      <c r="D352">
        <f>IFERROR(INDEX($AA$17:$AA$817,ROW()-16),"")</f>
        <v/>
      </c>
    </row>
    <row r="353">
      <c r="A353" s="23">
        <f>IFERROR(INDEX($R$17:$R$817,ROW()-16),"")</f>
        <v/>
      </c>
      <c r="B353">
        <f>IFERROR(INDEX($S$17:$S$817,ROW()-16),"")</f>
        <v/>
      </c>
      <c r="C353">
        <f>IFERROR(INDEX($W$17:$W$817,ROW()-16),"")</f>
        <v/>
      </c>
      <c r="D353">
        <f>IFERROR(INDEX($AA$17:$AA$817,ROW()-16),"")</f>
        <v/>
      </c>
    </row>
    <row r="354">
      <c r="A354" s="23">
        <f>IFERROR(INDEX($R$17:$R$817,ROW()-16),"")</f>
        <v/>
      </c>
      <c r="B354">
        <f>IFERROR(INDEX($S$17:$S$817,ROW()-16),"")</f>
        <v/>
      </c>
      <c r="C354">
        <f>IFERROR(INDEX($W$17:$W$817,ROW()-16),"")</f>
        <v/>
      </c>
      <c r="D354">
        <f>IFERROR(INDEX($AA$17:$AA$817,ROW()-16),"")</f>
        <v/>
      </c>
    </row>
    <row r="355">
      <c r="A355" s="23">
        <f>IFERROR(INDEX($R$17:$R$817,ROW()-16),"")</f>
        <v/>
      </c>
      <c r="B355">
        <f>IFERROR(INDEX($S$17:$S$817,ROW()-16),"")</f>
        <v/>
      </c>
      <c r="C355">
        <f>IFERROR(INDEX($W$17:$W$817,ROW()-16),"")</f>
        <v/>
      </c>
      <c r="D355">
        <f>IFERROR(INDEX($AA$17:$AA$817,ROW()-16),"")</f>
        <v/>
      </c>
    </row>
    <row r="356">
      <c r="A356" s="23">
        <f>IFERROR(INDEX($R$17:$R$817,ROW()-16),"")</f>
        <v/>
      </c>
      <c r="B356">
        <f>IFERROR(INDEX($S$17:$S$817,ROW()-16),"")</f>
        <v/>
      </c>
      <c r="C356">
        <f>IFERROR(INDEX($W$17:$W$817,ROW()-16),"")</f>
        <v/>
      </c>
      <c r="D356">
        <f>IFERROR(INDEX($AA$17:$AA$817,ROW()-16),"")</f>
        <v/>
      </c>
    </row>
    <row r="357">
      <c r="A357" s="23">
        <f>IFERROR(INDEX($R$17:$R$817,ROW()-16),"")</f>
        <v/>
      </c>
      <c r="B357">
        <f>IFERROR(INDEX($S$17:$S$817,ROW()-16),"")</f>
        <v/>
      </c>
      <c r="C357">
        <f>IFERROR(INDEX($W$17:$W$817,ROW()-16),"")</f>
        <v/>
      </c>
      <c r="D357">
        <f>IFERROR(INDEX($AA$17:$AA$817,ROW()-16),"")</f>
        <v/>
      </c>
    </row>
    <row r="358">
      <c r="A358" s="23">
        <f>IFERROR(INDEX($R$17:$R$817,ROW()-16),"")</f>
        <v/>
      </c>
      <c r="B358">
        <f>IFERROR(INDEX($S$17:$S$817,ROW()-16),"")</f>
        <v/>
      </c>
      <c r="C358">
        <f>IFERROR(INDEX($W$17:$W$817,ROW()-16),"")</f>
        <v/>
      </c>
      <c r="D358">
        <f>IFERROR(INDEX($AA$17:$AA$817,ROW()-16),"")</f>
        <v/>
      </c>
    </row>
    <row r="359">
      <c r="A359" s="23">
        <f>IFERROR(INDEX($R$17:$R$817,ROW()-16),"")</f>
        <v/>
      </c>
      <c r="B359">
        <f>IFERROR(INDEX($S$17:$S$817,ROW()-16),"")</f>
        <v/>
      </c>
      <c r="C359">
        <f>IFERROR(INDEX($W$17:$W$817,ROW()-16),"")</f>
        <v/>
      </c>
      <c r="D359">
        <f>IFERROR(INDEX($AA$17:$AA$817,ROW()-16),"")</f>
        <v/>
      </c>
    </row>
    <row r="360">
      <c r="A360" s="23">
        <f>IFERROR(INDEX($R$17:$R$817,ROW()-16),"")</f>
        <v/>
      </c>
      <c r="B360">
        <f>IFERROR(INDEX($S$17:$S$817,ROW()-16),"")</f>
        <v/>
      </c>
      <c r="C360">
        <f>IFERROR(INDEX($W$17:$W$817,ROW()-16),"")</f>
        <v/>
      </c>
      <c r="D360">
        <f>IFERROR(INDEX($AA$17:$AA$817,ROW()-16),"")</f>
        <v/>
      </c>
    </row>
    <row r="361">
      <c r="A361" s="23">
        <f>IFERROR(INDEX($R$17:$R$817,ROW()-16),"")</f>
        <v/>
      </c>
      <c r="B361">
        <f>IFERROR(INDEX($S$17:$S$817,ROW()-16),"")</f>
        <v/>
      </c>
      <c r="C361">
        <f>IFERROR(INDEX($W$17:$W$817,ROW()-16),"")</f>
        <v/>
      </c>
      <c r="D361">
        <f>IFERROR(INDEX($AA$17:$AA$817,ROW()-16),"")</f>
        <v/>
      </c>
    </row>
    <row r="362">
      <c r="A362" s="23">
        <f>IFERROR(INDEX($R$17:$R$817,ROW()-16),"")</f>
        <v/>
      </c>
      <c r="B362">
        <f>IFERROR(INDEX($S$17:$S$817,ROW()-16),"")</f>
        <v/>
      </c>
      <c r="C362">
        <f>IFERROR(INDEX($W$17:$W$817,ROW()-16),"")</f>
        <v/>
      </c>
      <c r="D362">
        <f>IFERROR(INDEX($AA$17:$AA$817,ROW()-16),"")</f>
        <v/>
      </c>
    </row>
    <row r="363">
      <c r="A363" s="23">
        <f>IFERROR(INDEX($R$17:$R$817,ROW()-16),"")</f>
        <v/>
      </c>
      <c r="B363">
        <f>IFERROR(INDEX($S$17:$S$817,ROW()-16),"")</f>
        <v/>
      </c>
      <c r="C363">
        <f>IFERROR(INDEX($W$17:$W$817,ROW()-16),"")</f>
        <v/>
      </c>
      <c r="D363">
        <f>IFERROR(INDEX($AA$17:$AA$817,ROW()-16),"")</f>
        <v/>
      </c>
    </row>
    <row r="364">
      <c r="A364" s="23">
        <f>IFERROR(INDEX($R$17:$R$817,ROW()-16),"")</f>
        <v/>
      </c>
      <c r="B364">
        <f>IFERROR(INDEX($S$17:$S$817,ROW()-16),"")</f>
        <v/>
      </c>
      <c r="C364">
        <f>IFERROR(INDEX($W$17:$W$817,ROW()-16),"")</f>
        <v/>
      </c>
      <c r="D364">
        <f>IFERROR(INDEX($AA$17:$AA$817,ROW()-16),"")</f>
        <v/>
      </c>
    </row>
    <row r="365">
      <c r="A365" s="23">
        <f>IFERROR(INDEX($R$17:$R$817,ROW()-16),"")</f>
        <v/>
      </c>
      <c r="B365">
        <f>IFERROR(INDEX($S$17:$S$817,ROW()-16),"")</f>
        <v/>
      </c>
      <c r="C365">
        <f>IFERROR(INDEX($W$17:$W$817,ROW()-16),"")</f>
        <v/>
      </c>
      <c r="D365">
        <f>IFERROR(INDEX($AA$17:$AA$817,ROW()-16),"")</f>
        <v/>
      </c>
    </row>
    <row r="366">
      <c r="A366" s="23">
        <f>IFERROR(INDEX($R$17:$R$817,ROW()-16),"")</f>
        <v/>
      </c>
      <c r="B366">
        <f>IFERROR(INDEX($S$17:$S$817,ROW()-16),"")</f>
        <v/>
      </c>
      <c r="C366">
        <f>IFERROR(INDEX($W$17:$W$817,ROW()-16),"")</f>
        <v/>
      </c>
      <c r="D366">
        <f>IFERROR(INDEX($AA$17:$AA$817,ROW()-16),"")</f>
        <v/>
      </c>
    </row>
    <row r="367">
      <c r="A367" s="23">
        <f>IFERROR(INDEX($R$17:$R$817,ROW()-16),"")</f>
        <v/>
      </c>
      <c r="B367">
        <f>IFERROR(INDEX($S$17:$S$817,ROW()-16),"")</f>
        <v/>
      </c>
      <c r="C367">
        <f>IFERROR(INDEX($W$17:$W$817,ROW()-16),"")</f>
        <v/>
      </c>
      <c r="D367">
        <f>IFERROR(INDEX($AA$17:$AA$817,ROW()-16),"")</f>
        <v/>
      </c>
    </row>
    <row r="368">
      <c r="A368" s="23">
        <f>IFERROR(INDEX($R$17:$R$817,ROW()-16),"")</f>
        <v/>
      </c>
      <c r="B368">
        <f>IFERROR(INDEX($S$17:$S$817,ROW()-16),"")</f>
        <v/>
      </c>
      <c r="C368">
        <f>IFERROR(INDEX($W$17:$W$817,ROW()-16),"")</f>
        <v/>
      </c>
      <c r="D368">
        <f>IFERROR(INDEX($AA$17:$AA$817,ROW()-16),"")</f>
        <v/>
      </c>
    </row>
    <row r="369">
      <c r="A369" s="23">
        <f>IFERROR(INDEX($R$17:$R$817,ROW()-16),"")</f>
        <v/>
      </c>
      <c r="B369">
        <f>IFERROR(INDEX($S$17:$S$817,ROW()-16),"")</f>
        <v/>
      </c>
      <c r="C369">
        <f>IFERROR(INDEX($W$17:$W$817,ROW()-16),"")</f>
        <v/>
      </c>
      <c r="D369">
        <f>IFERROR(INDEX($AA$17:$AA$817,ROW()-16),"")</f>
        <v/>
      </c>
    </row>
    <row r="370">
      <c r="A370" s="23">
        <f>IFERROR(INDEX($R$17:$R$817,ROW()-16),"")</f>
        <v/>
      </c>
      <c r="B370">
        <f>IFERROR(INDEX($S$17:$S$817,ROW()-16),"")</f>
        <v/>
      </c>
      <c r="C370">
        <f>IFERROR(INDEX($W$17:$W$817,ROW()-16),"")</f>
        <v/>
      </c>
      <c r="D370">
        <f>IFERROR(INDEX($AA$17:$AA$817,ROW()-16),"")</f>
        <v/>
      </c>
    </row>
    <row r="371">
      <c r="A371" s="23">
        <f>IFERROR(INDEX($R$17:$R$817,ROW()-16),"")</f>
        <v/>
      </c>
      <c r="B371">
        <f>IFERROR(INDEX($S$17:$S$817,ROW()-16),"")</f>
        <v/>
      </c>
      <c r="C371">
        <f>IFERROR(INDEX($W$17:$W$817,ROW()-16),"")</f>
        <v/>
      </c>
      <c r="D371">
        <f>IFERROR(INDEX($AA$17:$AA$817,ROW()-16),"")</f>
        <v/>
      </c>
    </row>
    <row r="372">
      <c r="A372" s="23">
        <f>IFERROR(INDEX($R$17:$R$817,ROW()-16),"")</f>
        <v/>
      </c>
      <c r="B372">
        <f>IFERROR(INDEX($S$17:$S$817,ROW()-16),"")</f>
        <v/>
      </c>
      <c r="C372">
        <f>IFERROR(INDEX($W$17:$W$817,ROW()-16),"")</f>
        <v/>
      </c>
      <c r="D372">
        <f>IFERROR(INDEX($AA$17:$AA$817,ROW()-16),"")</f>
        <v/>
      </c>
    </row>
    <row r="373">
      <c r="A373" s="23">
        <f>IFERROR(INDEX($R$17:$R$817,ROW()-16),"")</f>
        <v/>
      </c>
      <c r="B373">
        <f>IFERROR(INDEX($S$17:$S$817,ROW()-16),"")</f>
        <v/>
      </c>
      <c r="C373">
        <f>IFERROR(INDEX($W$17:$W$817,ROW()-16),"")</f>
        <v/>
      </c>
      <c r="D373">
        <f>IFERROR(INDEX($AA$17:$AA$817,ROW()-16),"")</f>
        <v/>
      </c>
    </row>
    <row r="374">
      <c r="A374" s="23">
        <f>IFERROR(INDEX($R$17:$R$817,ROW()-16),"")</f>
        <v/>
      </c>
      <c r="B374">
        <f>IFERROR(INDEX($S$17:$S$817,ROW()-16),"")</f>
        <v/>
      </c>
      <c r="C374">
        <f>IFERROR(INDEX($W$17:$W$817,ROW()-16),"")</f>
        <v/>
      </c>
      <c r="D374">
        <f>IFERROR(INDEX($AA$17:$AA$817,ROW()-16),"")</f>
        <v/>
      </c>
    </row>
    <row r="375">
      <c r="A375" s="23">
        <f>IFERROR(INDEX($R$17:$R$817,ROW()-16),"")</f>
        <v/>
      </c>
      <c r="B375">
        <f>IFERROR(INDEX($S$17:$S$817,ROW()-16),"")</f>
        <v/>
      </c>
      <c r="C375">
        <f>IFERROR(INDEX($W$17:$W$817,ROW()-16),"")</f>
        <v/>
      </c>
      <c r="D375">
        <f>IFERROR(INDEX($AA$17:$AA$817,ROW()-16),"")</f>
        <v/>
      </c>
    </row>
    <row r="376">
      <c r="A376" s="23">
        <f>IFERROR(INDEX($R$17:$R$817,ROW()-16),"")</f>
        <v/>
      </c>
      <c r="B376">
        <f>IFERROR(INDEX($S$17:$S$817,ROW()-16),"")</f>
        <v/>
      </c>
      <c r="C376">
        <f>IFERROR(INDEX($W$17:$W$817,ROW()-16),"")</f>
        <v/>
      </c>
      <c r="D376">
        <f>IFERROR(INDEX($AA$17:$AA$817,ROW()-16),"")</f>
        <v/>
      </c>
    </row>
    <row r="377">
      <c r="A377" s="23">
        <f>IFERROR(INDEX($R$17:$R$817,ROW()-16),"")</f>
        <v/>
      </c>
      <c r="B377">
        <f>IFERROR(INDEX($S$17:$S$817,ROW()-16),"")</f>
        <v/>
      </c>
      <c r="C377">
        <f>IFERROR(INDEX($W$17:$W$817,ROW()-16),"")</f>
        <v/>
      </c>
      <c r="D377">
        <f>IFERROR(INDEX($AA$17:$AA$817,ROW()-16),"")</f>
        <v/>
      </c>
    </row>
    <row r="378">
      <c r="A378" s="23">
        <f>IFERROR(INDEX($R$17:$R$817,ROW()-16),"")</f>
        <v/>
      </c>
      <c r="B378">
        <f>IFERROR(INDEX($S$17:$S$817,ROW()-16),"")</f>
        <v/>
      </c>
      <c r="C378">
        <f>IFERROR(INDEX($W$17:$W$817,ROW()-16),"")</f>
        <v/>
      </c>
      <c r="D378">
        <f>IFERROR(INDEX($AA$17:$AA$817,ROW()-16),"")</f>
        <v/>
      </c>
    </row>
    <row r="379">
      <c r="A379" s="23">
        <f>IFERROR(INDEX($R$17:$R$817,ROW()-16),"")</f>
        <v/>
      </c>
      <c r="B379">
        <f>IFERROR(INDEX($S$17:$S$817,ROW()-16),"")</f>
        <v/>
      </c>
      <c r="C379">
        <f>IFERROR(INDEX($W$17:$W$817,ROW()-16),"")</f>
        <v/>
      </c>
      <c r="D379">
        <f>IFERROR(INDEX($AA$17:$AA$817,ROW()-16),"")</f>
        <v/>
      </c>
    </row>
    <row r="380">
      <c r="A380" s="23">
        <f>IFERROR(INDEX($R$17:$R$817,ROW()-16),"")</f>
        <v/>
      </c>
      <c r="B380">
        <f>IFERROR(INDEX($S$17:$S$817,ROW()-16),"")</f>
        <v/>
      </c>
      <c r="C380">
        <f>IFERROR(INDEX($W$17:$W$817,ROW()-16),"")</f>
        <v/>
      </c>
      <c r="D380">
        <f>IFERROR(INDEX($AA$17:$AA$817,ROW()-16),"")</f>
        <v/>
      </c>
    </row>
    <row r="381">
      <c r="A381" s="23">
        <f>IFERROR(INDEX($R$17:$R$817,ROW()-16),"")</f>
        <v/>
      </c>
      <c r="B381">
        <f>IFERROR(INDEX($S$17:$S$817,ROW()-16),"")</f>
        <v/>
      </c>
      <c r="C381">
        <f>IFERROR(INDEX($W$17:$W$817,ROW()-16),"")</f>
        <v/>
      </c>
      <c r="D381">
        <f>IFERROR(INDEX($AA$17:$AA$817,ROW()-16),"")</f>
        <v/>
      </c>
    </row>
    <row r="382">
      <c r="A382" s="23">
        <f>IFERROR(INDEX($R$17:$R$817,ROW()-16),"")</f>
        <v/>
      </c>
      <c r="B382">
        <f>IFERROR(INDEX($S$17:$S$817,ROW()-16),"")</f>
        <v/>
      </c>
      <c r="C382">
        <f>IFERROR(INDEX($W$17:$W$817,ROW()-16),"")</f>
        <v/>
      </c>
      <c r="D382">
        <f>IFERROR(INDEX($AA$17:$AA$817,ROW()-16),"")</f>
        <v/>
      </c>
    </row>
    <row r="383">
      <c r="A383" s="23">
        <f>IFERROR(INDEX($R$17:$R$817,ROW()-16),"")</f>
        <v/>
      </c>
      <c r="B383">
        <f>IFERROR(INDEX($S$17:$S$817,ROW()-16),"")</f>
        <v/>
      </c>
      <c r="C383">
        <f>IFERROR(INDEX($W$17:$W$817,ROW()-16),"")</f>
        <v/>
      </c>
      <c r="D383">
        <f>IFERROR(INDEX($AA$17:$AA$817,ROW()-16),"")</f>
        <v/>
      </c>
    </row>
    <row r="384">
      <c r="A384" s="23">
        <f>IFERROR(INDEX($R$17:$R$817,ROW()-16),"")</f>
        <v/>
      </c>
      <c r="B384">
        <f>IFERROR(INDEX($S$17:$S$817,ROW()-16),"")</f>
        <v/>
      </c>
      <c r="C384">
        <f>IFERROR(INDEX($W$17:$W$817,ROW()-16),"")</f>
        <v/>
      </c>
      <c r="D384">
        <f>IFERROR(INDEX($AA$17:$AA$817,ROW()-16),"")</f>
        <v/>
      </c>
    </row>
    <row r="385">
      <c r="A385" s="23">
        <f>IFERROR(INDEX($R$17:$R$817,ROW()-16),"")</f>
        <v/>
      </c>
      <c r="B385">
        <f>IFERROR(INDEX($S$17:$S$817,ROW()-16),"")</f>
        <v/>
      </c>
      <c r="C385">
        <f>IFERROR(INDEX($W$17:$W$817,ROW()-16),"")</f>
        <v/>
      </c>
      <c r="D385">
        <f>IFERROR(INDEX($AA$17:$AA$817,ROW()-16),"")</f>
        <v/>
      </c>
    </row>
    <row r="386">
      <c r="A386" s="23">
        <f>IFERROR(INDEX($R$17:$R$817,ROW()-16),"")</f>
        <v/>
      </c>
      <c r="B386">
        <f>IFERROR(INDEX($S$17:$S$817,ROW()-16),"")</f>
        <v/>
      </c>
      <c r="C386">
        <f>IFERROR(INDEX($W$17:$W$817,ROW()-16),"")</f>
        <v/>
      </c>
      <c r="D386">
        <f>IFERROR(INDEX($AA$17:$AA$817,ROW()-16),"")</f>
        <v/>
      </c>
    </row>
    <row r="387">
      <c r="A387" s="23">
        <f>IFERROR(INDEX($R$17:$R$817,ROW()-16),"")</f>
        <v/>
      </c>
      <c r="B387">
        <f>IFERROR(INDEX($S$17:$S$817,ROW()-16),"")</f>
        <v/>
      </c>
      <c r="C387">
        <f>IFERROR(INDEX($W$17:$W$817,ROW()-16),"")</f>
        <v/>
      </c>
      <c r="D387">
        <f>IFERROR(INDEX($AA$17:$AA$817,ROW()-16),"")</f>
        <v/>
      </c>
    </row>
    <row r="388">
      <c r="A388" s="23">
        <f>IFERROR(INDEX($R$17:$R$817,ROW()-16),"")</f>
        <v/>
      </c>
      <c r="B388">
        <f>IFERROR(INDEX($S$17:$S$817,ROW()-16),"")</f>
        <v/>
      </c>
      <c r="C388">
        <f>IFERROR(INDEX($W$17:$W$817,ROW()-16),"")</f>
        <v/>
      </c>
      <c r="D388">
        <f>IFERROR(INDEX($AA$17:$AA$817,ROW()-16),"")</f>
        <v/>
      </c>
    </row>
    <row r="389">
      <c r="A389" s="23">
        <f>IFERROR(INDEX($R$17:$R$817,ROW()-16),"")</f>
        <v/>
      </c>
      <c r="B389">
        <f>IFERROR(INDEX($S$17:$S$817,ROW()-16),"")</f>
        <v/>
      </c>
      <c r="C389">
        <f>IFERROR(INDEX($W$17:$W$817,ROW()-16),"")</f>
        <v/>
      </c>
      <c r="D389">
        <f>IFERROR(INDEX($AA$17:$AA$817,ROW()-16),"")</f>
        <v/>
      </c>
    </row>
    <row r="390">
      <c r="A390" s="23">
        <f>IFERROR(INDEX($R$17:$R$817,ROW()-16),"")</f>
        <v/>
      </c>
      <c r="B390">
        <f>IFERROR(INDEX($S$17:$S$817,ROW()-16),"")</f>
        <v/>
      </c>
      <c r="C390">
        <f>IFERROR(INDEX($W$17:$W$817,ROW()-16),"")</f>
        <v/>
      </c>
      <c r="D390">
        <f>IFERROR(INDEX($AA$17:$AA$817,ROW()-16),"")</f>
        <v/>
      </c>
    </row>
    <row r="391">
      <c r="A391" s="23">
        <f>IFERROR(INDEX($R$17:$R$817,ROW()-16),"")</f>
        <v/>
      </c>
      <c r="B391">
        <f>IFERROR(INDEX($S$17:$S$817,ROW()-16),"")</f>
        <v/>
      </c>
      <c r="C391">
        <f>IFERROR(INDEX($W$17:$W$817,ROW()-16),"")</f>
        <v/>
      </c>
      <c r="D391">
        <f>IFERROR(INDEX($AA$17:$AA$817,ROW()-16),"")</f>
        <v/>
      </c>
    </row>
    <row r="392">
      <c r="A392" s="23">
        <f>IFERROR(INDEX($R$17:$R$817,ROW()-16),"")</f>
        <v/>
      </c>
      <c r="B392">
        <f>IFERROR(INDEX($S$17:$S$817,ROW()-16),"")</f>
        <v/>
      </c>
      <c r="C392">
        <f>IFERROR(INDEX($W$17:$W$817,ROW()-16),"")</f>
        <v/>
      </c>
      <c r="D392">
        <f>IFERROR(INDEX($AA$17:$AA$817,ROW()-16),"")</f>
        <v/>
      </c>
    </row>
    <row r="393">
      <c r="A393" s="23">
        <f>IFERROR(INDEX($R$17:$R$817,ROW()-16),"")</f>
        <v/>
      </c>
      <c r="B393">
        <f>IFERROR(INDEX($S$17:$S$817,ROW()-16),"")</f>
        <v/>
      </c>
      <c r="C393">
        <f>IFERROR(INDEX($W$17:$W$817,ROW()-16),"")</f>
        <v/>
      </c>
      <c r="D393">
        <f>IFERROR(INDEX($AA$17:$AA$817,ROW()-16),"")</f>
        <v/>
      </c>
    </row>
    <row r="394">
      <c r="A394" s="23">
        <f>IFERROR(INDEX($R$17:$R$817,ROW()-16),"")</f>
        <v/>
      </c>
      <c r="B394">
        <f>IFERROR(INDEX($S$17:$S$817,ROW()-16),"")</f>
        <v/>
      </c>
      <c r="C394">
        <f>IFERROR(INDEX($W$17:$W$817,ROW()-16),"")</f>
        <v/>
      </c>
      <c r="D394">
        <f>IFERROR(INDEX($AA$17:$AA$817,ROW()-16),"")</f>
        <v/>
      </c>
    </row>
    <row r="395">
      <c r="A395" s="23">
        <f>IFERROR(INDEX($R$17:$R$817,ROW()-16),"")</f>
        <v/>
      </c>
      <c r="B395">
        <f>IFERROR(INDEX($S$17:$S$817,ROW()-16),"")</f>
        <v/>
      </c>
      <c r="C395">
        <f>IFERROR(INDEX($W$17:$W$817,ROW()-16),"")</f>
        <v/>
      </c>
      <c r="D395">
        <f>IFERROR(INDEX($AA$17:$AA$817,ROW()-16),"")</f>
        <v/>
      </c>
    </row>
    <row r="396">
      <c r="A396" s="23">
        <f>IFERROR(INDEX($R$17:$R$817,ROW()-16),"")</f>
        <v/>
      </c>
      <c r="B396">
        <f>IFERROR(INDEX($S$17:$S$817,ROW()-16),"")</f>
        <v/>
      </c>
      <c r="C396">
        <f>IFERROR(INDEX($W$17:$W$817,ROW()-16),"")</f>
        <v/>
      </c>
      <c r="D396">
        <f>IFERROR(INDEX($AA$17:$AA$817,ROW()-16),"")</f>
        <v/>
      </c>
    </row>
    <row r="397">
      <c r="A397" s="23">
        <f>IFERROR(INDEX($R$17:$R$817,ROW()-16),"")</f>
        <v/>
      </c>
      <c r="B397">
        <f>IFERROR(INDEX($S$17:$S$817,ROW()-16),"")</f>
        <v/>
      </c>
      <c r="C397">
        <f>IFERROR(INDEX($W$17:$W$817,ROW()-16),"")</f>
        <v/>
      </c>
      <c r="D397">
        <f>IFERROR(INDEX($AA$17:$AA$817,ROW()-16),"")</f>
        <v/>
      </c>
    </row>
    <row r="398">
      <c r="A398" s="23">
        <f>IFERROR(INDEX($R$17:$R$817,ROW()-16),"")</f>
        <v/>
      </c>
      <c r="B398">
        <f>IFERROR(INDEX($S$17:$S$817,ROW()-16),"")</f>
        <v/>
      </c>
      <c r="C398">
        <f>IFERROR(INDEX($W$17:$W$817,ROW()-16),"")</f>
        <v/>
      </c>
      <c r="D398">
        <f>IFERROR(INDEX($AA$17:$AA$817,ROW()-16),"")</f>
        <v/>
      </c>
    </row>
    <row r="399">
      <c r="A399" s="23">
        <f>IFERROR(INDEX($R$17:$R$817,ROW()-16),"")</f>
        <v/>
      </c>
      <c r="B399">
        <f>IFERROR(INDEX($S$17:$S$817,ROW()-16),"")</f>
        <v/>
      </c>
      <c r="C399">
        <f>IFERROR(INDEX($W$17:$W$817,ROW()-16),"")</f>
        <v/>
      </c>
      <c r="D399">
        <f>IFERROR(INDEX($AA$17:$AA$817,ROW()-16),"")</f>
        <v/>
      </c>
    </row>
    <row r="400">
      <c r="A400" s="23">
        <f>IFERROR(INDEX($R$17:$R$817,ROW()-16),"")</f>
        <v/>
      </c>
      <c r="B400">
        <f>IFERROR(INDEX($S$17:$S$817,ROW()-16),"")</f>
        <v/>
      </c>
      <c r="C400">
        <f>IFERROR(INDEX($W$17:$W$817,ROW()-16),"")</f>
        <v/>
      </c>
      <c r="D400">
        <f>IFERROR(INDEX($AA$17:$AA$817,ROW()-16),"")</f>
        <v/>
      </c>
    </row>
    <row r="401">
      <c r="A401" s="23">
        <f>IFERROR(INDEX($R$17:$R$817,ROW()-16),"")</f>
        <v/>
      </c>
      <c r="B401">
        <f>IFERROR(INDEX($S$17:$S$817,ROW()-16),"")</f>
        <v/>
      </c>
      <c r="C401">
        <f>IFERROR(INDEX($W$17:$W$817,ROW()-16),"")</f>
        <v/>
      </c>
      <c r="D401">
        <f>IFERROR(INDEX($AA$17:$AA$817,ROW()-16),"")</f>
        <v/>
      </c>
    </row>
    <row r="402">
      <c r="A402" s="23">
        <f>IFERROR(INDEX($R$17:$R$817,ROW()-16),"")</f>
        <v/>
      </c>
      <c r="B402">
        <f>IFERROR(INDEX($S$17:$S$817,ROW()-16),"")</f>
        <v/>
      </c>
      <c r="C402">
        <f>IFERROR(INDEX($W$17:$W$817,ROW()-16),"")</f>
        <v/>
      </c>
      <c r="D402">
        <f>IFERROR(INDEX($AA$17:$AA$817,ROW()-16),"")</f>
        <v/>
      </c>
    </row>
    <row r="403">
      <c r="A403" s="23">
        <f>IFERROR(INDEX($R$17:$R$817,ROW()-16),"")</f>
        <v/>
      </c>
      <c r="B403">
        <f>IFERROR(INDEX($S$17:$S$817,ROW()-16),"")</f>
        <v/>
      </c>
      <c r="C403">
        <f>IFERROR(INDEX($W$17:$W$817,ROW()-16),"")</f>
        <v/>
      </c>
      <c r="D403">
        <f>IFERROR(INDEX($AA$17:$AA$817,ROW()-16),"")</f>
        <v/>
      </c>
    </row>
    <row r="404">
      <c r="A404" s="23">
        <f>IFERROR(INDEX($R$17:$R$817,ROW()-16),"")</f>
        <v/>
      </c>
      <c r="B404">
        <f>IFERROR(INDEX($S$17:$S$817,ROW()-16),"")</f>
        <v/>
      </c>
      <c r="C404">
        <f>IFERROR(INDEX($W$17:$W$817,ROW()-16),"")</f>
        <v/>
      </c>
      <c r="D404">
        <f>IFERROR(INDEX($AA$17:$AA$817,ROW()-16),"")</f>
        <v/>
      </c>
    </row>
    <row r="405">
      <c r="A405" s="23">
        <f>IFERROR(INDEX($R$17:$R$817,ROW()-16),"")</f>
        <v/>
      </c>
      <c r="B405">
        <f>IFERROR(INDEX($S$17:$S$817,ROW()-16),"")</f>
        <v/>
      </c>
      <c r="C405">
        <f>IFERROR(INDEX($W$17:$W$817,ROW()-16),"")</f>
        <v/>
      </c>
      <c r="D405">
        <f>IFERROR(INDEX($AA$17:$AA$817,ROW()-16),"")</f>
        <v/>
      </c>
    </row>
    <row r="406">
      <c r="A406" s="23">
        <f>IFERROR(INDEX($R$17:$R$817,ROW()-16),"")</f>
        <v/>
      </c>
      <c r="B406">
        <f>IFERROR(INDEX($S$17:$S$817,ROW()-16),"")</f>
        <v/>
      </c>
      <c r="C406">
        <f>IFERROR(INDEX($W$17:$W$817,ROW()-16),"")</f>
        <v/>
      </c>
      <c r="D406">
        <f>IFERROR(INDEX($AA$17:$AA$817,ROW()-16),"")</f>
        <v/>
      </c>
    </row>
    <row r="407">
      <c r="A407" s="23">
        <f>IFERROR(INDEX($R$17:$R$817,ROW()-16),"")</f>
        <v/>
      </c>
      <c r="B407">
        <f>IFERROR(INDEX($S$17:$S$817,ROW()-16),"")</f>
        <v/>
      </c>
      <c r="C407">
        <f>IFERROR(INDEX($W$17:$W$817,ROW()-16),"")</f>
        <v/>
      </c>
      <c r="D407">
        <f>IFERROR(INDEX($AA$17:$AA$817,ROW()-16),"")</f>
        <v/>
      </c>
    </row>
    <row r="408">
      <c r="A408" s="23">
        <f>IFERROR(INDEX($R$17:$R$817,ROW()-16),"")</f>
        <v/>
      </c>
      <c r="B408">
        <f>IFERROR(INDEX($S$17:$S$817,ROW()-16),"")</f>
        <v/>
      </c>
      <c r="C408">
        <f>IFERROR(INDEX($W$17:$W$817,ROW()-16),"")</f>
        <v/>
      </c>
      <c r="D408">
        <f>IFERROR(INDEX($AA$17:$AA$817,ROW()-16),"")</f>
        <v/>
      </c>
    </row>
    <row r="409">
      <c r="A409" s="23">
        <f>IFERROR(INDEX($R$17:$R$817,ROW()-16),"")</f>
        <v/>
      </c>
      <c r="B409">
        <f>IFERROR(INDEX($S$17:$S$817,ROW()-16),"")</f>
        <v/>
      </c>
      <c r="C409">
        <f>IFERROR(INDEX($W$17:$W$817,ROW()-16),"")</f>
        <v/>
      </c>
      <c r="D409">
        <f>IFERROR(INDEX($AA$17:$AA$817,ROW()-16),"")</f>
        <v/>
      </c>
    </row>
    <row r="410">
      <c r="A410" s="23">
        <f>IFERROR(INDEX($R$17:$R$817,ROW()-16),"")</f>
        <v/>
      </c>
      <c r="B410">
        <f>IFERROR(INDEX($S$17:$S$817,ROW()-16),"")</f>
        <v/>
      </c>
      <c r="C410">
        <f>IFERROR(INDEX($W$17:$W$817,ROW()-16),"")</f>
        <v/>
      </c>
      <c r="D410">
        <f>IFERROR(INDEX($AA$17:$AA$817,ROW()-16),"")</f>
        <v/>
      </c>
    </row>
    <row r="411">
      <c r="A411" s="23">
        <f>IFERROR(INDEX($R$17:$R$817,ROW()-16),"")</f>
        <v/>
      </c>
      <c r="B411">
        <f>IFERROR(INDEX($S$17:$S$817,ROW()-16),"")</f>
        <v/>
      </c>
      <c r="C411">
        <f>IFERROR(INDEX($W$17:$W$817,ROW()-16),"")</f>
        <v/>
      </c>
      <c r="D411">
        <f>IFERROR(INDEX($AA$17:$AA$817,ROW()-16),"")</f>
        <v/>
      </c>
    </row>
    <row r="412">
      <c r="A412" s="23">
        <f>IFERROR(INDEX($R$17:$R$817,ROW()-16),"")</f>
        <v/>
      </c>
      <c r="B412">
        <f>IFERROR(INDEX($S$17:$S$817,ROW()-16),"")</f>
        <v/>
      </c>
      <c r="C412">
        <f>IFERROR(INDEX($W$17:$W$817,ROW()-16),"")</f>
        <v/>
      </c>
      <c r="D412">
        <f>IFERROR(INDEX($AA$17:$AA$817,ROW()-16),"")</f>
        <v/>
      </c>
    </row>
    <row r="413">
      <c r="A413" s="23">
        <f>IFERROR(INDEX($R$17:$R$817,ROW()-16),"")</f>
        <v/>
      </c>
      <c r="B413">
        <f>IFERROR(INDEX($S$17:$S$817,ROW()-16),"")</f>
        <v/>
      </c>
      <c r="C413">
        <f>IFERROR(INDEX($W$17:$W$817,ROW()-16),"")</f>
        <v/>
      </c>
      <c r="D413">
        <f>IFERROR(INDEX($AA$17:$AA$817,ROW()-16),"")</f>
        <v/>
      </c>
    </row>
    <row r="414">
      <c r="A414" s="23">
        <f>IFERROR(INDEX($R$17:$R$817,ROW()-16),"")</f>
        <v/>
      </c>
      <c r="B414">
        <f>IFERROR(INDEX($S$17:$S$817,ROW()-16),"")</f>
        <v/>
      </c>
      <c r="C414">
        <f>IFERROR(INDEX($W$17:$W$817,ROW()-16),"")</f>
        <v/>
      </c>
      <c r="D414">
        <f>IFERROR(INDEX($AA$17:$AA$817,ROW()-16),"")</f>
        <v/>
      </c>
    </row>
    <row r="415">
      <c r="A415" s="23">
        <f>IFERROR(INDEX($R$17:$R$817,ROW()-16),"")</f>
        <v/>
      </c>
      <c r="B415">
        <f>IFERROR(INDEX($S$17:$S$817,ROW()-16),"")</f>
        <v/>
      </c>
      <c r="C415">
        <f>IFERROR(INDEX($W$17:$W$817,ROW()-16),"")</f>
        <v/>
      </c>
      <c r="D415">
        <f>IFERROR(INDEX($AA$17:$AA$817,ROW()-16),"")</f>
        <v/>
      </c>
    </row>
    <row r="416">
      <c r="A416" s="23">
        <f>IFERROR(INDEX($R$17:$R$817,ROW()-16),"")</f>
        <v/>
      </c>
      <c r="B416">
        <f>IFERROR(INDEX($S$17:$S$817,ROW()-16),"")</f>
        <v/>
      </c>
      <c r="C416">
        <f>IFERROR(INDEX($W$17:$W$817,ROW()-16),"")</f>
        <v/>
      </c>
      <c r="D416">
        <f>IFERROR(INDEX($AA$17:$AA$817,ROW()-16),"")</f>
        <v/>
      </c>
    </row>
    <row r="417">
      <c r="A417" s="23">
        <f>IFERROR(INDEX($R$17:$R$817,ROW()-16),"")</f>
        <v/>
      </c>
      <c r="B417">
        <f>IFERROR(INDEX($S$17:$S$817,ROW()-16),"")</f>
        <v/>
      </c>
      <c r="C417">
        <f>IFERROR(INDEX($W$17:$W$817,ROW()-16),"")</f>
        <v/>
      </c>
      <c r="D417">
        <f>IFERROR(INDEX($AA$17:$AA$817,ROW()-16),"")</f>
        <v/>
      </c>
    </row>
    <row r="418">
      <c r="A418" s="23">
        <f>IFERROR(INDEX($R$17:$R$817,ROW()-16),"")</f>
        <v/>
      </c>
      <c r="B418">
        <f>IFERROR(INDEX($S$17:$S$817,ROW()-16),"")</f>
        <v/>
      </c>
      <c r="C418">
        <f>IFERROR(INDEX($W$17:$W$817,ROW()-16),"")</f>
        <v/>
      </c>
      <c r="D418">
        <f>IFERROR(INDEX($AA$17:$AA$817,ROW()-16),"")</f>
        <v/>
      </c>
    </row>
    <row r="419">
      <c r="A419" s="23">
        <f>IFERROR(INDEX($R$17:$R$817,ROW()-16),"")</f>
        <v/>
      </c>
      <c r="B419">
        <f>IFERROR(INDEX($S$17:$S$817,ROW()-16),"")</f>
        <v/>
      </c>
      <c r="C419">
        <f>IFERROR(INDEX($W$17:$W$817,ROW()-16),"")</f>
        <v/>
      </c>
      <c r="D419">
        <f>IFERROR(INDEX($AA$17:$AA$817,ROW()-16),"")</f>
        <v/>
      </c>
    </row>
    <row r="420">
      <c r="A420" s="23">
        <f>IFERROR(INDEX($R$17:$R$817,ROW()-16),"")</f>
        <v/>
      </c>
      <c r="B420">
        <f>IFERROR(INDEX($S$17:$S$817,ROW()-16),"")</f>
        <v/>
      </c>
      <c r="C420">
        <f>IFERROR(INDEX($W$17:$W$817,ROW()-16),"")</f>
        <v/>
      </c>
      <c r="D420">
        <f>IFERROR(INDEX($AA$17:$AA$817,ROW()-16),"")</f>
        <v/>
      </c>
    </row>
    <row r="421">
      <c r="A421" s="23">
        <f>IFERROR(INDEX($R$17:$R$817,ROW()-16),"")</f>
        <v/>
      </c>
      <c r="B421">
        <f>IFERROR(INDEX($S$17:$S$817,ROW()-16),"")</f>
        <v/>
      </c>
      <c r="C421">
        <f>IFERROR(INDEX($W$17:$W$817,ROW()-16),"")</f>
        <v/>
      </c>
      <c r="D421">
        <f>IFERROR(INDEX($AA$17:$AA$817,ROW()-16),"")</f>
        <v/>
      </c>
    </row>
    <row r="422">
      <c r="A422" s="23">
        <f>IFERROR(INDEX($R$17:$R$817,ROW()-16),"")</f>
        <v/>
      </c>
      <c r="B422">
        <f>IFERROR(INDEX($S$17:$S$817,ROW()-16),"")</f>
        <v/>
      </c>
      <c r="C422">
        <f>IFERROR(INDEX($W$17:$W$817,ROW()-16),"")</f>
        <v/>
      </c>
      <c r="D422">
        <f>IFERROR(INDEX($AA$17:$AA$817,ROW()-16),"")</f>
        <v/>
      </c>
    </row>
    <row r="423">
      <c r="A423" s="23">
        <f>IFERROR(INDEX($R$17:$R$817,ROW()-16),"")</f>
        <v/>
      </c>
      <c r="B423">
        <f>IFERROR(INDEX($S$17:$S$817,ROW()-16),"")</f>
        <v/>
      </c>
      <c r="C423">
        <f>IFERROR(INDEX($W$17:$W$817,ROW()-16),"")</f>
        <v/>
      </c>
      <c r="D423">
        <f>IFERROR(INDEX($AA$17:$AA$817,ROW()-16),"")</f>
        <v/>
      </c>
    </row>
    <row r="424">
      <c r="A424" s="23">
        <f>IFERROR(INDEX($R$17:$R$817,ROW()-16),"")</f>
        <v/>
      </c>
      <c r="B424">
        <f>IFERROR(INDEX($S$17:$S$817,ROW()-16),"")</f>
        <v/>
      </c>
      <c r="C424">
        <f>IFERROR(INDEX($W$17:$W$817,ROW()-16),"")</f>
        <v/>
      </c>
      <c r="D424">
        <f>IFERROR(INDEX($AA$17:$AA$817,ROW()-16),"")</f>
        <v/>
      </c>
    </row>
    <row r="425">
      <c r="A425" s="23">
        <f>IFERROR(INDEX($R$17:$R$817,ROW()-16),"")</f>
        <v/>
      </c>
      <c r="B425">
        <f>IFERROR(INDEX($S$17:$S$817,ROW()-16),"")</f>
        <v/>
      </c>
      <c r="C425">
        <f>IFERROR(INDEX($W$17:$W$817,ROW()-16),"")</f>
        <v/>
      </c>
      <c r="D425">
        <f>IFERROR(INDEX($AA$17:$AA$817,ROW()-16),"")</f>
        <v/>
      </c>
    </row>
    <row r="426">
      <c r="A426" s="23">
        <f>IFERROR(INDEX($R$17:$R$817,ROW()-16),"")</f>
        <v/>
      </c>
      <c r="B426">
        <f>IFERROR(INDEX($S$17:$S$817,ROW()-16),"")</f>
        <v/>
      </c>
      <c r="C426">
        <f>IFERROR(INDEX($W$17:$W$817,ROW()-16),"")</f>
        <v/>
      </c>
      <c r="D426">
        <f>IFERROR(INDEX($AA$17:$AA$817,ROW()-16),"")</f>
        <v/>
      </c>
    </row>
    <row r="427">
      <c r="A427" s="23">
        <f>IFERROR(INDEX($R$17:$R$817,ROW()-16),"")</f>
        <v/>
      </c>
      <c r="B427">
        <f>IFERROR(INDEX($S$17:$S$817,ROW()-16),"")</f>
        <v/>
      </c>
      <c r="C427">
        <f>IFERROR(INDEX($W$17:$W$817,ROW()-16),"")</f>
        <v/>
      </c>
      <c r="D427">
        <f>IFERROR(INDEX($AA$17:$AA$817,ROW()-16),"")</f>
        <v/>
      </c>
    </row>
    <row r="428">
      <c r="A428" s="23">
        <f>IFERROR(INDEX($R$17:$R$817,ROW()-16),"")</f>
        <v/>
      </c>
      <c r="B428">
        <f>IFERROR(INDEX($S$17:$S$817,ROW()-16),"")</f>
        <v/>
      </c>
      <c r="C428">
        <f>IFERROR(INDEX($W$17:$W$817,ROW()-16),"")</f>
        <v/>
      </c>
      <c r="D428">
        <f>IFERROR(INDEX($AA$17:$AA$817,ROW()-16),"")</f>
        <v/>
      </c>
    </row>
    <row r="429">
      <c r="A429" s="23">
        <f>IFERROR(INDEX($R$17:$R$817,ROW()-16),"")</f>
        <v/>
      </c>
      <c r="B429">
        <f>IFERROR(INDEX($S$17:$S$817,ROW()-16),"")</f>
        <v/>
      </c>
      <c r="C429">
        <f>IFERROR(INDEX($W$17:$W$817,ROW()-16),"")</f>
        <v/>
      </c>
      <c r="D429">
        <f>IFERROR(INDEX($AA$17:$AA$817,ROW()-16),"")</f>
        <v/>
      </c>
    </row>
    <row r="430">
      <c r="A430" s="23">
        <f>IFERROR(INDEX($R$17:$R$817,ROW()-16),"")</f>
        <v/>
      </c>
      <c r="B430">
        <f>IFERROR(INDEX($S$17:$S$817,ROW()-16),"")</f>
        <v/>
      </c>
      <c r="C430">
        <f>IFERROR(INDEX($W$17:$W$817,ROW()-16),"")</f>
        <v/>
      </c>
      <c r="D430">
        <f>IFERROR(INDEX($AA$17:$AA$817,ROW()-16),"")</f>
        <v/>
      </c>
    </row>
    <row r="431">
      <c r="A431" s="23">
        <f>IFERROR(INDEX($R$17:$R$817,ROW()-16),"")</f>
        <v/>
      </c>
      <c r="B431">
        <f>IFERROR(INDEX($S$17:$S$817,ROW()-16),"")</f>
        <v/>
      </c>
      <c r="C431">
        <f>IFERROR(INDEX($W$17:$W$817,ROW()-16),"")</f>
        <v/>
      </c>
      <c r="D431">
        <f>IFERROR(INDEX($AA$17:$AA$817,ROW()-16),"")</f>
        <v/>
      </c>
    </row>
    <row r="432">
      <c r="A432" s="23">
        <f>IFERROR(INDEX($R$17:$R$817,ROW()-16),"")</f>
        <v/>
      </c>
      <c r="B432">
        <f>IFERROR(INDEX($S$17:$S$817,ROW()-16),"")</f>
        <v/>
      </c>
      <c r="C432">
        <f>IFERROR(INDEX($W$17:$W$817,ROW()-16),"")</f>
        <v/>
      </c>
      <c r="D432">
        <f>IFERROR(INDEX($AA$17:$AA$817,ROW()-16),"")</f>
        <v/>
      </c>
    </row>
    <row r="433">
      <c r="A433" s="23">
        <f>IFERROR(INDEX($R$17:$R$817,ROW()-16),"")</f>
        <v/>
      </c>
      <c r="B433">
        <f>IFERROR(INDEX($S$17:$S$817,ROW()-16),"")</f>
        <v/>
      </c>
      <c r="C433">
        <f>IFERROR(INDEX($W$17:$W$817,ROW()-16),"")</f>
        <v/>
      </c>
      <c r="D433">
        <f>IFERROR(INDEX($AA$17:$AA$817,ROW()-16),"")</f>
        <v/>
      </c>
    </row>
    <row r="434">
      <c r="A434" s="23">
        <f>IFERROR(INDEX($R$17:$R$817,ROW()-16),"")</f>
        <v/>
      </c>
      <c r="B434">
        <f>IFERROR(INDEX($S$17:$S$817,ROW()-16),"")</f>
        <v/>
      </c>
      <c r="C434">
        <f>IFERROR(INDEX($W$17:$W$817,ROW()-16),"")</f>
        <v/>
      </c>
      <c r="D434">
        <f>IFERROR(INDEX($AA$17:$AA$817,ROW()-16),"")</f>
        <v/>
      </c>
    </row>
    <row r="435">
      <c r="A435" s="23">
        <f>IFERROR(INDEX($R$17:$R$817,ROW()-16),"")</f>
        <v/>
      </c>
      <c r="B435">
        <f>IFERROR(INDEX($S$17:$S$817,ROW()-16),"")</f>
        <v/>
      </c>
      <c r="C435">
        <f>IFERROR(INDEX($W$17:$W$817,ROW()-16),"")</f>
        <v/>
      </c>
      <c r="D435">
        <f>IFERROR(INDEX($AA$17:$AA$817,ROW()-16),"")</f>
        <v/>
      </c>
    </row>
    <row r="436">
      <c r="A436" s="23">
        <f>IFERROR(INDEX($R$17:$R$817,ROW()-16),"")</f>
        <v/>
      </c>
      <c r="B436">
        <f>IFERROR(INDEX($S$17:$S$817,ROW()-16),"")</f>
        <v/>
      </c>
      <c r="C436">
        <f>IFERROR(INDEX($W$17:$W$817,ROW()-16),"")</f>
        <v/>
      </c>
      <c r="D436">
        <f>IFERROR(INDEX($AA$17:$AA$817,ROW()-16),"")</f>
        <v/>
      </c>
    </row>
    <row r="437">
      <c r="A437" s="23">
        <f>IFERROR(INDEX($R$17:$R$817,ROW()-16),"")</f>
        <v/>
      </c>
      <c r="B437">
        <f>IFERROR(INDEX($S$17:$S$817,ROW()-16),"")</f>
        <v/>
      </c>
      <c r="C437">
        <f>IFERROR(INDEX($W$17:$W$817,ROW()-16),"")</f>
        <v/>
      </c>
      <c r="D437">
        <f>IFERROR(INDEX($AA$17:$AA$817,ROW()-16),"")</f>
        <v/>
      </c>
    </row>
    <row r="438">
      <c r="A438" s="23">
        <f>IFERROR(INDEX($R$17:$R$817,ROW()-16),"")</f>
        <v/>
      </c>
      <c r="B438">
        <f>IFERROR(INDEX($S$17:$S$817,ROW()-16),"")</f>
        <v/>
      </c>
      <c r="C438">
        <f>IFERROR(INDEX($W$17:$W$817,ROW()-16),"")</f>
        <v/>
      </c>
      <c r="D438">
        <f>IFERROR(INDEX($AA$17:$AA$817,ROW()-16),"")</f>
        <v/>
      </c>
    </row>
    <row r="439">
      <c r="A439" s="23">
        <f>IFERROR(INDEX($R$17:$R$817,ROW()-16),"")</f>
        <v/>
      </c>
      <c r="B439">
        <f>IFERROR(INDEX($S$17:$S$817,ROW()-16),"")</f>
        <v/>
      </c>
      <c r="C439">
        <f>IFERROR(INDEX($W$17:$W$817,ROW()-16),"")</f>
        <v/>
      </c>
      <c r="D439">
        <f>IFERROR(INDEX($AA$17:$AA$817,ROW()-16),"")</f>
        <v/>
      </c>
    </row>
    <row r="440">
      <c r="A440" s="23">
        <f>IFERROR(INDEX($R$17:$R$817,ROW()-16),"")</f>
        <v/>
      </c>
      <c r="B440">
        <f>IFERROR(INDEX($S$17:$S$817,ROW()-16),"")</f>
        <v/>
      </c>
      <c r="C440">
        <f>IFERROR(INDEX($W$17:$W$817,ROW()-16),"")</f>
        <v/>
      </c>
      <c r="D440">
        <f>IFERROR(INDEX($AA$17:$AA$817,ROW()-16),"")</f>
        <v/>
      </c>
    </row>
    <row r="441">
      <c r="A441" s="23">
        <f>IFERROR(INDEX($R$17:$R$817,ROW()-16),"")</f>
        <v/>
      </c>
      <c r="B441">
        <f>IFERROR(INDEX($S$17:$S$817,ROW()-16),"")</f>
        <v/>
      </c>
      <c r="C441">
        <f>IFERROR(INDEX($W$17:$W$817,ROW()-16),"")</f>
        <v/>
      </c>
      <c r="D441">
        <f>IFERROR(INDEX($AA$17:$AA$817,ROW()-16),"")</f>
        <v/>
      </c>
    </row>
    <row r="442">
      <c r="A442" s="23">
        <f>IFERROR(INDEX($R$17:$R$817,ROW()-16),"")</f>
        <v/>
      </c>
      <c r="B442">
        <f>IFERROR(INDEX($S$17:$S$817,ROW()-16),"")</f>
        <v/>
      </c>
      <c r="C442">
        <f>IFERROR(INDEX($W$17:$W$817,ROW()-16),"")</f>
        <v/>
      </c>
      <c r="D442">
        <f>IFERROR(INDEX($AA$17:$AA$817,ROW()-16),"")</f>
        <v/>
      </c>
    </row>
    <row r="443">
      <c r="A443" s="23">
        <f>IFERROR(INDEX($R$17:$R$817,ROW()-16),"")</f>
        <v/>
      </c>
      <c r="B443">
        <f>IFERROR(INDEX($S$17:$S$817,ROW()-16),"")</f>
        <v/>
      </c>
      <c r="C443">
        <f>IFERROR(INDEX($W$17:$W$817,ROW()-16),"")</f>
        <v/>
      </c>
      <c r="D443">
        <f>IFERROR(INDEX($AA$17:$AA$817,ROW()-16),"")</f>
        <v/>
      </c>
    </row>
    <row r="444">
      <c r="A444" s="23">
        <f>IFERROR(INDEX($R$17:$R$817,ROW()-16),"")</f>
        <v/>
      </c>
      <c r="B444">
        <f>IFERROR(INDEX($S$17:$S$817,ROW()-16),"")</f>
        <v/>
      </c>
      <c r="C444">
        <f>IFERROR(INDEX($W$17:$W$817,ROW()-16),"")</f>
        <v/>
      </c>
      <c r="D444">
        <f>IFERROR(INDEX($AA$17:$AA$817,ROW()-16),"")</f>
        <v/>
      </c>
    </row>
    <row r="445">
      <c r="A445" s="23">
        <f>IFERROR(INDEX($R$17:$R$817,ROW()-16),"")</f>
        <v/>
      </c>
      <c r="B445">
        <f>IFERROR(INDEX($S$17:$S$817,ROW()-16),"")</f>
        <v/>
      </c>
      <c r="C445">
        <f>IFERROR(INDEX($W$17:$W$817,ROW()-16),"")</f>
        <v/>
      </c>
      <c r="D445">
        <f>IFERROR(INDEX($AA$17:$AA$817,ROW()-16),"")</f>
        <v/>
      </c>
    </row>
    <row r="446">
      <c r="A446" s="23">
        <f>IFERROR(INDEX($R$17:$R$817,ROW()-16),"")</f>
        <v/>
      </c>
      <c r="B446">
        <f>IFERROR(INDEX($S$17:$S$817,ROW()-16),"")</f>
        <v/>
      </c>
      <c r="C446">
        <f>IFERROR(INDEX($W$17:$W$817,ROW()-16),"")</f>
        <v/>
      </c>
      <c r="D446">
        <f>IFERROR(INDEX($AA$17:$AA$817,ROW()-16),"")</f>
        <v/>
      </c>
    </row>
    <row r="447">
      <c r="A447" s="23">
        <f>IFERROR(INDEX($R$17:$R$817,ROW()-16),"")</f>
        <v/>
      </c>
      <c r="B447">
        <f>IFERROR(INDEX($S$17:$S$817,ROW()-16),"")</f>
        <v/>
      </c>
      <c r="C447">
        <f>IFERROR(INDEX($W$17:$W$817,ROW()-16),"")</f>
        <v/>
      </c>
      <c r="D447">
        <f>IFERROR(INDEX($AA$17:$AA$817,ROW()-16),"")</f>
        <v/>
      </c>
    </row>
    <row r="448">
      <c r="A448" s="23">
        <f>IFERROR(INDEX($R$17:$R$817,ROW()-16),"")</f>
        <v/>
      </c>
      <c r="B448">
        <f>IFERROR(INDEX($S$17:$S$817,ROW()-16),"")</f>
        <v/>
      </c>
      <c r="C448">
        <f>IFERROR(INDEX($W$17:$W$817,ROW()-16),"")</f>
        <v/>
      </c>
      <c r="D448">
        <f>IFERROR(INDEX($AA$17:$AA$817,ROW()-16),"")</f>
        <v/>
      </c>
    </row>
    <row r="449">
      <c r="A449" s="23">
        <f>IFERROR(INDEX($R$17:$R$817,ROW()-16),"")</f>
        <v/>
      </c>
      <c r="B449">
        <f>IFERROR(INDEX($S$17:$S$817,ROW()-16),"")</f>
        <v/>
      </c>
      <c r="C449">
        <f>IFERROR(INDEX($W$17:$W$817,ROW()-16),"")</f>
        <v/>
      </c>
      <c r="D449">
        <f>IFERROR(INDEX($AA$17:$AA$817,ROW()-16),"")</f>
        <v/>
      </c>
    </row>
    <row r="450">
      <c r="A450" s="23">
        <f>IFERROR(INDEX($R$17:$R$817,ROW()-16),"")</f>
        <v/>
      </c>
      <c r="B450">
        <f>IFERROR(INDEX($S$17:$S$817,ROW()-16),"")</f>
        <v/>
      </c>
      <c r="C450">
        <f>IFERROR(INDEX($W$17:$W$817,ROW()-16),"")</f>
        <v/>
      </c>
      <c r="D450">
        <f>IFERROR(INDEX($AA$17:$AA$817,ROW()-16),"")</f>
        <v/>
      </c>
    </row>
    <row r="451">
      <c r="A451" s="23">
        <f>IFERROR(INDEX($R$17:$R$817,ROW()-16),"")</f>
        <v/>
      </c>
      <c r="B451">
        <f>IFERROR(INDEX($S$17:$S$817,ROW()-16),"")</f>
        <v/>
      </c>
      <c r="C451">
        <f>IFERROR(INDEX($W$17:$W$817,ROW()-16),"")</f>
        <v/>
      </c>
      <c r="D451">
        <f>IFERROR(INDEX($AA$17:$AA$817,ROW()-16),"")</f>
        <v/>
      </c>
    </row>
    <row r="452">
      <c r="A452" s="23">
        <f>IFERROR(INDEX($R$17:$R$817,ROW()-16),"")</f>
        <v/>
      </c>
      <c r="B452">
        <f>IFERROR(INDEX($S$17:$S$817,ROW()-16),"")</f>
        <v/>
      </c>
      <c r="C452">
        <f>IFERROR(INDEX($W$17:$W$817,ROW()-16),"")</f>
        <v/>
      </c>
      <c r="D452">
        <f>IFERROR(INDEX($AA$17:$AA$817,ROW()-16),"")</f>
        <v/>
      </c>
    </row>
    <row r="453">
      <c r="A453" s="23">
        <f>IFERROR(INDEX($R$17:$R$817,ROW()-16),"")</f>
        <v/>
      </c>
      <c r="B453">
        <f>IFERROR(INDEX($S$17:$S$817,ROW()-16),"")</f>
        <v/>
      </c>
      <c r="C453">
        <f>IFERROR(INDEX($W$17:$W$817,ROW()-16),"")</f>
        <v/>
      </c>
      <c r="D453">
        <f>IFERROR(INDEX($AA$17:$AA$817,ROW()-16),"")</f>
        <v/>
      </c>
    </row>
    <row r="454">
      <c r="A454" s="23">
        <f>IFERROR(INDEX($R$17:$R$817,ROW()-16),"")</f>
        <v/>
      </c>
      <c r="B454">
        <f>IFERROR(INDEX($S$17:$S$817,ROW()-16),"")</f>
        <v/>
      </c>
      <c r="C454">
        <f>IFERROR(INDEX($W$17:$W$817,ROW()-16),"")</f>
        <v/>
      </c>
      <c r="D454">
        <f>IFERROR(INDEX($AA$17:$AA$817,ROW()-16),"")</f>
        <v/>
      </c>
    </row>
    <row r="455">
      <c r="A455" s="23">
        <f>IFERROR(INDEX($R$17:$R$817,ROW()-16),"")</f>
        <v/>
      </c>
      <c r="B455">
        <f>IFERROR(INDEX($S$17:$S$817,ROW()-16),"")</f>
        <v/>
      </c>
      <c r="C455">
        <f>IFERROR(INDEX($W$17:$W$817,ROW()-16),"")</f>
        <v/>
      </c>
      <c r="D455">
        <f>IFERROR(INDEX($AA$17:$AA$817,ROW()-16),"")</f>
        <v/>
      </c>
    </row>
    <row r="456">
      <c r="A456" s="23">
        <f>IFERROR(INDEX($R$17:$R$817,ROW()-16),"")</f>
        <v/>
      </c>
      <c r="B456">
        <f>IFERROR(INDEX($S$17:$S$817,ROW()-16),"")</f>
        <v/>
      </c>
      <c r="C456">
        <f>IFERROR(INDEX($W$17:$W$817,ROW()-16),"")</f>
        <v/>
      </c>
      <c r="D456">
        <f>IFERROR(INDEX($AA$17:$AA$817,ROW()-16),"")</f>
        <v/>
      </c>
    </row>
    <row r="457">
      <c r="A457" s="23">
        <f>IFERROR(INDEX($R$17:$R$817,ROW()-16),"")</f>
        <v/>
      </c>
      <c r="B457">
        <f>IFERROR(INDEX($S$17:$S$817,ROW()-16),"")</f>
        <v/>
      </c>
      <c r="C457">
        <f>IFERROR(INDEX($W$17:$W$817,ROW()-16),"")</f>
        <v/>
      </c>
      <c r="D457">
        <f>IFERROR(INDEX($AA$17:$AA$817,ROW()-16),"")</f>
        <v/>
      </c>
    </row>
    <row r="458">
      <c r="A458" s="23">
        <f>IFERROR(INDEX($R$17:$R$817,ROW()-16),"")</f>
        <v/>
      </c>
      <c r="B458">
        <f>IFERROR(INDEX($S$17:$S$817,ROW()-16),"")</f>
        <v/>
      </c>
      <c r="C458">
        <f>IFERROR(INDEX($W$17:$W$817,ROW()-16),"")</f>
        <v/>
      </c>
      <c r="D458">
        <f>IFERROR(INDEX($AA$17:$AA$817,ROW()-16),"")</f>
        <v/>
      </c>
    </row>
    <row r="459">
      <c r="A459" s="23">
        <f>IFERROR(INDEX($R$17:$R$817,ROW()-16),"")</f>
        <v/>
      </c>
      <c r="B459">
        <f>IFERROR(INDEX($S$17:$S$817,ROW()-16),"")</f>
        <v/>
      </c>
      <c r="C459">
        <f>IFERROR(INDEX($W$17:$W$817,ROW()-16),"")</f>
        <v/>
      </c>
      <c r="D459">
        <f>IFERROR(INDEX($AA$17:$AA$817,ROW()-16),"")</f>
        <v/>
      </c>
    </row>
    <row r="460">
      <c r="A460" s="23">
        <f>IFERROR(INDEX($R$17:$R$817,ROW()-16),"")</f>
        <v/>
      </c>
      <c r="B460">
        <f>IFERROR(INDEX($S$17:$S$817,ROW()-16),"")</f>
        <v/>
      </c>
      <c r="C460">
        <f>IFERROR(INDEX($W$17:$W$817,ROW()-16),"")</f>
        <v/>
      </c>
      <c r="D460">
        <f>IFERROR(INDEX($AA$17:$AA$817,ROW()-16),"")</f>
        <v/>
      </c>
    </row>
    <row r="461">
      <c r="A461" s="23">
        <f>IFERROR(INDEX($R$17:$R$817,ROW()-16),"")</f>
        <v/>
      </c>
      <c r="B461">
        <f>IFERROR(INDEX($S$17:$S$817,ROW()-16),"")</f>
        <v/>
      </c>
      <c r="C461">
        <f>IFERROR(INDEX($W$17:$W$817,ROW()-16),"")</f>
        <v/>
      </c>
      <c r="D461">
        <f>IFERROR(INDEX($AA$17:$AA$817,ROW()-16),"")</f>
        <v/>
      </c>
    </row>
    <row r="462">
      <c r="A462" s="23">
        <f>IFERROR(INDEX($R$17:$R$817,ROW()-16),"")</f>
        <v/>
      </c>
      <c r="B462">
        <f>IFERROR(INDEX($S$17:$S$817,ROW()-16),"")</f>
        <v/>
      </c>
      <c r="C462">
        <f>IFERROR(INDEX($W$17:$W$817,ROW()-16),"")</f>
        <v/>
      </c>
      <c r="D462">
        <f>IFERROR(INDEX($AA$17:$AA$817,ROW()-16),"")</f>
        <v/>
      </c>
    </row>
    <row r="463">
      <c r="A463" s="23">
        <f>IFERROR(INDEX($R$17:$R$817,ROW()-16),"")</f>
        <v/>
      </c>
      <c r="B463">
        <f>IFERROR(INDEX($S$17:$S$817,ROW()-16),"")</f>
        <v/>
      </c>
      <c r="C463">
        <f>IFERROR(INDEX($W$17:$W$817,ROW()-16),"")</f>
        <v/>
      </c>
      <c r="D463">
        <f>IFERROR(INDEX($AA$17:$AA$817,ROW()-16),"")</f>
        <v/>
      </c>
    </row>
    <row r="464">
      <c r="A464" s="23">
        <f>IFERROR(INDEX($R$17:$R$817,ROW()-16),"")</f>
        <v/>
      </c>
      <c r="B464">
        <f>IFERROR(INDEX($S$17:$S$817,ROW()-16),"")</f>
        <v/>
      </c>
      <c r="C464">
        <f>IFERROR(INDEX($W$17:$W$817,ROW()-16),"")</f>
        <v/>
      </c>
      <c r="D464">
        <f>IFERROR(INDEX($AA$17:$AA$817,ROW()-16),"")</f>
        <v/>
      </c>
    </row>
    <row r="465">
      <c r="A465" s="23">
        <f>IFERROR(INDEX($R$17:$R$817,ROW()-16),"")</f>
        <v/>
      </c>
      <c r="B465">
        <f>IFERROR(INDEX($S$17:$S$817,ROW()-16),"")</f>
        <v/>
      </c>
      <c r="C465">
        <f>IFERROR(INDEX($W$17:$W$817,ROW()-16),"")</f>
        <v/>
      </c>
      <c r="D465">
        <f>IFERROR(INDEX($AA$17:$AA$817,ROW()-16),"")</f>
        <v/>
      </c>
    </row>
    <row r="466">
      <c r="A466" s="23">
        <f>IFERROR(INDEX($R$17:$R$817,ROW()-16),"")</f>
        <v/>
      </c>
      <c r="B466">
        <f>IFERROR(INDEX($S$17:$S$817,ROW()-16),"")</f>
        <v/>
      </c>
      <c r="C466">
        <f>IFERROR(INDEX($W$17:$W$817,ROW()-16),"")</f>
        <v/>
      </c>
      <c r="D466">
        <f>IFERROR(INDEX($AA$17:$AA$817,ROW()-16),"")</f>
        <v/>
      </c>
    </row>
    <row r="467">
      <c r="A467" s="23">
        <f>IFERROR(INDEX($R$17:$R$817,ROW()-16),"")</f>
        <v/>
      </c>
      <c r="B467">
        <f>IFERROR(INDEX($S$17:$S$817,ROW()-16),"")</f>
        <v/>
      </c>
      <c r="C467">
        <f>IFERROR(INDEX($W$17:$W$817,ROW()-16),"")</f>
        <v/>
      </c>
      <c r="D467">
        <f>IFERROR(INDEX($AA$17:$AA$817,ROW()-16),"")</f>
        <v/>
      </c>
    </row>
    <row r="468">
      <c r="A468" s="23">
        <f>IFERROR(INDEX($R$17:$R$817,ROW()-16),"")</f>
        <v/>
      </c>
      <c r="B468">
        <f>IFERROR(INDEX($S$17:$S$817,ROW()-16),"")</f>
        <v/>
      </c>
      <c r="C468">
        <f>IFERROR(INDEX($W$17:$W$817,ROW()-16),"")</f>
        <v/>
      </c>
      <c r="D468">
        <f>IFERROR(INDEX($AA$17:$AA$817,ROW()-16),"")</f>
        <v/>
      </c>
    </row>
    <row r="469">
      <c r="A469" s="23">
        <f>IFERROR(INDEX($R$17:$R$817,ROW()-16),"")</f>
        <v/>
      </c>
      <c r="B469">
        <f>IFERROR(INDEX($S$17:$S$817,ROW()-16),"")</f>
        <v/>
      </c>
      <c r="C469">
        <f>IFERROR(INDEX($W$17:$W$817,ROW()-16),"")</f>
        <v/>
      </c>
      <c r="D469">
        <f>IFERROR(INDEX($AA$17:$AA$817,ROW()-16),"")</f>
        <v/>
      </c>
    </row>
    <row r="470">
      <c r="A470" s="23">
        <f>IFERROR(INDEX($R$17:$R$817,ROW()-16),"")</f>
        <v/>
      </c>
      <c r="B470">
        <f>IFERROR(INDEX($S$17:$S$817,ROW()-16),"")</f>
        <v/>
      </c>
      <c r="C470">
        <f>IFERROR(INDEX($W$17:$W$817,ROW()-16),"")</f>
        <v/>
      </c>
      <c r="D470">
        <f>IFERROR(INDEX($AA$17:$AA$817,ROW()-16),"")</f>
        <v/>
      </c>
    </row>
    <row r="471">
      <c r="A471" s="23">
        <f>IFERROR(INDEX($R$17:$R$817,ROW()-16),"")</f>
        <v/>
      </c>
      <c r="B471">
        <f>IFERROR(INDEX($S$17:$S$817,ROW()-16),"")</f>
        <v/>
      </c>
      <c r="C471">
        <f>IFERROR(INDEX($W$17:$W$817,ROW()-16),"")</f>
        <v/>
      </c>
      <c r="D471">
        <f>IFERROR(INDEX($AA$17:$AA$817,ROW()-16),"")</f>
        <v/>
      </c>
    </row>
    <row r="472">
      <c r="A472" s="23">
        <f>IFERROR(INDEX($R$17:$R$817,ROW()-16),"")</f>
        <v/>
      </c>
      <c r="B472">
        <f>IFERROR(INDEX($S$17:$S$817,ROW()-16),"")</f>
        <v/>
      </c>
      <c r="C472">
        <f>IFERROR(INDEX($W$17:$W$817,ROW()-16),"")</f>
        <v/>
      </c>
      <c r="D472">
        <f>IFERROR(INDEX($AA$17:$AA$817,ROW()-16),"")</f>
        <v/>
      </c>
    </row>
    <row r="473">
      <c r="A473" s="23">
        <f>IFERROR(INDEX($R$17:$R$817,ROW()-16),"")</f>
        <v/>
      </c>
      <c r="B473">
        <f>IFERROR(INDEX($S$17:$S$817,ROW()-16),"")</f>
        <v/>
      </c>
      <c r="C473">
        <f>IFERROR(INDEX($W$17:$W$817,ROW()-16),"")</f>
        <v/>
      </c>
      <c r="D473">
        <f>IFERROR(INDEX($AA$17:$AA$817,ROW()-16),"")</f>
        <v/>
      </c>
    </row>
    <row r="474">
      <c r="A474" s="23">
        <f>IFERROR(INDEX($R$17:$R$817,ROW()-16),"")</f>
        <v/>
      </c>
      <c r="B474">
        <f>IFERROR(INDEX($S$17:$S$817,ROW()-16),"")</f>
        <v/>
      </c>
      <c r="C474">
        <f>IFERROR(INDEX($W$17:$W$817,ROW()-16),"")</f>
        <v/>
      </c>
      <c r="D474">
        <f>IFERROR(INDEX($AA$17:$AA$817,ROW()-16),"")</f>
        <v/>
      </c>
    </row>
    <row r="475">
      <c r="A475" s="23">
        <f>IFERROR(INDEX($R$17:$R$817,ROW()-16),"")</f>
        <v/>
      </c>
      <c r="B475">
        <f>IFERROR(INDEX($S$17:$S$817,ROW()-16),"")</f>
        <v/>
      </c>
      <c r="C475">
        <f>IFERROR(INDEX($W$17:$W$817,ROW()-16),"")</f>
        <v/>
      </c>
      <c r="D475">
        <f>IFERROR(INDEX($AA$17:$AA$817,ROW()-16),"")</f>
        <v/>
      </c>
    </row>
    <row r="476">
      <c r="A476" s="23">
        <f>IFERROR(INDEX($R$17:$R$817,ROW()-16),"")</f>
        <v/>
      </c>
      <c r="B476">
        <f>IFERROR(INDEX($S$17:$S$817,ROW()-16),"")</f>
        <v/>
      </c>
      <c r="C476">
        <f>IFERROR(INDEX($W$17:$W$817,ROW()-16),"")</f>
        <v/>
      </c>
      <c r="D476">
        <f>IFERROR(INDEX($AA$17:$AA$817,ROW()-16),"")</f>
        <v/>
      </c>
    </row>
    <row r="477">
      <c r="A477" s="23">
        <f>IFERROR(INDEX($R$17:$R$817,ROW()-16),"")</f>
        <v/>
      </c>
      <c r="B477">
        <f>IFERROR(INDEX($S$17:$S$817,ROW()-16),"")</f>
        <v/>
      </c>
      <c r="C477">
        <f>IFERROR(INDEX($W$17:$W$817,ROW()-16),"")</f>
        <v/>
      </c>
      <c r="D477">
        <f>IFERROR(INDEX($AA$17:$AA$817,ROW()-16),"")</f>
        <v/>
      </c>
    </row>
    <row r="478">
      <c r="A478" s="23">
        <f>IFERROR(INDEX($R$17:$R$817,ROW()-16),"")</f>
        <v/>
      </c>
      <c r="B478">
        <f>IFERROR(INDEX($S$17:$S$817,ROW()-16),"")</f>
        <v/>
      </c>
      <c r="C478">
        <f>IFERROR(INDEX($W$17:$W$817,ROW()-16),"")</f>
        <v/>
      </c>
      <c r="D478">
        <f>IFERROR(INDEX($AA$17:$AA$817,ROW()-16),"")</f>
        <v/>
      </c>
    </row>
    <row r="479">
      <c r="A479" s="23">
        <f>IFERROR(INDEX($R$17:$R$817,ROW()-16),"")</f>
        <v/>
      </c>
      <c r="B479">
        <f>IFERROR(INDEX($S$17:$S$817,ROW()-16),"")</f>
        <v/>
      </c>
      <c r="C479">
        <f>IFERROR(INDEX($W$17:$W$817,ROW()-16),"")</f>
        <v/>
      </c>
      <c r="D479">
        <f>IFERROR(INDEX($AA$17:$AA$817,ROW()-16),"")</f>
        <v/>
      </c>
    </row>
    <row r="480">
      <c r="A480" s="23">
        <f>IFERROR(INDEX($R$17:$R$817,ROW()-16),"")</f>
        <v/>
      </c>
      <c r="B480">
        <f>IFERROR(INDEX($S$17:$S$817,ROW()-16),"")</f>
        <v/>
      </c>
      <c r="C480">
        <f>IFERROR(INDEX($W$17:$W$817,ROW()-16),"")</f>
        <v/>
      </c>
      <c r="D480">
        <f>IFERROR(INDEX($AA$17:$AA$817,ROW()-16),"")</f>
        <v/>
      </c>
    </row>
    <row r="481">
      <c r="A481" s="23">
        <f>IFERROR(INDEX($R$17:$R$817,ROW()-16),"")</f>
        <v/>
      </c>
      <c r="B481">
        <f>IFERROR(INDEX($S$17:$S$817,ROW()-16),"")</f>
        <v/>
      </c>
      <c r="C481">
        <f>IFERROR(INDEX($W$17:$W$817,ROW()-16),"")</f>
        <v/>
      </c>
      <c r="D481">
        <f>IFERROR(INDEX($AA$17:$AA$817,ROW()-16),"")</f>
        <v/>
      </c>
    </row>
    <row r="482">
      <c r="A482" s="23">
        <f>IFERROR(INDEX($R$17:$R$817,ROW()-16),"")</f>
        <v/>
      </c>
      <c r="B482">
        <f>IFERROR(INDEX($S$17:$S$817,ROW()-16),"")</f>
        <v/>
      </c>
      <c r="C482">
        <f>IFERROR(INDEX($W$17:$W$817,ROW()-16),"")</f>
        <v/>
      </c>
      <c r="D482">
        <f>IFERROR(INDEX($AA$17:$AA$817,ROW()-16),"")</f>
        <v/>
      </c>
    </row>
    <row r="483">
      <c r="A483" s="23">
        <f>IFERROR(INDEX($R$17:$R$817,ROW()-16),"")</f>
        <v/>
      </c>
      <c r="B483">
        <f>IFERROR(INDEX($S$17:$S$817,ROW()-16),"")</f>
        <v/>
      </c>
      <c r="C483">
        <f>IFERROR(INDEX($W$17:$W$817,ROW()-16),"")</f>
        <v/>
      </c>
      <c r="D483">
        <f>IFERROR(INDEX($AA$17:$AA$817,ROW()-16),"")</f>
        <v/>
      </c>
    </row>
    <row r="484">
      <c r="A484" s="23">
        <f>IFERROR(INDEX($R$17:$R$817,ROW()-16),"")</f>
        <v/>
      </c>
      <c r="B484">
        <f>IFERROR(INDEX($S$17:$S$817,ROW()-16),"")</f>
        <v/>
      </c>
      <c r="C484">
        <f>IFERROR(INDEX($W$17:$W$817,ROW()-16),"")</f>
        <v/>
      </c>
      <c r="D484">
        <f>IFERROR(INDEX($AA$17:$AA$817,ROW()-16),"")</f>
        <v/>
      </c>
    </row>
    <row r="485">
      <c r="A485" s="23">
        <f>IFERROR(INDEX($R$17:$R$817,ROW()-16),"")</f>
        <v/>
      </c>
      <c r="B485">
        <f>IFERROR(INDEX($S$17:$S$817,ROW()-16),"")</f>
        <v/>
      </c>
      <c r="C485">
        <f>IFERROR(INDEX($W$17:$W$817,ROW()-16),"")</f>
        <v/>
      </c>
      <c r="D485">
        <f>IFERROR(INDEX($AA$17:$AA$817,ROW()-16),"")</f>
        <v/>
      </c>
    </row>
    <row r="486">
      <c r="A486" s="23">
        <f>IFERROR(INDEX($R$17:$R$817,ROW()-16),"")</f>
        <v/>
      </c>
      <c r="B486">
        <f>IFERROR(INDEX($S$17:$S$817,ROW()-16),"")</f>
        <v/>
      </c>
      <c r="C486">
        <f>IFERROR(INDEX($W$17:$W$817,ROW()-16),"")</f>
        <v/>
      </c>
      <c r="D486">
        <f>IFERROR(INDEX($AA$17:$AA$817,ROW()-16),"")</f>
        <v/>
      </c>
    </row>
    <row r="487">
      <c r="A487" s="23">
        <f>IFERROR(INDEX($R$17:$R$817,ROW()-16),"")</f>
        <v/>
      </c>
      <c r="B487">
        <f>IFERROR(INDEX($S$17:$S$817,ROW()-16),"")</f>
        <v/>
      </c>
      <c r="C487">
        <f>IFERROR(INDEX($W$17:$W$817,ROW()-16),"")</f>
        <v/>
      </c>
      <c r="D487">
        <f>IFERROR(INDEX($AA$17:$AA$817,ROW()-16),"")</f>
        <v/>
      </c>
    </row>
    <row r="488">
      <c r="A488" s="23">
        <f>IFERROR(INDEX($R$17:$R$817,ROW()-16),"")</f>
        <v/>
      </c>
      <c r="B488">
        <f>IFERROR(INDEX($S$17:$S$817,ROW()-16),"")</f>
        <v/>
      </c>
      <c r="C488">
        <f>IFERROR(INDEX($W$17:$W$817,ROW()-16),"")</f>
        <v/>
      </c>
      <c r="D488">
        <f>IFERROR(INDEX($AA$17:$AA$817,ROW()-16),"")</f>
        <v/>
      </c>
    </row>
    <row r="489">
      <c r="A489" s="23">
        <f>IFERROR(INDEX($R$17:$R$817,ROW()-16),"")</f>
        <v/>
      </c>
      <c r="B489">
        <f>IFERROR(INDEX($S$17:$S$817,ROW()-16),"")</f>
        <v/>
      </c>
      <c r="C489">
        <f>IFERROR(INDEX($W$17:$W$817,ROW()-16),"")</f>
        <v/>
      </c>
      <c r="D489">
        <f>IFERROR(INDEX($AA$17:$AA$817,ROW()-16),"")</f>
        <v/>
      </c>
    </row>
    <row r="490">
      <c r="A490" s="23">
        <f>IFERROR(INDEX($R$17:$R$817,ROW()-16),"")</f>
        <v/>
      </c>
      <c r="B490">
        <f>IFERROR(INDEX($S$17:$S$817,ROW()-16),"")</f>
        <v/>
      </c>
      <c r="C490">
        <f>IFERROR(INDEX($W$17:$W$817,ROW()-16),"")</f>
        <v/>
      </c>
      <c r="D490">
        <f>IFERROR(INDEX($AA$17:$AA$817,ROW()-16),"")</f>
        <v/>
      </c>
    </row>
    <row r="491">
      <c r="A491" s="23">
        <f>IFERROR(INDEX($R$17:$R$817,ROW()-16),"")</f>
        <v/>
      </c>
      <c r="B491">
        <f>IFERROR(INDEX($S$17:$S$817,ROW()-16),"")</f>
        <v/>
      </c>
      <c r="C491">
        <f>IFERROR(INDEX($W$17:$W$817,ROW()-16),"")</f>
        <v/>
      </c>
      <c r="D491">
        <f>IFERROR(INDEX($AA$17:$AA$817,ROW()-16),"")</f>
        <v/>
      </c>
    </row>
    <row r="492">
      <c r="A492" s="23">
        <f>IFERROR(INDEX($R$17:$R$817,ROW()-16),"")</f>
        <v/>
      </c>
      <c r="B492">
        <f>IFERROR(INDEX($S$17:$S$817,ROW()-16),"")</f>
        <v/>
      </c>
      <c r="C492">
        <f>IFERROR(INDEX($W$17:$W$817,ROW()-16),"")</f>
        <v/>
      </c>
      <c r="D492">
        <f>IFERROR(INDEX($AA$17:$AA$817,ROW()-16),"")</f>
        <v/>
      </c>
    </row>
    <row r="493">
      <c r="A493" s="23">
        <f>IFERROR(INDEX($R$17:$R$817,ROW()-16),"")</f>
        <v/>
      </c>
      <c r="B493">
        <f>IFERROR(INDEX($S$17:$S$817,ROW()-16),"")</f>
        <v/>
      </c>
      <c r="C493">
        <f>IFERROR(INDEX($W$17:$W$817,ROW()-16),"")</f>
        <v/>
      </c>
      <c r="D493">
        <f>IFERROR(INDEX($AA$17:$AA$817,ROW()-16),"")</f>
        <v/>
      </c>
    </row>
    <row r="494">
      <c r="A494" s="23">
        <f>IFERROR(INDEX($R$17:$R$817,ROW()-16),"")</f>
        <v/>
      </c>
      <c r="B494">
        <f>IFERROR(INDEX($S$17:$S$817,ROW()-16),"")</f>
        <v/>
      </c>
      <c r="C494">
        <f>IFERROR(INDEX($W$17:$W$817,ROW()-16),"")</f>
        <v/>
      </c>
      <c r="D494">
        <f>IFERROR(INDEX($AA$17:$AA$817,ROW()-16),"")</f>
        <v/>
      </c>
    </row>
    <row r="495">
      <c r="A495" s="23">
        <f>IFERROR(INDEX($R$17:$R$817,ROW()-16),"")</f>
        <v/>
      </c>
      <c r="B495">
        <f>IFERROR(INDEX($S$17:$S$817,ROW()-16),"")</f>
        <v/>
      </c>
      <c r="C495">
        <f>IFERROR(INDEX($W$17:$W$817,ROW()-16),"")</f>
        <v/>
      </c>
      <c r="D495">
        <f>IFERROR(INDEX($AA$17:$AA$817,ROW()-16),"")</f>
        <v/>
      </c>
    </row>
    <row r="496">
      <c r="A496" s="23">
        <f>IFERROR(INDEX($R$17:$R$817,ROW()-16),"")</f>
        <v/>
      </c>
      <c r="B496">
        <f>IFERROR(INDEX($S$17:$S$817,ROW()-16),"")</f>
        <v/>
      </c>
      <c r="C496">
        <f>IFERROR(INDEX($W$17:$W$817,ROW()-16),"")</f>
        <v/>
      </c>
      <c r="D496">
        <f>IFERROR(INDEX($AA$17:$AA$817,ROW()-16),"")</f>
        <v/>
      </c>
    </row>
    <row r="497">
      <c r="A497" s="23">
        <f>IFERROR(INDEX($R$17:$R$817,ROW()-16),"")</f>
        <v/>
      </c>
      <c r="B497">
        <f>IFERROR(INDEX($S$17:$S$817,ROW()-16),"")</f>
        <v/>
      </c>
      <c r="C497">
        <f>IFERROR(INDEX($W$17:$W$817,ROW()-16),"")</f>
        <v/>
      </c>
      <c r="D497">
        <f>IFERROR(INDEX($AA$17:$AA$817,ROW()-16),"")</f>
        <v/>
      </c>
    </row>
    <row r="498">
      <c r="A498" s="23">
        <f>IFERROR(INDEX($R$17:$R$817,ROW()-16),"")</f>
        <v/>
      </c>
      <c r="B498">
        <f>IFERROR(INDEX($S$17:$S$817,ROW()-16),"")</f>
        <v/>
      </c>
      <c r="C498">
        <f>IFERROR(INDEX($W$17:$W$817,ROW()-16),"")</f>
        <v/>
      </c>
      <c r="D498">
        <f>IFERROR(INDEX($AA$17:$AA$817,ROW()-16),"")</f>
        <v/>
      </c>
    </row>
    <row r="499">
      <c r="A499" s="23">
        <f>IFERROR(INDEX($R$17:$R$817,ROW()-16),"")</f>
        <v/>
      </c>
      <c r="B499">
        <f>IFERROR(INDEX($S$17:$S$817,ROW()-16),"")</f>
        <v/>
      </c>
      <c r="C499">
        <f>IFERROR(INDEX($W$17:$W$817,ROW()-16),"")</f>
        <v/>
      </c>
      <c r="D499">
        <f>IFERROR(INDEX($AA$17:$AA$817,ROW()-16),"")</f>
        <v/>
      </c>
    </row>
    <row r="500">
      <c r="A500" s="23">
        <f>IFERROR(INDEX($R$17:$R$817,ROW()-16),"")</f>
        <v/>
      </c>
      <c r="B500">
        <f>IFERROR(INDEX($S$17:$S$817,ROW()-16),"")</f>
        <v/>
      </c>
      <c r="C500">
        <f>IFERROR(INDEX($W$17:$W$817,ROW()-16),"")</f>
        <v/>
      </c>
      <c r="D500">
        <f>IFERROR(INDEX($AA$17:$AA$817,ROW()-16),"")</f>
        <v/>
      </c>
    </row>
    <row r="501">
      <c r="A501" s="23">
        <f>IFERROR(INDEX($R$17:$R$817,ROW()-16),"")</f>
        <v/>
      </c>
      <c r="B501">
        <f>IFERROR(INDEX($S$17:$S$817,ROW()-16),"")</f>
        <v/>
      </c>
      <c r="C501">
        <f>IFERROR(INDEX($W$17:$W$817,ROW()-16),"")</f>
        <v/>
      </c>
      <c r="D501">
        <f>IFERROR(INDEX($AA$17:$AA$817,ROW()-16),"")</f>
        <v/>
      </c>
    </row>
    <row r="502">
      <c r="A502" s="23">
        <f>IFERROR(INDEX($R$17:$R$817,ROW()-16),"")</f>
        <v/>
      </c>
      <c r="B502">
        <f>IFERROR(INDEX($S$17:$S$817,ROW()-16),"")</f>
        <v/>
      </c>
      <c r="C502">
        <f>IFERROR(INDEX($W$17:$W$817,ROW()-16),"")</f>
        <v/>
      </c>
      <c r="D502">
        <f>IFERROR(INDEX($AA$17:$AA$817,ROW()-16),"")</f>
        <v/>
      </c>
    </row>
    <row r="503">
      <c r="A503" s="23">
        <f>IFERROR(INDEX($R$17:$R$817,ROW()-16),"")</f>
        <v/>
      </c>
      <c r="B503">
        <f>IFERROR(INDEX($S$17:$S$817,ROW()-16),"")</f>
        <v/>
      </c>
      <c r="C503">
        <f>IFERROR(INDEX($W$17:$W$817,ROW()-16),"")</f>
        <v/>
      </c>
      <c r="D503">
        <f>IFERROR(INDEX($AA$17:$AA$817,ROW()-16),"")</f>
        <v/>
      </c>
    </row>
    <row r="504">
      <c r="A504" s="23">
        <f>IFERROR(INDEX($R$17:$R$817,ROW()-16),"")</f>
        <v/>
      </c>
      <c r="B504">
        <f>IFERROR(INDEX($S$17:$S$817,ROW()-16),"")</f>
        <v/>
      </c>
      <c r="C504">
        <f>IFERROR(INDEX($W$17:$W$817,ROW()-16),"")</f>
        <v/>
      </c>
      <c r="D504">
        <f>IFERROR(INDEX($AA$17:$AA$817,ROW()-16),"")</f>
        <v/>
      </c>
    </row>
    <row r="505">
      <c r="A505" s="23">
        <f>IFERROR(INDEX($R$17:$R$817,ROW()-16),"")</f>
        <v/>
      </c>
      <c r="B505">
        <f>IFERROR(INDEX($S$17:$S$817,ROW()-16),"")</f>
        <v/>
      </c>
      <c r="C505">
        <f>IFERROR(INDEX($W$17:$W$817,ROW()-16),"")</f>
        <v/>
      </c>
      <c r="D505">
        <f>IFERROR(INDEX($AA$17:$AA$817,ROW()-16),"")</f>
        <v/>
      </c>
    </row>
    <row r="506">
      <c r="A506" s="23">
        <f>IFERROR(INDEX($R$17:$R$817,ROW()-16),"")</f>
        <v/>
      </c>
      <c r="B506">
        <f>IFERROR(INDEX($S$17:$S$817,ROW()-16),"")</f>
        <v/>
      </c>
      <c r="C506">
        <f>IFERROR(INDEX($W$17:$W$817,ROW()-16),"")</f>
        <v/>
      </c>
      <c r="D506">
        <f>IFERROR(INDEX($AA$17:$AA$817,ROW()-16),"")</f>
        <v/>
      </c>
    </row>
    <row r="507">
      <c r="A507" s="23">
        <f>IFERROR(INDEX($R$17:$R$817,ROW()-16),"")</f>
        <v/>
      </c>
      <c r="B507">
        <f>IFERROR(INDEX($S$17:$S$817,ROW()-16),"")</f>
        <v/>
      </c>
      <c r="C507">
        <f>IFERROR(INDEX($W$17:$W$817,ROW()-16),"")</f>
        <v/>
      </c>
      <c r="D507">
        <f>IFERROR(INDEX($AA$17:$AA$817,ROW()-16),"")</f>
        <v/>
      </c>
    </row>
    <row r="508">
      <c r="A508" s="23">
        <f>IFERROR(INDEX($R$17:$R$817,ROW()-16),"")</f>
        <v/>
      </c>
      <c r="B508">
        <f>IFERROR(INDEX($S$17:$S$817,ROW()-16),"")</f>
        <v/>
      </c>
      <c r="C508">
        <f>IFERROR(INDEX($W$17:$W$817,ROW()-16),"")</f>
        <v/>
      </c>
      <c r="D508">
        <f>IFERROR(INDEX($AA$17:$AA$817,ROW()-16),"")</f>
        <v/>
      </c>
    </row>
    <row r="509">
      <c r="A509" s="23">
        <f>IFERROR(INDEX($R$17:$R$817,ROW()-16),"")</f>
        <v/>
      </c>
      <c r="B509">
        <f>IFERROR(INDEX($S$17:$S$817,ROW()-16),"")</f>
        <v/>
      </c>
      <c r="C509">
        <f>IFERROR(INDEX($W$17:$W$817,ROW()-16),"")</f>
        <v/>
      </c>
      <c r="D509">
        <f>IFERROR(INDEX($AA$17:$AA$817,ROW()-16),"")</f>
        <v/>
      </c>
    </row>
    <row r="510">
      <c r="A510" s="23">
        <f>IFERROR(INDEX($R$17:$R$817,ROW()-16),"")</f>
        <v/>
      </c>
      <c r="B510">
        <f>IFERROR(INDEX($S$17:$S$817,ROW()-16),"")</f>
        <v/>
      </c>
      <c r="C510">
        <f>IFERROR(INDEX($W$17:$W$817,ROW()-16),"")</f>
        <v/>
      </c>
      <c r="D510">
        <f>IFERROR(INDEX($AA$17:$AA$817,ROW()-16),"")</f>
        <v/>
      </c>
    </row>
    <row r="511">
      <c r="A511" s="23">
        <f>IFERROR(INDEX($R$17:$R$817,ROW()-16),"")</f>
        <v/>
      </c>
      <c r="B511">
        <f>IFERROR(INDEX($S$17:$S$817,ROW()-16),"")</f>
        <v/>
      </c>
      <c r="C511">
        <f>IFERROR(INDEX($W$17:$W$817,ROW()-16),"")</f>
        <v/>
      </c>
      <c r="D511">
        <f>IFERROR(INDEX($AA$17:$AA$817,ROW()-16),"")</f>
        <v/>
      </c>
    </row>
    <row r="512">
      <c r="A512" s="23">
        <f>IFERROR(INDEX($R$17:$R$817,ROW()-16),"")</f>
        <v/>
      </c>
      <c r="B512">
        <f>IFERROR(INDEX($S$17:$S$817,ROW()-16),"")</f>
        <v/>
      </c>
      <c r="C512">
        <f>IFERROR(INDEX($W$17:$W$817,ROW()-16),"")</f>
        <v/>
      </c>
      <c r="D512">
        <f>IFERROR(INDEX($AA$17:$AA$817,ROW()-16),"")</f>
        <v/>
      </c>
    </row>
    <row r="513">
      <c r="A513" s="23">
        <f>IFERROR(INDEX($R$17:$R$817,ROW()-16),"")</f>
        <v/>
      </c>
      <c r="B513">
        <f>IFERROR(INDEX($S$17:$S$817,ROW()-16),"")</f>
        <v/>
      </c>
      <c r="C513">
        <f>IFERROR(INDEX($W$17:$W$817,ROW()-16),"")</f>
        <v/>
      </c>
      <c r="D513">
        <f>IFERROR(INDEX($AA$17:$AA$817,ROW()-16),"")</f>
        <v/>
      </c>
    </row>
    <row r="514">
      <c r="A514" s="23">
        <f>IFERROR(INDEX($R$17:$R$817,ROW()-16),"")</f>
        <v/>
      </c>
      <c r="B514">
        <f>IFERROR(INDEX($S$17:$S$817,ROW()-16),"")</f>
        <v/>
      </c>
      <c r="C514">
        <f>IFERROR(INDEX($W$17:$W$817,ROW()-16),"")</f>
        <v/>
      </c>
      <c r="D514">
        <f>IFERROR(INDEX($AA$17:$AA$817,ROW()-16),"")</f>
        <v/>
      </c>
    </row>
    <row r="515">
      <c r="A515" s="23">
        <f>IFERROR(INDEX($R$17:$R$817,ROW()-16),"")</f>
        <v/>
      </c>
      <c r="B515">
        <f>IFERROR(INDEX($S$17:$S$817,ROW()-16),"")</f>
        <v/>
      </c>
      <c r="C515">
        <f>IFERROR(INDEX($W$17:$W$817,ROW()-16),"")</f>
        <v/>
      </c>
      <c r="D515">
        <f>IFERROR(INDEX($AA$17:$AA$817,ROW()-16),"")</f>
        <v/>
      </c>
    </row>
    <row r="516">
      <c r="A516" s="23">
        <f>IFERROR(INDEX($R$17:$R$817,ROW()-16),"")</f>
        <v/>
      </c>
      <c r="B516">
        <f>IFERROR(INDEX($S$17:$S$817,ROW()-16),"")</f>
        <v/>
      </c>
      <c r="C516">
        <f>IFERROR(INDEX($W$17:$W$817,ROW()-16),"")</f>
        <v/>
      </c>
      <c r="D516">
        <f>IFERROR(INDEX($AA$17:$AA$817,ROW()-16),"")</f>
        <v/>
      </c>
    </row>
    <row r="517">
      <c r="A517" s="23">
        <f>IFERROR(INDEX($R$17:$R$817,ROW()-16),"")</f>
        <v/>
      </c>
      <c r="B517">
        <f>IFERROR(INDEX($S$17:$S$817,ROW()-16),"")</f>
        <v/>
      </c>
      <c r="C517">
        <f>IFERROR(INDEX($W$17:$W$817,ROW()-16),"")</f>
        <v/>
      </c>
      <c r="D517">
        <f>IFERROR(INDEX($AA$17:$AA$817,ROW()-16),"")</f>
        <v/>
      </c>
    </row>
    <row r="518">
      <c r="A518" s="23">
        <f>IFERROR(INDEX($R$17:$R$817,ROW()-16),"")</f>
        <v/>
      </c>
      <c r="B518">
        <f>IFERROR(INDEX($S$17:$S$817,ROW()-16),"")</f>
        <v/>
      </c>
      <c r="C518">
        <f>IFERROR(INDEX($W$17:$W$817,ROW()-16),"")</f>
        <v/>
      </c>
      <c r="D518">
        <f>IFERROR(INDEX($AA$17:$AA$817,ROW()-16),"")</f>
        <v/>
      </c>
    </row>
    <row r="519">
      <c r="A519" s="23">
        <f>IFERROR(INDEX($R$17:$R$817,ROW()-16),"")</f>
        <v/>
      </c>
      <c r="B519">
        <f>IFERROR(INDEX($S$17:$S$817,ROW()-16),"")</f>
        <v/>
      </c>
      <c r="C519">
        <f>IFERROR(INDEX($W$17:$W$817,ROW()-16),"")</f>
        <v/>
      </c>
      <c r="D519">
        <f>IFERROR(INDEX($AA$17:$AA$817,ROW()-16),"")</f>
        <v/>
      </c>
    </row>
    <row r="520">
      <c r="A520" s="23">
        <f>IFERROR(INDEX($R$17:$R$817,ROW()-16),"")</f>
        <v/>
      </c>
      <c r="B520">
        <f>IFERROR(INDEX($S$17:$S$817,ROW()-16),"")</f>
        <v/>
      </c>
      <c r="C520">
        <f>IFERROR(INDEX($W$17:$W$817,ROW()-16),"")</f>
        <v/>
      </c>
      <c r="D520">
        <f>IFERROR(INDEX($AA$17:$AA$817,ROW()-16),"")</f>
        <v/>
      </c>
    </row>
    <row r="521">
      <c r="A521" s="23">
        <f>IFERROR(INDEX($R$17:$R$817,ROW()-16),"")</f>
        <v/>
      </c>
      <c r="B521">
        <f>IFERROR(INDEX($S$17:$S$817,ROW()-16),"")</f>
        <v/>
      </c>
      <c r="C521">
        <f>IFERROR(INDEX($W$17:$W$817,ROW()-16),"")</f>
        <v/>
      </c>
      <c r="D521">
        <f>IFERROR(INDEX($AA$17:$AA$817,ROW()-16),"")</f>
        <v/>
      </c>
    </row>
    <row r="522">
      <c r="A522" s="23">
        <f>IFERROR(INDEX($R$17:$R$817,ROW()-16),"")</f>
        <v/>
      </c>
      <c r="B522">
        <f>IFERROR(INDEX($S$17:$S$817,ROW()-16),"")</f>
        <v/>
      </c>
      <c r="C522">
        <f>IFERROR(INDEX($W$17:$W$817,ROW()-16),"")</f>
        <v/>
      </c>
      <c r="D522">
        <f>IFERROR(INDEX($AA$17:$AA$817,ROW()-16),"")</f>
        <v/>
      </c>
    </row>
    <row r="523">
      <c r="A523" s="23">
        <f>IFERROR(INDEX($R$17:$R$817,ROW()-16),"")</f>
        <v/>
      </c>
      <c r="B523">
        <f>IFERROR(INDEX($S$17:$S$817,ROW()-16),"")</f>
        <v/>
      </c>
      <c r="C523">
        <f>IFERROR(INDEX($W$17:$W$817,ROW()-16),"")</f>
        <v/>
      </c>
      <c r="D523">
        <f>IFERROR(INDEX($AA$17:$AA$817,ROW()-16),"")</f>
        <v/>
      </c>
    </row>
    <row r="524">
      <c r="A524" s="23">
        <f>IFERROR(INDEX($R$17:$R$817,ROW()-16),"")</f>
        <v/>
      </c>
      <c r="B524">
        <f>IFERROR(INDEX($S$17:$S$817,ROW()-16),"")</f>
        <v/>
      </c>
      <c r="C524">
        <f>IFERROR(INDEX($W$17:$W$817,ROW()-16),"")</f>
        <v/>
      </c>
      <c r="D524">
        <f>IFERROR(INDEX($AA$17:$AA$817,ROW()-16),"")</f>
        <v/>
      </c>
    </row>
    <row r="525">
      <c r="A525" s="23">
        <f>IFERROR(INDEX($R$17:$R$817,ROW()-16),"")</f>
        <v/>
      </c>
      <c r="B525">
        <f>IFERROR(INDEX($S$17:$S$817,ROW()-16),"")</f>
        <v/>
      </c>
      <c r="C525">
        <f>IFERROR(INDEX($W$17:$W$817,ROW()-16),"")</f>
        <v/>
      </c>
      <c r="D525">
        <f>IFERROR(INDEX($AA$17:$AA$817,ROW()-16),"")</f>
        <v/>
      </c>
    </row>
    <row r="526">
      <c r="A526" s="23">
        <f>IFERROR(INDEX($R$17:$R$817,ROW()-16),"")</f>
        <v/>
      </c>
      <c r="B526">
        <f>IFERROR(INDEX($S$17:$S$817,ROW()-16),"")</f>
        <v/>
      </c>
      <c r="C526">
        <f>IFERROR(INDEX($W$17:$W$817,ROW()-16),"")</f>
        <v/>
      </c>
      <c r="D526">
        <f>IFERROR(INDEX($AA$17:$AA$817,ROW()-16),"")</f>
        <v/>
      </c>
    </row>
    <row r="527">
      <c r="A527" s="23">
        <f>IFERROR(INDEX($R$17:$R$817,ROW()-16),"")</f>
        <v/>
      </c>
      <c r="B527">
        <f>IFERROR(INDEX($S$17:$S$817,ROW()-16),"")</f>
        <v/>
      </c>
      <c r="C527">
        <f>IFERROR(INDEX($W$17:$W$817,ROW()-16),"")</f>
        <v/>
      </c>
      <c r="D527">
        <f>IFERROR(INDEX($AA$17:$AA$817,ROW()-16),"")</f>
        <v/>
      </c>
    </row>
    <row r="528">
      <c r="A528" s="23">
        <f>IFERROR(INDEX($R$17:$R$817,ROW()-16),"")</f>
        <v/>
      </c>
      <c r="B528">
        <f>IFERROR(INDEX($S$17:$S$817,ROW()-16),"")</f>
        <v/>
      </c>
      <c r="C528">
        <f>IFERROR(INDEX($W$17:$W$817,ROW()-16),"")</f>
        <v/>
      </c>
      <c r="D528">
        <f>IFERROR(INDEX($AA$17:$AA$817,ROW()-16),"")</f>
        <v/>
      </c>
    </row>
    <row r="529">
      <c r="A529" s="23">
        <f>IFERROR(INDEX($R$17:$R$817,ROW()-16),"")</f>
        <v/>
      </c>
      <c r="B529">
        <f>IFERROR(INDEX($S$17:$S$817,ROW()-16),"")</f>
        <v/>
      </c>
      <c r="C529">
        <f>IFERROR(INDEX($W$17:$W$817,ROW()-16),"")</f>
        <v/>
      </c>
      <c r="D529">
        <f>IFERROR(INDEX($AA$17:$AA$817,ROW()-16),"")</f>
        <v/>
      </c>
    </row>
    <row r="530">
      <c r="A530" s="23">
        <f>IFERROR(INDEX($R$17:$R$817,ROW()-16),"")</f>
        <v/>
      </c>
      <c r="B530">
        <f>IFERROR(INDEX($S$17:$S$817,ROW()-16),"")</f>
        <v/>
      </c>
      <c r="C530">
        <f>IFERROR(INDEX($W$17:$W$817,ROW()-16),"")</f>
        <v/>
      </c>
      <c r="D530">
        <f>IFERROR(INDEX($AA$17:$AA$817,ROW()-16),"")</f>
        <v/>
      </c>
    </row>
    <row r="531">
      <c r="A531" s="23">
        <f>IFERROR(INDEX($R$17:$R$817,ROW()-16),"")</f>
        <v/>
      </c>
      <c r="B531">
        <f>IFERROR(INDEX($S$17:$S$817,ROW()-16),"")</f>
        <v/>
      </c>
      <c r="C531">
        <f>IFERROR(INDEX($W$17:$W$817,ROW()-16),"")</f>
        <v/>
      </c>
      <c r="D531">
        <f>IFERROR(INDEX($AA$17:$AA$817,ROW()-16),"")</f>
        <v/>
      </c>
    </row>
    <row r="532">
      <c r="A532" s="23">
        <f>IFERROR(INDEX($R$17:$R$817,ROW()-16),"")</f>
        <v/>
      </c>
      <c r="B532">
        <f>IFERROR(INDEX($S$17:$S$817,ROW()-16),"")</f>
        <v/>
      </c>
      <c r="C532">
        <f>IFERROR(INDEX($W$17:$W$817,ROW()-16),"")</f>
        <v/>
      </c>
      <c r="D532">
        <f>IFERROR(INDEX($AA$17:$AA$817,ROW()-16),"")</f>
        <v/>
      </c>
    </row>
    <row r="533">
      <c r="A533" s="23">
        <f>IFERROR(INDEX($R$17:$R$817,ROW()-16),"")</f>
        <v/>
      </c>
      <c r="B533">
        <f>IFERROR(INDEX($S$17:$S$817,ROW()-16),"")</f>
        <v/>
      </c>
      <c r="C533">
        <f>IFERROR(INDEX($W$17:$W$817,ROW()-16),"")</f>
        <v/>
      </c>
      <c r="D533">
        <f>IFERROR(INDEX($AA$17:$AA$817,ROW()-16),"")</f>
        <v/>
      </c>
    </row>
    <row r="534">
      <c r="A534" s="23">
        <f>IFERROR(INDEX($R$17:$R$817,ROW()-16),"")</f>
        <v/>
      </c>
      <c r="B534">
        <f>IFERROR(INDEX($S$17:$S$817,ROW()-16),"")</f>
        <v/>
      </c>
      <c r="C534">
        <f>IFERROR(INDEX($W$17:$W$817,ROW()-16),"")</f>
        <v/>
      </c>
      <c r="D534">
        <f>IFERROR(INDEX($AA$17:$AA$817,ROW()-16),"")</f>
        <v/>
      </c>
    </row>
    <row r="535">
      <c r="A535" s="23">
        <f>IFERROR(INDEX($R$17:$R$817,ROW()-16),"")</f>
        <v/>
      </c>
      <c r="B535">
        <f>IFERROR(INDEX($S$17:$S$817,ROW()-16),"")</f>
        <v/>
      </c>
      <c r="C535">
        <f>IFERROR(INDEX($W$17:$W$817,ROW()-16),"")</f>
        <v/>
      </c>
      <c r="D535">
        <f>IFERROR(INDEX($AA$17:$AA$817,ROW()-16),"")</f>
        <v/>
      </c>
    </row>
    <row r="536">
      <c r="A536" s="23">
        <f>IFERROR(INDEX($R$17:$R$817,ROW()-16),"")</f>
        <v/>
      </c>
      <c r="B536">
        <f>IFERROR(INDEX($S$17:$S$817,ROW()-16),"")</f>
        <v/>
      </c>
      <c r="C536">
        <f>IFERROR(INDEX($W$17:$W$817,ROW()-16),"")</f>
        <v/>
      </c>
      <c r="D536">
        <f>IFERROR(INDEX($AA$17:$AA$817,ROW()-16),"")</f>
        <v/>
      </c>
    </row>
    <row r="537">
      <c r="A537" s="23">
        <f>IFERROR(INDEX($R$17:$R$817,ROW()-16),"")</f>
        <v/>
      </c>
      <c r="B537">
        <f>IFERROR(INDEX($S$17:$S$817,ROW()-16),"")</f>
        <v/>
      </c>
      <c r="C537">
        <f>IFERROR(INDEX($W$17:$W$817,ROW()-16),"")</f>
        <v/>
      </c>
      <c r="D537">
        <f>IFERROR(INDEX($AA$17:$AA$817,ROW()-16),"")</f>
        <v/>
      </c>
    </row>
    <row r="538">
      <c r="A538" s="23">
        <f>IFERROR(INDEX($R$17:$R$817,ROW()-16),"")</f>
        <v/>
      </c>
      <c r="B538">
        <f>IFERROR(INDEX($S$17:$S$817,ROW()-16),"")</f>
        <v/>
      </c>
      <c r="C538">
        <f>IFERROR(INDEX($W$17:$W$817,ROW()-16),"")</f>
        <v/>
      </c>
      <c r="D538">
        <f>IFERROR(INDEX($AA$17:$AA$817,ROW()-16),"")</f>
        <v/>
      </c>
    </row>
    <row r="539">
      <c r="A539" s="23">
        <f>IFERROR(INDEX($R$17:$R$817,ROW()-16),"")</f>
        <v/>
      </c>
      <c r="B539">
        <f>IFERROR(INDEX($S$17:$S$817,ROW()-16),"")</f>
        <v/>
      </c>
      <c r="C539">
        <f>IFERROR(INDEX($W$17:$W$817,ROW()-16),"")</f>
        <v/>
      </c>
      <c r="D539">
        <f>IFERROR(INDEX($AA$17:$AA$817,ROW()-16),"")</f>
        <v/>
      </c>
    </row>
    <row r="540">
      <c r="A540" s="23">
        <f>IFERROR(INDEX($R$17:$R$817,ROW()-16),"")</f>
        <v/>
      </c>
      <c r="B540">
        <f>IFERROR(INDEX($S$17:$S$817,ROW()-16),"")</f>
        <v/>
      </c>
      <c r="C540">
        <f>IFERROR(INDEX($W$17:$W$817,ROW()-16),"")</f>
        <v/>
      </c>
      <c r="D540">
        <f>IFERROR(INDEX($AA$17:$AA$817,ROW()-16),"")</f>
        <v/>
      </c>
    </row>
    <row r="541">
      <c r="A541" s="23">
        <f>IFERROR(INDEX($R$17:$R$817,ROW()-16),"")</f>
        <v/>
      </c>
      <c r="B541">
        <f>IFERROR(INDEX($S$17:$S$817,ROW()-16),"")</f>
        <v/>
      </c>
      <c r="C541">
        <f>IFERROR(INDEX($W$17:$W$817,ROW()-16),"")</f>
        <v/>
      </c>
      <c r="D541">
        <f>IFERROR(INDEX($AA$17:$AA$817,ROW()-16),"")</f>
        <v/>
      </c>
    </row>
    <row r="542">
      <c r="A542" s="23">
        <f>IFERROR(INDEX($R$17:$R$817,ROW()-16),"")</f>
        <v/>
      </c>
      <c r="B542">
        <f>IFERROR(INDEX($S$17:$S$817,ROW()-16),"")</f>
        <v/>
      </c>
      <c r="C542">
        <f>IFERROR(INDEX($W$17:$W$817,ROW()-16),"")</f>
        <v/>
      </c>
      <c r="D542">
        <f>IFERROR(INDEX($AA$17:$AA$817,ROW()-16),"")</f>
        <v/>
      </c>
    </row>
    <row r="543">
      <c r="A543" s="23">
        <f>IFERROR(INDEX($R$17:$R$817,ROW()-16),"")</f>
        <v/>
      </c>
      <c r="B543">
        <f>IFERROR(INDEX($S$17:$S$817,ROW()-16),"")</f>
        <v/>
      </c>
      <c r="C543">
        <f>IFERROR(INDEX($W$17:$W$817,ROW()-16),"")</f>
        <v/>
      </c>
      <c r="D543">
        <f>IFERROR(INDEX($AA$17:$AA$817,ROW()-16),"")</f>
        <v/>
      </c>
    </row>
    <row r="544">
      <c r="A544" s="23">
        <f>IFERROR(INDEX($R$17:$R$817,ROW()-16),"")</f>
        <v/>
      </c>
      <c r="B544">
        <f>IFERROR(INDEX($S$17:$S$817,ROW()-16),"")</f>
        <v/>
      </c>
      <c r="C544">
        <f>IFERROR(INDEX($W$17:$W$817,ROW()-16),"")</f>
        <v/>
      </c>
      <c r="D544">
        <f>IFERROR(INDEX($AA$17:$AA$817,ROW()-16),"")</f>
        <v/>
      </c>
    </row>
    <row r="545">
      <c r="A545" s="23">
        <f>IFERROR(INDEX($R$17:$R$817,ROW()-16),"")</f>
        <v/>
      </c>
      <c r="B545">
        <f>IFERROR(INDEX($S$17:$S$817,ROW()-16),"")</f>
        <v/>
      </c>
      <c r="C545">
        <f>IFERROR(INDEX($W$17:$W$817,ROW()-16),"")</f>
        <v/>
      </c>
      <c r="D545">
        <f>IFERROR(INDEX($AA$17:$AA$817,ROW()-16),"")</f>
        <v/>
      </c>
    </row>
    <row r="546">
      <c r="A546" s="23">
        <f>IFERROR(INDEX($R$17:$R$817,ROW()-16),"")</f>
        <v/>
      </c>
      <c r="B546">
        <f>IFERROR(INDEX($S$17:$S$817,ROW()-16),"")</f>
        <v/>
      </c>
      <c r="C546">
        <f>IFERROR(INDEX($W$17:$W$817,ROW()-16),"")</f>
        <v/>
      </c>
      <c r="D546">
        <f>IFERROR(INDEX($AA$17:$AA$817,ROW()-16),"")</f>
        <v/>
      </c>
    </row>
    <row r="547">
      <c r="A547" s="23">
        <f>IFERROR(INDEX($R$17:$R$817,ROW()-16),"")</f>
        <v/>
      </c>
      <c r="B547">
        <f>IFERROR(INDEX($S$17:$S$817,ROW()-16),"")</f>
        <v/>
      </c>
      <c r="C547">
        <f>IFERROR(INDEX($W$17:$W$817,ROW()-16),"")</f>
        <v/>
      </c>
      <c r="D547">
        <f>IFERROR(INDEX($AA$17:$AA$817,ROW()-16),"")</f>
        <v/>
      </c>
    </row>
    <row r="548">
      <c r="A548" s="23">
        <f>IFERROR(INDEX($R$17:$R$817,ROW()-16),"")</f>
        <v/>
      </c>
      <c r="B548">
        <f>IFERROR(INDEX($S$17:$S$817,ROW()-16),"")</f>
        <v/>
      </c>
      <c r="C548">
        <f>IFERROR(INDEX($W$17:$W$817,ROW()-16),"")</f>
        <v/>
      </c>
      <c r="D548">
        <f>IFERROR(INDEX($AA$17:$AA$817,ROW()-16),"")</f>
        <v/>
      </c>
    </row>
    <row r="549">
      <c r="A549" s="23">
        <f>IFERROR(INDEX($R$17:$R$817,ROW()-16),"")</f>
        <v/>
      </c>
      <c r="B549">
        <f>IFERROR(INDEX($S$17:$S$817,ROW()-16),"")</f>
        <v/>
      </c>
      <c r="C549">
        <f>IFERROR(INDEX($W$17:$W$817,ROW()-16),"")</f>
        <v/>
      </c>
      <c r="D549">
        <f>IFERROR(INDEX($AA$17:$AA$817,ROW()-16),"")</f>
        <v/>
      </c>
    </row>
    <row r="550">
      <c r="A550" s="23">
        <f>IFERROR(INDEX($R$17:$R$817,ROW()-16),"")</f>
        <v/>
      </c>
      <c r="B550">
        <f>IFERROR(INDEX($S$17:$S$817,ROW()-16),"")</f>
        <v/>
      </c>
      <c r="C550">
        <f>IFERROR(INDEX($W$17:$W$817,ROW()-16),"")</f>
        <v/>
      </c>
      <c r="D550">
        <f>IFERROR(INDEX($AA$17:$AA$817,ROW()-16),"")</f>
        <v/>
      </c>
    </row>
    <row r="551">
      <c r="A551" s="23">
        <f>IFERROR(INDEX($R$17:$R$817,ROW()-16),"")</f>
        <v/>
      </c>
      <c r="B551">
        <f>IFERROR(INDEX($S$17:$S$817,ROW()-16),"")</f>
        <v/>
      </c>
      <c r="C551">
        <f>IFERROR(INDEX($W$17:$W$817,ROW()-16),"")</f>
        <v/>
      </c>
      <c r="D551">
        <f>IFERROR(INDEX($AA$17:$AA$817,ROW()-16),"")</f>
        <v/>
      </c>
    </row>
    <row r="552">
      <c r="A552" s="23">
        <f>IFERROR(INDEX($R$17:$R$817,ROW()-16),"")</f>
        <v/>
      </c>
      <c r="B552">
        <f>IFERROR(INDEX($S$17:$S$817,ROW()-16),"")</f>
        <v/>
      </c>
      <c r="C552">
        <f>IFERROR(INDEX($W$17:$W$817,ROW()-16),"")</f>
        <v/>
      </c>
      <c r="D552">
        <f>IFERROR(INDEX($AA$17:$AA$817,ROW()-16),"")</f>
        <v/>
      </c>
    </row>
    <row r="553">
      <c r="A553" s="23">
        <f>IFERROR(INDEX($R$17:$R$817,ROW()-16),"")</f>
        <v/>
      </c>
      <c r="B553">
        <f>IFERROR(INDEX($S$17:$S$817,ROW()-16),"")</f>
        <v/>
      </c>
      <c r="C553">
        <f>IFERROR(INDEX($W$17:$W$817,ROW()-16),"")</f>
        <v/>
      </c>
      <c r="D553">
        <f>IFERROR(INDEX($AA$17:$AA$817,ROW()-16),"")</f>
        <v/>
      </c>
    </row>
    <row r="554">
      <c r="A554" s="23">
        <f>IFERROR(INDEX($R$17:$R$817,ROW()-16),"")</f>
        <v/>
      </c>
      <c r="B554">
        <f>IFERROR(INDEX($S$17:$S$817,ROW()-16),"")</f>
        <v/>
      </c>
      <c r="C554">
        <f>IFERROR(INDEX($W$17:$W$817,ROW()-16),"")</f>
        <v/>
      </c>
      <c r="D554">
        <f>IFERROR(INDEX($AA$17:$AA$817,ROW()-16),"")</f>
        <v/>
      </c>
    </row>
    <row r="555">
      <c r="A555" s="23">
        <f>IFERROR(INDEX($R$17:$R$817,ROW()-16),"")</f>
        <v/>
      </c>
      <c r="B555">
        <f>IFERROR(INDEX($S$17:$S$817,ROW()-16),"")</f>
        <v/>
      </c>
      <c r="C555">
        <f>IFERROR(INDEX($W$17:$W$817,ROW()-16),"")</f>
        <v/>
      </c>
      <c r="D555">
        <f>IFERROR(INDEX($AA$17:$AA$817,ROW()-16),"")</f>
        <v/>
      </c>
    </row>
    <row r="556">
      <c r="A556" s="23">
        <f>IFERROR(INDEX($R$17:$R$817,ROW()-16),"")</f>
        <v/>
      </c>
      <c r="B556">
        <f>IFERROR(INDEX($S$17:$S$817,ROW()-16),"")</f>
        <v/>
      </c>
      <c r="C556">
        <f>IFERROR(INDEX($W$17:$W$817,ROW()-16),"")</f>
        <v/>
      </c>
      <c r="D556">
        <f>IFERROR(INDEX($AA$17:$AA$817,ROW()-16),"")</f>
        <v/>
      </c>
    </row>
    <row r="557">
      <c r="A557" s="23">
        <f>IFERROR(INDEX($R$17:$R$817,ROW()-16),"")</f>
        <v/>
      </c>
      <c r="B557">
        <f>IFERROR(INDEX($S$17:$S$817,ROW()-16),"")</f>
        <v/>
      </c>
      <c r="C557">
        <f>IFERROR(INDEX($W$17:$W$817,ROW()-16),"")</f>
        <v/>
      </c>
      <c r="D557">
        <f>IFERROR(INDEX($AA$17:$AA$817,ROW()-16),"")</f>
        <v/>
      </c>
    </row>
    <row r="558">
      <c r="A558" s="23">
        <f>IFERROR(INDEX($R$17:$R$817,ROW()-16),"")</f>
        <v/>
      </c>
      <c r="B558">
        <f>IFERROR(INDEX($S$17:$S$817,ROW()-16),"")</f>
        <v/>
      </c>
      <c r="C558">
        <f>IFERROR(INDEX($W$17:$W$817,ROW()-16),"")</f>
        <v/>
      </c>
      <c r="D558">
        <f>IFERROR(INDEX($AA$17:$AA$817,ROW()-16),"")</f>
        <v/>
      </c>
    </row>
    <row r="559">
      <c r="A559" s="23">
        <f>IFERROR(INDEX($R$17:$R$817,ROW()-16),"")</f>
        <v/>
      </c>
      <c r="B559">
        <f>IFERROR(INDEX($S$17:$S$817,ROW()-16),"")</f>
        <v/>
      </c>
      <c r="C559">
        <f>IFERROR(INDEX($W$17:$W$817,ROW()-16),"")</f>
        <v/>
      </c>
      <c r="D559">
        <f>IFERROR(INDEX($AA$17:$AA$817,ROW()-16),"")</f>
        <v/>
      </c>
    </row>
    <row r="560">
      <c r="A560" s="23">
        <f>IFERROR(INDEX($R$17:$R$817,ROW()-16),"")</f>
        <v/>
      </c>
      <c r="B560">
        <f>IFERROR(INDEX($S$17:$S$817,ROW()-16),"")</f>
        <v/>
      </c>
      <c r="C560">
        <f>IFERROR(INDEX($W$17:$W$817,ROW()-16),"")</f>
        <v/>
      </c>
      <c r="D560">
        <f>IFERROR(INDEX($AA$17:$AA$817,ROW()-16),"")</f>
        <v/>
      </c>
    </row>
    <row r="561">
      <c r="A561" s="23">
        <f>IFERROR(INDEX($R$17:$R$817,ROW()-16),"")</f>
        <v/>
      </c>
      <c r="B561">
        <f>IFERROR(INDEX($S$17:$S$817,ROW()-16),"")</f>
        <v/>
      </c>
      <c r="C561">
        <f>IFERROR(INDEX($W$17:$W$817,ROW()-16),"")</f>
        <v/>
      </c>
      <c r="D561">
        <f>IFERROR(INDEX($AA$17:$AA$817,ROW()-16),"")</f>
        <v/>
      </c>
    </row>
    <row r="562">
      <c r="A562" s="23">
        <f>IFERROR(INDEX($R$17:$R$817,ROW()-16),"")</f>
        <v/>
      </c>
      <c r="B562">
        <f>IFERROR(INDEX($S$17:$S$817,ROW()-16),"")</f>
        <v/>
      </c>
      <c r="C562">
        <f>IFERROR(INDEX($W$17:$W$817,ROW()-16),"")</f>
        <v/>
      </c>
      <c r="D562">
        <f>IFERROR(INDEX($AA$17:$AA$817,ROW()-16),"")</f>
        <v/>
      </c>
    </row>
    <row r="563">
      <c r="A563" s="23">
        <f>IFERROR(INDEX($R$17:$R$817,ROW()-16),"")</f>
        <v/>
      </c>
      <c r="B563">
        <f>IFERROR(INDEX($S$17:$S$817,ROW()-16),"")</f>
        <v/>
      </c>
      <c r="C563">
        <f>IFERROR(INDEX($W$17:$W$817,ROW()-16),"")</f>
        <v/>
      </c>
      <c r="D563">
        <f>IFERROR(INDEX($AA$17:$AA$817,ROW()-16),"")</f>
        <v/>
      </c>
    </row>
    <row r="564">
      <c r="A564" s="23">
        <f>IFERROR(INDEX($R$17:$R$817,ROW()-16),"")</f>
        <v/>
      </c>
      <c r="B564">
        <f>IFERROR(INDEX($S$17:$S$817,ROW()-16),"")</f>
        <v/>
      </c>
      <c r="C564">
        <f>IFERROR(INDEX($W$17:$W$817,ROW()-16),"")</f>
        <v/>
      </c>
      <c r="D564">
        <f>IFERROR(INDEX($AA$17:$AA$817,ROW()-16),"")</f>
        <v/>
      </c>
    </row>
    <row r="565">
      <c r="A565" s="23">
        <f>IFERROR(INDEX($R$17:$R$817,ROW()-16),"")</f>
        <v/>
      </c>
      <c r="B565">
        <f>IFERROR(INDEX($S$17:$S$817,ROW()-16),"")</f>
        <v/>
      </c>
      <c r="C565">
        <f>IFERROR(INDEX($W$17:$W$817,ROW()-16),"")</f>
        <v/>
      </c>
      <c r="D565">
        <f>IFERROR(INDEX($AA$17:$AA$817,ROW()-16),"")</f>
        <v/>
      </c>
    </row>
    <row r="566">
      <c r="A566" s="23">
        <f>IFERROR(INDEX($R$17:$R$817,ROW()-16),"")</f>
        <v/>
      </c>
      <c r="B566">
        <f>IFERROR(INDEX($S$17:$S$817,ROW()-16),"")</f>
        <v/>
      </c>
      <c r="C566">
        <f>IFERROR(INDEX($W$17:$W$817,ROW()-16),"")</f>
        <v/>
      </c>
      <c r="D566">
        <f>IFERROR(INDEX($AA$17:$AA$817,ROW()-16),"")</f>
        <v/>
      </c>
    </row>
    <row r="567">
      <c r="A567" s="23">
        <f>IFERROR(INDEX($R$17:$R$817,ROW()-16),"")</f>
        <v/>
      </c>
      <c r="B567">
        <f>IFERROR(INDEX($S$17:$S$817,ROW()-16),"")</f>
        <v/>
      </c>
      <c r="C567">
        <f>IFERROR(INDEX($W$17:$W$817,ROW()-16),"")</f>
        <v/>
      </c>
      <c r="D567">
        <f>IFERROR(INDEX($AA$17:$AA$817,ROW()-16),"")</f>
        <v/>
      </c>
    </row>
    <row r="568">
      <c r="A568" s="23">
        <f>IFERROR(INDEX($R$17:$R$817,ROW()-16),"")</f>
        <v/>
      </c>
      <c r="B568">
        <f>IFERROR(INDEX($S$17:$S$817,ROW()-16),"")</f>
        <v/>
      </c>
      <c r="C568">
        <f>IFERROR(INDEX($W$17:$W$817,ROW()-16),"")</f>
        <v/>
      </c>
      <c r="D568">
        <f>IFERROR(INDEX($AA$17:$AA$817,ROW()-16),"")</f>
        <v/>
      </c>
    </row>
    <row r="569">
      <c r="A569" s="23">
        <f>IFERROR(INDEX($R$17:$R$817,ROW()-16),"")</f>
        <v/>
      </c>
      <c r="B569">
        <f>IFERROR(INDEX($S$17:$S$817,ROW()-16),"")</f>
        <v/>
      </c>
      <c r="C569">
        <f>IFERROR(INDEX($W$17:$W$817,ROW()-16),"")</f>
        <v/>
      </c>
      <c r="D569">
        <f>IFERROR(INDEX($AA$17:$AA$817,ROW()-16),"")</f>
        <v/>
      </c>
    </row>
    <row r="570">
      <c r="A570" s="23">
        <f>IFERROR(INDEX($R$17:$R$817,ROW()-16),"")</f>
        <v/>
      </c>
      <c r="B570">
        <f>IFERROR(INDEX($S$17:$S$817,ROW()-16),"")</f>
        <v/>
      </c>
      <c r="C570">
        <f>IFERROR(INDEX($W$17:$W$817,ROW()-16),"")</f>
        <v/>
      </c>
      <c r="D570">
        <f>IFERROR(INDEX($AA$17:$AA$817,ROW()-16),"")</f>
        <v/>
      </c>
    </row>
    <row r="571">
      <c r="A571" s="23">
        <f>IFERROR(INDEX($R$17:$R$817,ROW()-16),"")</f>
        <v/>
      </c>
      <c r="B571">
        <f>IFERROR(INDEX($S$17:$S$817,ROW()-16),"")</f>
        <v/>
      </c>
      <c r="C571">
        <f>IFERROR(INDEX($W$17:$W$817,ROW()-16),"")</f>
        <v/>
      </c>
      <c r="D571">
        <f>IFERROR(INDEX($AA$17:$AA$817,ROW()-16),"")</f>
        <v/>
      </c>
    </row>
    <row r="572">
      <c r="A572" s="23">
        <f>IFERROR(INDEX($R$17:$R$817,ROW()-16),"")</f>
        <v/>
      </c>
      <c r="B572">
        <f>IFERROR(INDEX($S$17:$S$817,ROW()-16),"")</f>
        <v/>
      </c>
      <c r="C572">
        <f>IFERROR(INDEX($W$17:$W$817,ROW()-16),"")</f>
        <v/>
      </c>
      <c r="D572">
        <f>IFERROR(INDEX($AA$17:$AA$817,ROW()-16),"")</f>
        <v/>
      </c>
    </row>
    <row r="573">
      <c r="A573" s="23">
        <f>IFERROR(INDEX($R$17:$R$817,ROW()-16),"")</f>
        <v/>
      </c>
      <c r="B573">
        <f>IFERROR(INDEX($S$17:$S$817,ROW()-16),"")</f>
        <v/>
      </c>
      <c r="C573">
        <f>IFERROR(INDEX($W$17:$W$817,ROW()-16),"")</f>
        <v/>
      </c>
      <c r="D573">
        <f>IFERROR(INDEX($AA$17:$AA$817,ROW()-16),"")</f>
        <v/>
      </c>
    </row>
    <row r="574">
      <c r="A574" s="23">
        <f>IFERROR(INDEX($R$17:$R$817,ROW()-16),"")</f>
        <v/>
      </c>
      <c r="B574">
        <f>IFERROR(INDEX($S$17:$S$817,ROW()-16),"")</f>
        <v/>
      </c>
      <c r="C574">
        <f>IFERROR(INDEX($W$17:$W$817,ROW()-16),"")</f>
        <v/>
      </c>
      <c r="D574">
        <f>IFERROR(INDEX($AA$17:$AA$817,ROW()-16),"")</f>
        <v/>
      </c>
    </row>
    <row r="575">
      <c r="A575" s="23">
        <f>IFERROR(INDEX($R$17:$R$817,ROW()-16),"")</f>
        <v/>
      </c>
      <c r="B575">
        <f>IFERROR(INDEX($S$17:$S$817,ROW()-16),"")</f>
        <v/>
      </c>
      <c r="C575">
        <f>IFERROR(INDEX($W$17:$W$817,ROW()-16),"")</f>
        <v/>
      </c>
      <c r="D575">
        <f>IFERROR(INDEX($AA$17:$AA$817,ROW()-16),"")</f>
        <v/>
      </c>
    </row>
    <row r="576">
      <c r="A576" s="23">
        <f>IFERROR(INDEX($R$17:$R$817,ROW()-16),"")</f>
        <v/>
      </c>
      <c r="B576">
        <f>IFERROR(INDEX($S$17:$S$817,ROW()-16),"")</f>
        <v/>
      </c>
      <c r="C576">
        <f>IFERROR(INDEX($W$17:$W$817,ROW()-16),"")</f>
        <v/>
      </c>
      <c r="D576">
        <f>IFERROR(INDEX($AA$17:$AA$817,ROW()-16),"")</f>
        <v/>
      </c>
    </row>
    <row r="577">
      <c r="A577" s="23">
        <f>IFERROR(INDEX($R$17:$R$817,ROW()-16),"")</f>
        <v/>
      </c>
      <c r="B577">
        <f>IFERROR(INDEX($S$17:$S$817,ROW()-16),"")</f>
        <v/>
      </c>
      <c r="C577">
        <f>IFERROR(INDEX($W$17:$W$817,ROW()-16),"")</f>
        <v/>
      </c>
      <c r="D577">
        <f>IFERROR(INDEX($AA$17:$AA$817,ROW()-16),"")</f>
        <v/>
      </c>
    </row>
    <row r="578">
      <c r="A578" s="23">
        <f>IFERROR(INDEX($R$17:$R$817,ROW()-16),"")</f>
        <v/>
      </c>
      <c r="B578">
        <f>IFERROR(INDEX($S$17:$S$817,ROW()-16),"")</f>
        <v/>
      </c>
      <c r="C578">
        <f>IFERROR(INDEX($W$17:$W$817,ROW()-16),"")</f>
        <v/>
      </c>
      <c r="D578">
        <f>IFERROR(INDEX($AA$17:$AA$817,ROW()-16),"")</f>
        <v/>
      </c>
    </row>
    <row r="579">
      <c r="A579" s="23">
        <f>IFERROR(INDEX($R$17:$R$817,ROW()-16),"")</f>
        <v/>
      </c>
      <c r="B579">
        <f>IFERROR(INDEX($S$17:$S$817,ROW()-16),"")</f>
        <v/>
      </c>
      <c r="C579">
        <f>IFERROR(INDEX($W$17:$W$817,ROW()-16),"")</f>
        <v/>
      </c>
      <c r="D579">
        <f>IFERROR(INDEX($AA$17:$AA$817,ROW()-16),"")</f>
        <v/>
      </c>
    </row>
    <row r="580">
      <c r="A580" s="23">
        <f>IFERROR(INDEX($R$17:$R$817,ROW()-16),"")</f>
        <v/>
      </c>
      <c r="B580">
        <f>IFERROR(INDEX($S$17:$S$817,ROW()-16),"")</f>
        <v/>
      </c>
      <c r="C580">
        <f>IFERROR(INDEX($W$17:$W$817,ROW()-16),"")</f>
        <v/>
      </c>
      <c r="D580">
        <f>IFERROR(INDEX($AA$17:$AA$817,ROW()-16),"")</f>
        <v/>
      </c>
    </row>
    <row r="581">
      <c r="A581" s="23">
        <f>IFERROR(INDEX($R$17:$R$817,ROW()-16),"")</f>
        <v/>
      </c>
      <c r="B581">
        <f>IFERROR(INDEX($S$17:$S$817,ROW()-16),"")</f>
        <v/>
      </c>
      <c r="C581">
        <f>IFERROR(INDEX($W$17:$W$817,ROW()-16),"")</f>
        <v/>
      </c>
      <c r="D581">
        <f>IFERROR(INDEX($AA$17:$AA$817,ROW()-16),"")</f>
        <v/>
      </c>
    </row>
    <row r="582">
      <c r="A582" s="23">
        <f>IFERROR(INDEX($R$17:$R$817,ROW()-16),"")</f>
        <v/>
      </c>
      <c r="B582">
        <f>IFERROR(INDEX($S$17:$S$817,ROW()-16),"")</f>
        <v/>
      </c>
      <c r="C582">
        <f>IFERROR(INDEX($W$17:$W$817,ROW()-16),"")</f>
        <v/>
      </c>
      <c r="D582">
        <f>IFERROR(INDEX($AA$17:$AA$817,ROW()-16),"")</f>
        <v/>
      </c>
    </row>
    <row r="583">
      <c r="A583" s="23">
        <f>IFERROR(INDEX($R$17:$R$817,ROW()-16),"")</f>
        <v/>
      </c>
      <c r="B583">
        <f>IFERROR(INDEX($S$17:$S$817,ROW()-16),"")</f>
        <v/>
      </c>
      <c r="C583">
        <f>IFERROR(INDEX($W$17:$W$817,ROW()-16),"")</f>
        <v/>
      </c>
      <c r="D583">
        <f>IFERROR(INDEX($AA$17:$AA$817,ROW()-16),"")</f>
        <v/>
      </c>
    </row>
    <row r="584">
      <c r="A584" s="23">
        <f>IFERROR(INDEX($R$17:$R$817,ROW()-16),"")</f>
        <v/>
      </c>
      <c r="B584">
        <f>IFERROR(INDEX($S$17:$S$817,ROW()-16),"")</f>
        <v/>
      </c>
      <c r="C584">
        <f>IFERROR(INDEX($W$17:$W$817,ROW()-16),"")</f>
        <v/>
      </c>
      <c r="D584">
        <f>IFERROR(INDEX($AA$17:$AA$817,ROW()-16),"")</f>
        <v/>
      </c>
    </row>
    <row r="585">
      <c r="A585" s="23">
        <f>IFERROR(INDEX($R$17:$R$817,ROW()-16),"")</f>
        <v/>
      </c>
      <c r="B585">
        <f>IFERROR(INDEX($S$17:$S$817,ROW()-16),"")</f>
        <v/>
      </c>
      <c r="C585">
        <f>IFERROR(INDEX($W$17:$W$817,ROW()-16),"")</f>
        <v/>
      </c>
      <c r="D585">
        <f>IFERROR(INDEX($AA$17:$AA$817,ROW()-16),"")</f>
        <v/>
      </c>
    </row>
    <row r="586">
      <c r="A586" s="23">
        <f>IFERROR(INDEX($R$17:$R$817,ROW()-16),"")</f>
        <v/>
      </c>
      <c r="B586">
        <f>IFERROR(INDEX($S$17:$S$817,ROW()-16),"")</f>
        <v/>
      </c>
      <c r="C586">
        <f>IFERROR(INDEX($W$17:$W$817,ROW()-16),"")</f>
        <v/>
      </c>
      <c r="D586">
        <f>IFERROR(INDEX($AA$17:$AA$817,ROW()-16),"")</f>
        <v/>
      </c>
    </row>
    <row r="587">
      <c r="A587" s="23">
        <f>IFERROR(INDEX($R$17:$R$817,ROW()-16),"")</f>
        <v/>
      </c>
      <c r="B587">
        <f>IFERROR(INDEX($S$17:$S$817,ROW()-16),"")</f>
        <v/>
      </c>
      <c r="C587">
        <f>IFERROR(INDEX($W$17:$W$817,ROW()-16),"")</f>
        <v/>
      </c>
      <c r="D587">
        <f>IFERROR(INDEX($AA$17:$AA$817,ROW()-16),"")</f>
        <v/>
      </c>
    </row>
    <row r="588">
      <c r="A588" s="23">
        <f>IFERROR(INDEX($R$17:$R$817,ROW()-16),"")</f>
        <v/>
      </c>
      <c r="B588">
        <f>IFERROR(INDEX($S$17:$S$817,ROW()-16),"")</f>
        <v/>
      </c>
      <c r="C588">
        <f>IFERROR(INDEX($W$17:$W$817,ROW()-16),"")</f>
        <v/>
      </c>
      <c r="D588">
        <f>IFERROR(INDEX($AA$17:$AA$817,ROW()-16),"")</f>
        <v/>
      </c>
    </row>
    <row r="589">
      <c r="A589" s="23">
        <f>IFERROR(INDEX($R$17:$R$817,ROW()-16),"")</f>
        <v/>
      </c>
      <c r="B589">
        <f>IFERROR(INDEX($S$17:$S$817,ROW()-16),"")</f>
        <v/>
      </c>
      <c r="C589">
        <f>IFERROR(INDEX($W$17:$W$817,ROW()-16),"")</f>
        <v/>
      </c>
      <c r="D589">
        <f>IFERROR(INDEX($AA$17:$AA$817,ROW()-16),"")</f>
        <v/>
      </c>
    </row>
    <row r="590">
      <c r="A590" s="23">
        <f>IFERROR(INDEX($R$17:$R$817,ROW()-16),"")</f>
        <v/>
      </c>
      <c r="B590">
        <f>IFERROR(INDEX($S$17:$S$817,ROW()-16),"")</f>
        <v/>
      </c>
      <c r="C590">
        <f>IFERROR(INDEX($W$17:$W$817,ROW()-16),"")</f>
        <v/>
      </c>
      <c r="D590">
        <f>IFERROR(INDEX($AA$17:$AA$817,ROW()-16),"")</f>
        <v/>
      </c>
    </row>
    <row r="591">
      <c r="A591" s="23">
        <f>IFERROR(INDEX($R$17:$R$817,ROW()-16),"")</f>
        <v/>
      </c>
      <c r="B591">
        <f>IFERROR(INDEX($S$17:$S$817,ROW()-16),"")</f>
        <v/>
      </c>
      <c r="C591">
        <f>IFERROR(INDEX($W$17:$W$817,ROW()-16),"")</f>
        <v/>
      </c>
      <c r="D591">
        <f>IFERROR(INDEX($AA$17:$AA$817,ROW()-16),"")</f>
        <v/>
      </c>
    </row>
    <row r="592">
      <c r="A592" s="23">
        <f>IFERROR(INDEX($R$17:$R$817,ROW()-16),"")</f>
        <v/>
      </c>
      <c r="B592">
        <f>IFERROR(INDEX($S$17:$S$817,ROW()-16),"")</f>
        <v/>
      </c>
      <c r="C592">
        <f>IFERROR(INDEX($W$17:$W$817,ROW()-16),"")</f>
        <v/>
      </c>
      <c r="D592">
        <f>IFERROR(INDEX($AA$17:$AA$817,ROW()-16),"")</f>
        <v/>
      </c>
    </row>
    <row r="593">
      <c r="A593" s="23">
        <f>IFERROR(INDEX($R$17:$R$817,ROW()-16),"")</f>
        <v/>
      </c>
      <c r="B593">
        <f>IFERROR(INDEX($S$17:$S$817,ROW()-16),"")</f>
        <v/>
      </c>
      <c r="C593">
        <f>IFERROR(INDEX($W$17:$W$817,ROW()-16),"")</f>
        <v/>
      </c>
      <c r="D593">
        <f>IFERROR(INDEX($AA$17:$AA$817,ROW()-16),"")</f>
        <v/>
      </c>
    </row>
    <row r="594">
      <c r="A594" s="23">
        <f>IFERROR(INDEX($R$17:$R$817,ROW()-16),"")</f>
        <v/>
      </c>
      <c r="B594">
        <f>IFERROR(INDEX($S$17:$S$817,ROW()-16),"")</f>
        <v/>
      </c>
      <c r="C594">
        <f>IFERROR(INDEX($W$17:$W$817,ROW()-16),"")</f>
        <v/>
      </c>
      <c r="D594">
        <f>IFERROR(INDEX($AA$17:$AA$817,ROW()-16),"")</f>
        <v/>
      </c>
    </row>
    <row r="595">
      <c r="A595" s="23">
        <f>IFERROR(INDEX($R$17:$R$817,ROW()-16),"")</f>
        <v/>
      </c>
      <c r="B595">
        <f>IFERROR(INDEX($S$17:$S$817,ROW()-16),"")</f>
        <v/>
      </c>
      <c r="C595">
        <f>IFERROR(INDEX($W$17:$W$817,ROW()-16),"")</f>
        <v/>
      </c>
      <c r="D595">
        <f>IFERROR(INDEX($AA$17:$AA$817,ROW()-16),"")</f>
        <v/>
      </c>
    </row>
    <row r="596">
      <c r="A596" s="23">
        <f>IFERROR(INDEX($R$17:$R$817,ROW()-16),"")</f>
        <v/>
      </c>
      <c r="B596">
        <f>IFERROR(INDEX($S$17:$S$817,ROW()-16),"")</f>
        <v/>
      </c>
      <c r="C596">
        <f>IFERROR(INDEX($W$17:$W$817,ROW()-16),"")</f>
        <v/>
      </c>
      <c r="D596">
        <f>IFERROR(INDEX($AA$17:$AA$817,ROW()-16),"")</f>
        <v/>
      </c>
    </row>
    <row r="597">
      <c r="A597" s="23">
        <f>IFERROR(INDEX($R$17:$R$817,ROW()-16),"")</f>
        <v/>
      </c>
      <c r="B597">
        <f>IFERROR(INDEX($S$17:$S$817,ROW()-16),"")</f>
        <v/>
      </c>
      <c r="C597">
        <f>IFERROR(INDEX($W$17:$W$817,ROW()-16),"")</f>
        <v/>
      </c>
      <c r="D597">
        <f>IFERROR(INDEX($AA$17:$AA$817,ROW()-16),"")</f>
        <v/>
      </c>
    </row>
    <row r="598">
      <c r="A598" s="23">
        <f>IFERROR(INDEX($R$17:$R$817,ROW()-16),"")</f>
        <v/>
      </c>
      <c r="B598">
        <f>IFERROR(INDEX($S$17:$S$817,ROW()-16),"")</f>
        <v/>
      </c>
      <c r="C598">
        <f>IFERROR(INDEX($W$17:$W$817,ROW()-16),"")</f>
        <v/>
      </c>
      <c r="D598">
        <f>IFERROR(INDEX($AA$17:$AA$817,ROW()-16),"")</f>
        <v/>
      </c>
    </row>
    <row r="599">
      <c r="A599" s="23">
        <f>IFERROR(INDEX($R$17:$R$817,ROW()-16),"")</f>
        <v/>
      </c>
      <c r="B599">
        <f>IFERROR(INDEX($S$17:$S$817,ROW()-16),"")</f>
        <v/>
      </c>
      <c r="C599">
        <f>IFERROR(INDEX($W$17:$W$817,ROW()-16),"")</f>
        <v/>
      </c>
      <c r="D599">
        <f>IFERROR(INDEX($AA$17:$AA$817,ROW()-16),"")</f>
        <v/>
      </c>
    </row>
    <row r="600">
      <c r="A600" s="23">
        <f>IFERROR(INDEX($R$17:$R$817,ROW()-16),"")</f>
        <v/>
      </c>
      <c r="B600">
        <f>IFERROR(INDEX($S$17:$S$817,ROW()-16),"")</f>
        <v/>
      </c>
      <c r="C600">
        <f>IFERROR(INDEX($W$17:$W$817,ROW()-16),"")</f>
        <v/>
      </c>
      <c r="D600">
        <f>IFERROR(INDEX($AA$17:$AA$817,ROW()-16),"")</f>
        <v/>
      </c>
    </row>
    <row r="601">
      <c r="A601" s="23">
        <f>IFERROR(INDEX($R$17:$R$817,ROW()-16),"")</f>
        <v/>
      </c>
      <c r="B601">
        <f>IFERROR(INDEX($S$17:$S$817,ROW()-16),"")</f>
        <v/>
      </c>
      <c r="C601">
        <f>IFERROR(INDEX($W$17:$W$817,ROW()-16),"")</f>
        <v/>
      </c>
      <c r="D601">
        <f>IFERROR(INDEX($AA$17:$AA$817,ROW()-16),"")</f>
        <v/>
      </c>
    </row>
    <row r="602">
      <c r="A602" s="23">
        <f>IFERROR(INDEX($R$17:$R$817,ROW()-16),"")</f>
        <v/>
      </c>
      <c r="B602">
        <f>IFERROR(INDEX($S$17:$S$817,ROW()-16),"")</f>
        <v/>
      </c>
      <c r="C602">
        <f>IFERROR(INDEX($W$17:$W$817,ROW()-16),"")</f>
        <v/>
      </c>
      <c r="D602">
        <f>IFERROR(INDEX($AA$17:$AA$817,ROW()-16),"")</f>
        <v/>
      </c>
    </row>
    <row r="603">
      <c r="A603" s="23">
        <f>IFERROR(INDEX($R$17:$R$817,ROW()-16),"")</f>
        <v/>
      </c>
      <c r="B603">
        <f>IFERROR(INDEX($S$17:$S$817,ROW()-16),"")</f>
        <v/>
      </c>
      <c r="C603">
        <f>IFERROR(INDEX($W$17:$W$817,ROW()-16),"")</f>
        <v/>
      </c>
      <c r="D603">
        <f>IFERROR(INDEX($AA$17:$AA$817,ROW()-16),"")</f>
        <v/>
      </c>
    </row>
    <row r="604">
      <c r="A604" s="23">
        <f>IFERROR(INDEX($R$17:$R$817,ROW()-16),"")</f>
        <v/>
      </c>
      <c r="B604">
        <f>IFERROR(INDEX($S$17:$S$817,ROW()-16),"")</f>
        <v/>
      </c>
      <c r="C604">
        <f>IFERROR(INDEX($W$17:$W$817,ROW()-16),"")</f>
        <v/>
      </c>
      <c r="D604">
        <f>IFERROR(INDEX($AA$17:$AA$817,ROW()-16),"")</f>
        <v/>
      </c>
    </row>
    <row r="605">
      <c r="A605" s="23">
        <f>IFERROR(INDEX($R$17:$R$817,ROW()-16),"")</f>
        <v/>
      </c>
      <c r="B605">
        <f>IFERROR(INDEX($S$17:$S$817,ROW()-16),"")</f>
        <v/>
      </c>
      <c r="C605">
        <f>IFERROR(INDEX($W$17:$W$817,ROW()-16),"")</f>
        <v/>
      </c>
      <c r="D605">
        <f>IFERROR(INDEX($AA$17:$AA$817,ROW()-16),"")</f>
        <v/>
      </c>
    </row>
    <row r="606">
      <c r="A606" s="23">
        <f>IFERROR(INDEX($R$17:$R$817,ROW()-16),"")</f>
        <v/>
      </c>
      <c r="B606">
        <f>IFERROR(INDEX($S$17:$S$817,ROW()-16),"")</f>
        <v/>
      </c>
      <c r="C606">
        <f>IFERROR(INDEX($W$17:$W$817,ROW()-16),"")</f>
        <v/>
      </c>
      <c r="D606">
        <f>IFERROR(INDEX($AA$17:$AA$817,ROW()-16),"")</f>
        <v/>
      </c>
    </row>
    <row r="607">
      <c r="A607" s="23">
        <f>IFERROR(INDEX($R$17:$R$817,ROW()-16),"")</f>
        <v/>
      </c>
      <c r="B607">
        <f>IFERROR(INDEX($S$17:$S$817,ROW()-16),"")</f>
        <v/>
      </c>
      <c r="C607">
        <f>IFERROR(INDEX($W$17:$W$817,ROW()-16),"")</f>
        <v/>
      </c>
      <c r="D607">
        <f>IFERROR(INDEX($AA$17:$AA$817,ROW()-16),"")</f>
        <v/>
      </c>
    </row>
    <row r="608">
      <c r="A608" s="23">
        <f>IFERROR(INDEX($R$17:$R$817,ROW()-16),"")</f>
        <v/>
      </c>
      <c r="B608">
        <f>IFERROR(INDEX($S$17:$S$817,ROW()-16),"")</f>
        <v/>
      </c>
      <c r="C608">
        <f>IFERROR(INDEX($W$17:$W$817,ROW()-16),"")</f>
        <v/>
      </c>
      <c r="D608">
        <f>IFERROR(INDEX($AA$17:$AA$817,ROW()-16),"")</f>
        <v/>
      </c>
    </row>
    <row r="609">
      <c r="A609" s="23">
        <f>IFERROR(INDEX($R$17:$R$817,ROW()-16),"")</f>
        <v/>
      </c>
      <c r="B609">
        <f>IFERROR(INDEX($S$17:$S$817,ROW()-16),"")</f>
        <v/>
      </c>
      <c r="C609">
        <f>IFERROR(INDEX($W$17:$W$817,ROW()-16),"")</f>
        <v/>
      </c>
      <c r="D609">
        <f>IFERROR(INDEX($AA$17:$AA$817,ROW()-16),"")</f>
        <v/>
      </c>
    </row>
    <row r="610">
      <c r="A610" s="23">
        <f>IFERROR(INDEX($R$17:$R$817,ROW()-16),"")</f>
        <v/>
      </c>
      <c r="B610">
        <f>IFERROR(INDEX($S$17:$S$817,ROW()-16),"")</f>
        <v/>
      </c>
      <c r="C610">
        <f>IFERROR(INDEX($W$17:$W$817,ROW()-16),"")</f>
        <v/>
      </c>
      <c r="D610">
        <f>IFERROR(INDEX($AA$17:$AA$817,ROW()-16),"")</f>
        <v/>
      </c>
    </row>
    <row r="611">
      <c r="A611" s="23">
        <f>IFERROR(INDEX($R$17:$R$817,ROW()-16),"")</f>
        <v/>
      </c>
      <c r="B611">
        <f>IFERROR(INDEX($S$17:$S$817,ROW()-16),"")</f>
        <v/>
      </c>
      <c r="C611">
        <f>IFERROR(INDEX($W$17:$W$817,ROW()-16),"")</f>
        <v/>
      </c>
      <c r="D611">
        <f>IFERROR(INDEX($AA$17:$AA$817,ROW()-16),"")</f>
        <v/>
      </c>
    </row>
    <row r="612">
      <c r="A612" s="23">
        <f>IFERROR(INDEX($R$17:$R$817,ROW()-16),"")</f>
        <v/>
      </c>
      <c r="B612">
        <f>IFERROR(INDEX($S$17:$S$817,ROW()-16),"")</f>
        <v/>
      </c>
      <c r="C612">
        <f>IFERROR(INDEX($W$17:$W$817,ROW()-16),"")</f>
        <v/>
      </c>
      <c r="D612">
        <f>IFERROR(INDEX($AA$17:$AA$817,ROW()-16),"")</f>
        <v/>
      </c>
    </row>
    <row r="613">
      <c r="A613" s="23">
        <f>IFERROR(INDEX($R$17:$R$817,ROW()-16),"")</f>
        <v/>
      </c>
      <c r="B613">
        <f>IFERROR(INDEX($S$17:$S$817,ROW()-16),"")</f>
        <v/>
      </c>
      <c r="C613">
        <f>IFERROR(INDEX($W$17:$W$817,ROW()-16),"")</f>
        <v/>
      </c>
      <c r="D613">
        <f>IFERROR(INDEX($AA$17:$AA$817,ROW()-16),"")</f>
        <v/>
      </c>
    </row>
    <row r="614">
      <c r="A614" s="23">
        <f>IFERROR(INDEX($R$17:$R$817,ROW()-16),"")</f>
        <v/>
      </c>
      <c r="B614">
        <f>IFERROR(INDEX($S$17:$S$817,ROW()-16),"")</f>
        <v/>
      </c>
      <c r="C614">
        <f>IFERROR(INDEX($W$17:$W$817,ROW()-16),"")</f>
        <v/>
      </c>
      <c r="D614">
        <f>IFERROR(INDEX($AA$17:$AA$817,ROW()-16),"")</f>
        <v/>
      </c>
    </row>
    <row r="615">
      <c r="A615" s="23">
        <f>IFERROR(INDEX($R$17:$R$817,ROW()-16),"")</f>
        <v/>
      </c>
      <c r="B615">
        <f>IFERROR(INDEX($S$17:$S$817,ROW()-16),"")</f>
        <v/>
      </c>
      <c r="C615">
        <f>IFERROR(INDEX($W$17:$W$817,ROW()-16),"")</f>
        <v/>
      </c>
      <c r="D615">
        <f>IFERROR(INDEX($AA$17:$AA$817,ROW()-16),"")</f>
        <v/>
      </c>
    </row>
    <row r="616">
      <c r="A616" s="23">
        <f>IFERROR(INDEX($R$17:$R$817,ROW()-16),"")</f>
        <v/>
      </c>
      <c r="B616">
        <f>IFERROR(INDEX($S$17:$S$817,ROW()-16),"")</f>
        <v/>
      </c>
      <c r="C616">
        <f>IFERROR(INDEX($W$17:$W$817,ROW()-16),"")</f>
        <v/>
      </c>
      <c r="D616">
        <f>IFERROR(INDEX($AA$17:$AA$817,ROW()-16),"")</f>
        <v/>
      </c>
    </row>
    <row r="617">
      <c r="A617" s="23">
        <f>IFERROR(INDEX($R$17:$R$817,ROW()-16),"")</f>
        <v/>
      </c>
      <c r="B617">
        <f>IFERROR(INDEX($S$17:$S$817,ROW()-16),"")</f>
        <v/>
      </c>
      <c r="C617">
        <f>IFERROR(INDEX($W$17:$W$817,ROW()-16),"")</f>
        <v/>
      </c>
      <c r="D617">
        <f>IFERROR(INDEX($AA$17:$AA$817,ROW()-16),"")</f>
        <v/>
      </c>
    </row>
    <row r="618">
      <c r="A618" s="23">
        <f>IFERROR(INDEX($R$17:$R$817,ROW()-16),"")</f>
        <v/>
      </c>
      <c r="B618">
        <f>IFERROR(INDEX($S$17:$S$817,ROW()-16),"")</f>
        <v/>
      </c>
      <c r="C618">
        <f>IFERROR(INDEX($W$17:$W$817,ROW()-16),"")</f>
        <v/>
      </c>
      <c r="D618">
        <f>IFERROR(INDEX($AA$17:$AA$817,ROW()-16),"")</f>
        <v/>
      </c>
    </row>
    <row r="619">
      <c r="A619" s="23">
        <f>IFERROR(INDEX($R$17:$R$817,ROW()-16),"")</f>
        <v/>
      </c>
      <c r="B619">
        <f>IFERROR(INDEX($S$17:$S$817,ROW()-16),"")</f>
        <v/>
      </c>
      <c r="C619">
        <f>IFERROR(INDEX($W$17:$W$817,ROW()-16),"")</f>
        <v/>
      </c>
      <c r="D619">
        <f>IFERROR(INDEX($AA$17:$AA$817,ROW()-16),"")</f>
        <v/>
      </c>
    </row>
    <row r="620">
      <c r="A620" s="23">
        <f>IFERROR(INDEX($R$17:$R$817,ROW()-16),"")</f>
        <v/>
      </c>
      <c r="B620">
        <f>IFERROR(INDEX($S$17:$S$817,ROW()-16),"")</f>
        <v/>
      </c>
      <c r="C620">
        <f>IFERROR(INDEX($W$17:$W$817,ROW()-16),"")</f>
        <v/>
      </c>
      <c r="D620">
        <f>IFERROR(INDEX($AA$17:$AA$817,ROW()-16),"")</f>
        <v/>
      </c>
    </row>
    <row r="621">
      <c r="A621" s="23">
        <f>IFERROR(INDEX($R$17:$R$817,ROW()-16),"")</f>
        <v/>
      </c>
      <c r="B621">
        <f>IFERROR(INDEX($S$17:$S$817,ROW()-16),"")</f>
        <v/>
      </c>
      <c r="C621">
        <f>IFERROR(INDEX($W$17:$W$817,ROW()-16),"")</f>
        <v/>
      </c>
      <c r="D621">
        <f>IFERROR(INDEX($AA$17:$AA$817,ROW()-16),"")</f>
        <v/>
      </c>
    </row>
    <row r="622">
      <c r="A622" s="23">
        <f>IFERROR(INDEX($R$17:$R$817,ROW()-16),"")</f>
        <v/>
      </c>
      <c r="B622">
        <f>IFERROR(INDEX($S$17:$S$817,ROW()-16),"")</f>
        <v/>
      </c>
      <c r="C622">
        <f>IFERROR(INDEX($W$17:$W$817,ROW()-16),"")</f>
        <v/>
      </c>
      <c r="D622">
        <f>IFERROR(INDEX($AA$17:$AA$817,ROW()-16),"")</f>
        <v/>
      </c>
    </row>
    <row r="623">
      <c r="A623" s="23">
        <f>IFERROR(INDEX($R$17:$R$817,ROW()-16),"")</f>
        <v/>
      </c>
      <c r="B623">
        <f>IFERROR(INDEX($S$17:$S$817,ROW()-16),"")</f>
        <v/>
      </c>
      <c r="C623">
        <f>IFERROR(INDEX($W$17:$W$817,ROW()-16),"")</f>
        <v/>
      </c>
      <c r="D623">
        <f>IFERROR(INDEX($AA$17:$AA$817,ROW()-16),"")</f>
        <v/>
      </c>
    </row>
    <row r="624">
      <c r="A624" s="23">
        <f>IFERROR(INDEX($R$17:$R$817,ROW()-16),"")</f>
        <v/>
      </c>
      <c r="B624">
        <f>IFERROR(INDEX($S$17:$S$817,ROW()-16),"")</f>
        <v/>
      </c>
      <c r="C624">
        <f>IFERROR(INDEX($W$17:$W$817,ROW()-16),"")</f>
        <v/>
      </c>
      <c r="D624">
        <f>IFERROR(INDEX($AA$17:$AA$817,ROW()-16),"")</f>
        <v/>
      </c>
    </row>
    <row r="625">
      <c r="A625" s="23">
        <f>IFERROR(INDEX($R$17:$R$817,ROW()-16),"")</f>
        <v/>
      </c>
      <c r="B625">
        <f>IFERROR(INDEX($S$17:$S$817,ROW()-16),"")</f>
        <v/>
      </c>
      <c r="C625">
        <f>IFERROR(INDEX($W$17:$W$817,ROW()-16),"")</f>
        <v/>
      </c>
      <c r="D625">
        <f>IFERROR(INDEX($AA$17:$AA$817,ROW()-16),"")</f>
        <v/>
      </c>
    </row>
    <row r="626">
      <c r="A626" s="23">
        <f>IFERROR(INDEX($R$17:$R$817,ROW()-16),"")</f>
        <v/>
      </c>
      <c r="B626">
        <f>IFERROR(INDEX($S$17:$S$817,ROW()-16),"")</f>
        <v/>
      </c>
      <c r="C626">
        <f>IFERROR(INDEX($W$17:$W$817,ROW()-16),"")</f>
        <v/>
      </c>
      <c r="D626">
        <f>IFERROR(INDEX($AA$17:$AA$817,ROW()-16),"")</f>
        <v/>
      </c>
    </row>
    <row r="627">
      <c r="A627" s="23">
        <f>IFERROR(INDEX($R$17:$R$817,ROW()-16),"")</f>
        <v/>
      </c>
      <c r="B627">
        <f>IFERROR(INDEX($S$17:$S$817,ROW()-16),"")</f>
        <v/>
      </c>
      <c r="C627">
        <f>IFERROR(INDEX($W$17:$W$817,ROW()-16),"")</f>
        <v/>
      </c>
      <c r="D627">
        <f>IFERROR(INDEX($AA$17:$AA$817,ROW()-16),"")</f>
        <v/>
      </c>
    </row>
    <row r="628">
      <c r="A628" s="23">
        <f>IFERROR(INDEX($R$17:$R$817,ROW()-16),"")</f>
        <v/>
      </c>
      <c r="B628">
        <f>IFERROR(INDEX($S$17:$S$817,ROW()-16),"")</f>
        <v/>
      </c>
      <c r="C628">
        <f>IFERROR(INDEX($W$17:$W$817,ROW()-16),"")</f>
        <v/>
      </c>
      <c r="D628">
        <f>IFERROR(INDEX($AA$17:$AA$817,ROW()-16),"")</f>
        <v/>
      </c>
    </row>
    <row r="629">
      <c r="A629" s="23">
        <f>IFERROR(INDEX($R$17:$R$817,ROW()-16),"")</f>
        <v/>
      </c>
      <c r="B629">
        <f>IFERROR(INDEX($S$17:$S$817,ROW()-16),"")</f>
        <v/>
      </c>
      <c r="C629">
        <f>IFERROR(INDEX($W$17:$W$817,ROW()-16),"")</f>
        <v/>
      </c>
      <c r="D629">
        <f>IFERROR(INDEX($AA$17:$AA$817,ROW()-16),"")</f>
        <v/>
      </c>
    </row>
    <row r="630">
      <c r="A630" s="23">
        <f>IFERROR(INDEX($R$17:$R$817,ROW()-16),"")</f>
        <v/>
      </c>
      <c r="B630">
        <f>IFERROR(INDEX($S$17:$S$817,ROW()-16),"")</f>
        <v/>
      </c>
      <c r="C630">
        <f>IFERROR(INDEX($W$17:$W$817,ROW()-16),"")</f>
        <v/>
      </c>
      <c r="D630">
        <f>IFERROR(INDEX($AA$17:$AA$817,ROW()-16),"")</f>
        <v/>
      </c>
    </row>
    <row r="631">
      <c r="A631" s="23">
        <f>IFERROR(INDEX($R$17:$R$817,ROW()-16),"")</f>
        <v/>
      </c>
      <c r="B631">
        <f>IFERROR(INDEX($S$17:$S$817,ROW()-16),"")</f>
        <v/>
      </c>
      <c r="C631">
        <f>IFERROR(INDEX($W$17:$W$817,ROW()-16),"")</f>
        <v/>
      </c>
      <c r="D631">
        <f>IFERROR(INDEX($AA$17:$AA$817,ROW()-16),"")</f>
        <v/>
      </c>
    </row>
    <row r="632">
      <c r="A632" s="23">
        <f>IFERROR(INDEX($R$17:$R$817,ROW()-16),"")</f>
        <v/>
      </c>
      <c r="B632">
        <f>IFERROR(INDEX($S$17:$S$817,ROW()-16),"")</f>
        <v/>
      </c>
      <c r="C632">
        <f>IFERROR(INDEX($W$17:$W$817,ROW()-16),"")</f>
        <v/>
      </c>
      <c r="D632">
        <f>IFERROR(INDEX($AA$17:$AA$817,ROW()-16),"")</f>
        <v/>
      </c>
    </row>
    <row r="633">
      <c r="A633" s="23">
        <f>IFERROR(INDEX($R$17:$R$817,ROW()-16),"")</f>
        <v/>
      </c>
      <c r="B633">
        <f>IFERROR(INDEX($S$17:$S$817,ROW()-16),"")</f>
        <v/>
      </c>
      <c r="C633">
        <f>IFERROR(INDEX($W$17:$W$817,ROW()-16),"")</f>
        <v/>
      </c>
      <c r="D633">
        <f>IFERROR(INDEX($AA$17:$AA$817,ROW()-16),"")</f>
        <v/>
      </c>
    </row>
    <row r="634">
      <c r="A634" s="23">
        <f>IFERROR(INDEX($R$17:$R$817,ROW()-16),"")</f>
        <v/>
      </c>
      <c r="B634">
        <f>IFERROR(INDEX($S$17:$S$817,ROW()-16),"")</f>
        <v/>
      </c>
      <c r="C634">
        <f>IFERROR(INDEX($W$17:$W$817,ROW()-16),"")</f>
        <v/>
      </c>
      <c r="D634">
        <f>IFERROR(INDEX($AA$17:$AA$817,ROW()-16),"")</f>
        <v/>
      </c>
    </row>
    <row r="635">
      <c r="A635" s="23">
        <f>IFERROR(INDEX($R$17:$R$817,ROW()-16),"")</f>
        <v/>
      </c>
      <c r="B635">
        <f>IFERROR(INDEX($S$17:$S$817,ROW()-16),"")</f>
        <v/>
      </c>
      <c r="C635">
        <f>IFERROR(INDEX($W$17:$W$817,ROW()-16),"")</f>
        <v/>
      </c>
      <c r="D635">
        <f>IFERROR(INDEX($AA$17:$AA$817,ROW()-16),"")</f>
        <v/>
      </c>
    </row>
    <row r="636">
      <c r="A636" s="23">
        <f>IFERROR(INDEX($R$17:$R$817,ROW()-16),"")</f>
        <v/>
      </c>
      <c r="B636">
        <f>IFERROR(INDEX($S$17:$S$817,ROW()-16),"")</f>
        <v/>
      </c>
      <c r="C636">
        <f>IFERROR(INDEX($W$17:$W$817,ROW()-16),"")</f>
        <v/>
      </c>
      <c r="D636">
        <f>IFERROR(INDEX($AA$17:$AA$817,ROW()-16),"")</f>
        <v/>
      </c>
    </row>
    <row r="637">
      <c r="A637" s="23">
        <f>IFERROR(INDEX($R$17:$R$817,ROW()-16),"")</f>
        <v/>
      </c>
      <c r="B637">
        <f>IFERROR(INDEX($S$17:$S$817,ROW()-16),"")</f>
        <v/>
      </c>
      <c r="C637">
        <f>IFERROR(INDEX($W$17:$W$817,ROW()-16),"")</f>
        <v/>
      </c>
      <c r="D637">
        <f>IFERROR(INDEX($AA$17:$AA$817,ROW()-16),"")</f>
        <v/>
      </c>
    </row>
    <row r="638">
      <c r="A638" s="23">
        <f>IFERROR(INDEX($R$17:$R$817,ROW()-16),"")</f>
        <v/>
      </c>
      <c r="B638">
        <f>IFERROR(INDEX($S$17:$S$817,ROW()-16),"")</f>
        <v/>
      </c>
      <c r="C638">
        <f>IFERROR(INDEX($W$17:$W$817,ROW()-16),"")</f>
        <v/>
      </c>
      <c r="D638">
        <f>IFERROR(INDEX($AA$17:$AA$817,ROW()-16),"")</f>
        <v/>
      </c>
    </row>
    <row r="639">
      <c r="A639" s="23">
        <f>IFERROR(INDEX($R$17:$R$817,ROW()-16),"")</f>
        <v/>
      </c>
      <c r="B639">
        <f>IFERROR(INDEX($S$17:$S$817,ROW()-16),"")</f>
        <v/>
      </c>
      <c r="C639">
        <f>IFERROR(INDEX($W$17:$W$817,ROW()-16),"")</f>
        <v/>
      </c>
      <c r="D639">
        <f>IFERROR(INDEX($AA$17:$AA$817,ROW()-16),"")</f>
        <v/>
      </c>
    </row>
    <row r="640">
      <c r="A640" s="23">
        <f>IFERROR(INDEX($R$17:$R$817,ROW()-16),"")</f>
        <v/>
      </c>
      <c r="B640">
        <f>IFERROR(INDEX($S$17:$S$817,ROW()-16),"")</f>
        <v/>
      </c>
      <c r="C640">
        <f>IFERROR(INDEX($W$17:$W$817,ROW()-16),"")</f>
        <v/>
      </c>
      <c r="D640">
        <f>IFERROR(INDEX($AA$17:$AA$817,ROW()-16),"")</f>
        <v/>
      </c>
    </row>
    <row r="641">
      <c r="A641" s="23">
        <f>IFERROR(INDEX($R$17:$R$817,ROW()-16),"")</f>
        <v/>
      </c>
      <c r="B641">
        <f>IFERROR(INDEX($S$17:$S$817,ROW()-16),"")</f>
        <v/>
      </c>
      <c r="C641">
        <f>IFERROR(INDEX($W$17:$W$817,ROW()-16),"")</f>
        <v/>
      </c>
      <c r="D641">
        <f>IFERROR(INDEX($AA$17:$AA$817,ROW()-16),"")</f>
        <v/>
      </c>
    </row>
    <row r="642">
      <c r="A642" s="23">
        <f>IFERROR(INDEX($R$17:$R$817,ROW()-16),"")</f>
        <v/>
      </c>
      <c r="B642">
        <f>IFERROR(INDEX($S$17:$S$817,ROW()-16),"")</f>
        <v/>
      </c>
      <c r="C642">
        <f>IFERROR(INDEX($W$17:$W$817,ROW()-16),"")</f>
        <v/>
      </c>
      <c r="D642">
        <f>IFERROR(INDEX($AA$17:$AA$817,ROW()-16),"")</f>
        <v/>
      </c>
    </row>
    <row r="643">
      <c r="A643" s="23">
        <f>IFERROR(INDEX($R$17:$R$817,ROW()-16),"")</f>
        <v/>
      </c>
      <c r="B643">
        <f>IFERROR(INDEX($S$17:$S$817,ROW()-16),"")</f>
        <v/>
      </c>
      <c r="C643">
        <f>IFERROR(INDEX($W$17:$W$817,ROW()-16),"")</f>
        <v/>
      </c>
      <c r="D643">
        <f>IFERROR(INDEX($AA$17:$AA$817,ROW()-16),"")</f>
        <v/>
      </c>
    </row>
    <row r="644">
      <c r="A644" s="23">
        <f>IFERROR(INDEX($R$17:$R$817,ROW()-16),"")</f>
        <v/>
      </c>
      <c r="B644">
        <f>IFERROR(INDEX($S$17:$S$817,ROW()-16),"")</f>
        <v/>
      </c>
      <c r="C644">
        <f>IFERROR(INDEX($W$17:$W$817,ROW()-16),"")</f>
        <v/>
      </c>
      <c r="D644">
        <f>IFERROR(INDEX($AA$17:$AA$817,ROW()-16),"")</f>
        <v/>
      </c>
    </row>
    <row r="645">
      <c r="A645" s="23">
        <f>IFERROR(INDEX($R$17:$R$817,ROW()-16),"")</f>
        <v/>
      </c>
      <c r="B645">
        <f>IFERROR(INDEX($S$17:$S$817,ROW()-16),"")</f>
        <v/>
      </c>
      <c r="C645">
        <f>IFERROR(INDEX($W$17:$W$817,ROW()-16),"")</f>
        <v/>
      </c>
      <c r="D645">
        <f>IFERROR(INDEX($AA$17:$AA$817,ROW()-16),"")</f>
        <v/>
      </c>
    </row>
    <row r="646">
      <c r="A646" s="23">
        <f>IFERROR(INDEX($R$17:$R$817,ROW()-16),"")</f>
        <v/>
      </c>
      <c r="B646">
        <f>IFERROR(INDEX($S$17:$S$817,ROW()-16),"")</f>
        <v/>
      </c>
      <c r="C646">
        <f>IFERROR(INDEX($W$17:$W$817,ROW()-16),"")</f>
        <v/>
      </c>
      <c r="D646">
        <f>IFERROR(INDEX($AA$17:$AA$817,ROW()-16),"")</f>
        <v/>
      </c>
    </row>
    <row r="647">
      <c r="A647" s="23">
        <f>IFERROR(INDEX($R$17:$R$817,ROW()-16),"")</f>
        <v/>
      </c>
      <c r="B647">
        <f>IFERROR(INDEX($S$17:$S$817,ROW()-16),"")</f>
        <v/>
      </c>
      <c r="C647">
        <f>IFERROR(INDEX($W$17:$W$817,ROW()-16),"")</f>
        <v/>
      </c>
      <c r="D647">
        <f>IFERROR(INDEX($AA$17:$AA$817,ROW()-16),"")</f>
        <v/>
      </c>
    </row>
    <row r="648">
      <c r="A648" s="23">
        <f>IFERROR(INDEX($R$17:$R$817,ROW()-16),"")</f>
        <v/>
      </c>
      <c r="B648">
        <f>IFERROR(INDEX($S$17:$S$817,ROW()-16),"")</f>
        <v/>
      </c>
      <c r="C648">
        <f>IFERROR(INDEX($W$17:$W$817,ROW()-16),"")</f>
        <v/>
      </c>
      <c r="D648">
        <f>IFERROR(INDEX($AA$17:$AA$817,ROW()-16),"")</f>
        <v/>
      </c>
    </row>
    <row r="649">
      <c r="A649" s="23">
        <f>IFERROR(INDEX($R$17:$R$817,ROW()-16),"")</f>
        <v/>
      </c>
      <c r="B649">
        <f>IFERROR(INDEX($S$17:$S$817,ROW()-16),"")</f>
        <v/>
      </c>
      <c r="C649">
        <f>IFERROR(INDEX($W$17:$W$817,ROW()-16),"")</f>
        <v/>
      </c>
      <c r="D649">
        <f>IFERROR(INDEX($AA$17:$AA$817,ROW()-16),"")</f>
        <v/>
      </c>
    </row>
    <row r="650">
      <c r="A650" s="23">
        <f>IFERROR(INDEX($R$17:$R$817,ROW()-16),"")</f>
        <v/>
      </c>
      <c r="B650">
        <f>IFERROR(INDEX($S$17:$S$817,ROW()-16),"")</f>
        <v/>
      </c>
      <c r="C650">
        <f>IFERROR(INDEX($W$17:$W$817,ROW()-16),"")</f>
        <v/>
      </c>
      <c r="D650">
        <f>IFERROR(INDEX($AA$17:$AA$817,ROW()-16),"")</f>
        <v/>
      </c>
    </row>
    <row r="651">
      <c r="A651" s="23">
        <f>IFERROR(INDEX($R$17:$R$817,ROW()-16),"")</f>
        <v/>
      </c>
      <c r="B651">
        <f>IFERROR(INDEX($S$17:$S$817,ROW()-16),"")</f>
        <v/>
      </c>
      <c r="C651">
        <f>IFERROR(INDEX($W$17:$W$817,ROW()-16),"")</f>
        <v/>
      </c>
      <c r="D651">
        <f>IFERROR(INDEX($AA$17:$AA$817,ROW()-16),"")</f>
        <v/>
      </c>
    </row>
    <row r="652">
      <c r="A652" s="23">
        <f>IFERROR(INDEX($R$17:$R$817,ROW()-16),"")</f>
        <v/>
      </c>
      <c r="B652">
        <f>IFERROR(INDEX($S$17:$S$817,ROW()-16),"")</f>
        <v/>
      </c>
      <c r="C652">
        <f>IFERROR(INDEX($W$17:$W$817,ROW()-16),"")</f>
        <v/>
      </c>
      <c r="D652">
        <f>IFERROR(INDEX($AA$17:$AA$817,ROW()-16),"")</f>
        <v/>
      </c>
    </row>
    <row r="653">
      <c r="A653" s="23">
        <f>IFERROR(INDEX($R$17:$R$817,ROW()-16),"")</f>
        <v/>
      </c>
      <c r="B653">
        <f>IFERROR(INDEX($S$17:$S$817,ROW()-16),"")</f>
        <v/>
      </c>
      <c r="C653">
        <f>IFERROR(INDEX($W$17:$W$817,ROW()-16),"")</f>
        <v/>
      </c>
      <c r="D653">
        <f>IFERROR(INDEX($AA$17:$AA$817,ROW()-16),"")</f>
        <v/>
      </c>
    </row>
    <row r="654">
      <c r="A654" s="23">
        <f>IFERROR(INDEX($R$17:$R$817,ROW()-16),"")</f>
        <v/>
      </c>
      <c r="B654">
        <f>IFERROR(INDEX($S$17:$S$817,ROW()-16),"")</f>
        <v/>
      </c>
      <c r="C654">
        <f>IFERROR(INDEX($W$17:$W$817,ROW()-16),"")</f>
        <v/>
      </c>
      <c r="D654">
        <f>IFERROR(INDEX($AA$17:$AA$817,ROW()-16),"")</f>
        <v/>
      </c>
    </row>
    <row r="655">
      <c r="A655" s="23">
        <f>IFERROR(INDEX($R$17:$R$817,ROW()-16),"")</f>
        <v/>
      </c>
      <c r="B655">
        <f>IFERROR(INDEX($S$17:$S$817,ROW()-16),"")</f>
        <v/>
      </c>
      <c r="C655">
        <f>IFERROR(INDEX($W$17:$W$817,ROW()-16),"")</f>
        <v/>
      </c>
      <c r="D655">
        <f>IFERROR(INDEX($AA$17:$AA$817,ROW()-16),"")</f>
        <v/>
      </c>
    </row>
    <row r="656">
      <c r="A656" s="23">
        <f>IFERROR(INDEX($R$17:$R$817,ROW()-16),"")</f>
        <v/>
      </c>
      <c r="B656">
        <f>IFERROR(INDEX($S$17:$S$817,ROW()-16),"")</f>
        <v/>
      </c>
      <c r="C656">
        <f>IFERROR(INDEX($W$17:$W$817,ROW()-16),"")</f>
        <v/>
      </c>
      <c r="D656">
        <f>IFERROR(INDEX($AA$17:$AA$817,ROW()-16),"")</f>
        <v/>
      </c>
    </row>
    <row r="657">
      <c r="A657" s="23">
        <f>IFERROR(INDEX($R$17:$R$817,ROW()-16),"")</f>
        <v/>
      </c>
      <c r="B657">
        <f>IFERROR(INDEX($S$17:$S$817,ROW()-16),"")</f>
        <v/>
      </c>
      <c r="C657">
        <f>IFERROR(INDEX($W$17:$W$817,ROW()-16),"")</f>
        <v/>
      </c>
      <c r="D657">
        <f>IFERROR(INDEX($AA$17:$AA$817,ROW()-16),"")</f>
        <v/>
      </c>
    </row>
    <row r="658">
      <c r="A658" s="23">
        <f>IFERROR(INDEX($R$17:$R$817,ROW()-16),"")</f>
        <v/>
      </c>
      <c r="B658">
        <f>IFERROR(INDEX($S$17:$S$817,ROW()-16),"")</f>
        <v/>
      </c>
      <c r="C658">
        <f>IFERROR(INDEX($W$17:$W$817,ROW()-16),"")</f>
        <v/>
      </c>
      <c r="D658">
        <f>IFERROR(INDEX($AA$17:$AA$817,ROW()-16),"")</f>
        <v/>
      </c>
    </row>
    <row r="659">
      <c r="A659" s="23">
        <f>IFERROR(INDEX($R$17:$R$817,ROW()-16),"")</f>
        <v/>
      </c>
      <c r="B659">
        <f>IFERROR(INDEX($S$17:$S$817,ROW()-16),"")</f>
        <v/>
      </c>
      <c r="C659">
        <f>IFERROR(INDEX($W$17:$W$817,ROW()-16),"")</f>
        <v/>
      </c>
      <c r="D659">
        <f>IFERROR(INDEX($AA$17:$AA$817,ROW()-16),"")</f>
        <v/>
      </c>
    </row>
    <row r="660">
      <c r="A660" s="23">
        <f>IFERROR(INDEX($R$17:$R$817,ROW()-16),"")</f>
        <v/>
      </c>
      <c r="B660">
        <f>IFERROR(INDEX($S$17:$S$817,ROW()-16),"")</f>
        <v/>
      </c>
      <c r="C660">
        <f>IFERROR(INDEX($W$17:$W$817,ROW()-16),"")</f>
        <v/>
      </c>
      <c r="D660">
        <f>IFERROR(INDEX($AA$17:$AA$817,ROW()-16),"")</f>
        <v/>
      </c>
    </row>
    <row r="661">
      <c r="A661" s="23">
        <f>IFERROR(INDEX($R$17:$R$817,ROW()-16),"")</f>
        <v/>
      </c>
      <c r="B661">
        <f>IFERROR(INDEX($S$17:$S$817,ROW()-16),"")</f>
        <v/>
      </c>
      <c r="C661">
        <f>IFERROR(INDEX($W$17:$W$817,ROW()-16),"")</f>
        <v/>
      </c>
      <c r="D661">
        <f>IFERROR(INDEX($AA$17:$AA$817,ROW()-16),"")</f>
        <v/>
      </c>
    </row>
    <row r="662">
      <c r="A662" s="23">
        <f>IFERROR(INDEX($R$17:$R$817,ROW()-16),"")</f>
        <v/>
      </c>
      <c r="B662">
        <f>IFERROR(INDEX($S$17:$S$817,ROW()-16),"")</f>
        <v/>
      </c>
      <c r="C662">
        <f>IFERROR(INDEX($W$17:$W$817,ROW()-16),"")</f>
        <v/>
      </c>
      <c r="D662">
        <f>IFERROR(INDEX($AA$17:$AA$817,ROW()-16),"")</f>
        <v/>
      </c>
    </row>
    <row r="663">
      <c r="A663" s="23">
        <f>IFERROR(INDEX($R$17:$R$817,ROW()-16),"")</f>
        <v/>
      </c>
      <c r="B663">
        <f>IFERROR(INDEX($S$17:$S$817,ROW()-16),"")</f>
        <v/>
      </c>
      <c r="C663">
        <f>IFERROR(INDEX($W$17:$W$817,ROW()-16),"")</f>
        <v/>
      </c>
      <c r="D663">
        <f>IFERROR(INDEX($AA$17:$AA$817,ROW()-16),"")</f>
        <v/>
      </c>
    </row>
    <row r="664">
      <c r="A664" s="23">
        <f>IFERROR(INDEX($R$17:$R$817,ROW()-16),"")</f>
        <v/>
      </c>
      <c r="B664">
        <f>IFERROR(INDEX($S$17:$S$817,ROW()-16),"")</f>
        <v/>
      </c>
      <c r="C664">
        <f>IFERROR(INDEX($W$17:$W$817,ROW()-16),"")</f>
        <v/>
      </c>
      <c r="D664">
        <f>IFERROR(INDEX($AA$17:$AA$817,ROW()-16),"")</f>
        <v/>
      </c>
    </row>
    <row r="665">
      <c r="A665" s="23">
        <f>IFERROR(INDEX($R$17:$R$817,ROW()-16),"")</f>
        <v/>
      </c>
      <c r="B665">
        <f>IFERROR(INDEX($S$17:$S$817,ROW()-16),"")</f>
        <v/>
      </c>
      <c r="C665">
        <f>IFERROR(INDEX($W$17:$W$817,ROW()-16),"")</f>
        <v/>
      </c>
      <c r="D665">
        <f>IFERROR(INDEX($AA$17:$AA$817,ROW()-16),"")</f>
        <v/>
      </c>
    </row>
    <row r="666">
      <c r="A666" s="23">
        <f>IFERROR(INDEX($R$17:$R$817,ROW()-16),"")</f>
        <v/>
      </c>
      <c r="B666">
        <f>IFERROR(INDEX($S$17:$S$817,ROW()-16),"")</f>
        <v/>
      </c>
      <c r="C666">
        <f>IFERROR(INDEX($W$17:$W$817,ROW()-16),"")</f>
        <v/>
      </c>
      <c r="D666">
        <f>IFERROR(INDEX($AA$17:$AA$817,ROW()-16),"")</f>
        <v/>
      </c>
    </row>
    <row r="667">
      <c r="A667" s="23">
        <f>IFERROR(INDEX($R$17:$R$817,ROW()-16),"")</f>
        <v/>
      </c>
      <c r="B667">
        <f>IFERROR(INDEX($S$17:$S$817,ROW()-16),"")</f>
        <v/>
      </c>
      <c r="C667">
        <f>IFERROR(INDEX($W$17:$W$817,ROW()-16),"")</f>
        <v/>
      </c>
      <c r="D667">
        <f>IFERROR(INDEX($AA$17:$AA$817,ROW()-16),"")</f>
        <v/>
      </c>
    </row>
    <row r="668">
      <c r="A668" s="23">
        <f>IFERROR(INDEX($R$17:$R$817,ROW()-16),"")</f>
        <v/>
      </c>
      <c r="B668">
        <f>IFERROR(INDEX($S$17:$S$817,ROW()-16),"")</f>
        <v/>
      </c>
      <c r="C668">
        <f>IFERROR(INDEX($W$17:$W$817,ROW()-16),"")</f>
        <v/>
      </c>
      <c r="D668">
        <f>IFERROR(INDEX($AA$17:$AA$817,ROW()-16),"")</f>
        <v/>
      </c>
    </row>
    <row r="669">
      <c r="A669" s="23">
        <f>IFERROR(INDEX($R$17:$R$817,ROW()-16),"")</f>
        <v/>
      </c>
      <c r="B669">
        <f>IFERROR(INDEX($S$17:$S$817,ROW()-16),"")</f>
        <v/>
      </c>
      <c r="C669">
        <f>IFERROR(INDEX($W$17:$W$817,ROW()-16),"")</f>
        <v/>
      </c>
      <c r="D669">
        <f>IFERROR(INDEX($AA$17:$AA$817,ROW()-16),"")</f>
        <v/>
      </c>
    </row>
    <row r="670">
      <c r="A670" s="23">
        <f>IFERROR(INDEX($R$17:$R$817,ROW()-16),"")</f>
        <v/>
      </c>
      <c r="B670">
        <f>IFERROR(INDEX($S$17:$S$817,ROW()-16),"")</f>
        <v/>
      </c>
      <c r="C670">
        <f>IFERROR(INDEX($W$17:$W$817,ROW()-16),"")</f>
        <v/>
      </c>
      <c r="D670">
        <f>IFERROR(INDEX($AA$17:$AA$817,ROW()-16),"")</f>
        <v/>
      </c>
    </row>
    <row r="671">
      <c r="A671" s="23">
        <f>IFERROR(INDEX($R$17:$R$817,ROW()-16),"")</f>
        <v/>
      </c>
      <c r="B671">
        <f>IFERROR(INDEX($S$17:$S$817,ROW()-16),"")</f>
        <v/>
      </c>
      <c r="C671">
        <f>IFERROR(INDEX($W$17:$W$817,ROW()-16),"")</f>
        <v/>
      </c>
      <c r="D671">
        <f>IFERROR(INDEX($AA$17:$AA$817,ROW()-16),"")</f>
        <v/>
      </c>
    </row>
    <row r="672">
      <c r="A672" s="23">
        <f>IFERROR(INDEX($R$17:$R$817,ROW()-16),"")</f>
        <v/>
      </c>
      <c r="B672">
        <f>IFERROR(INDEX($S$17:$S$817,ROW()-16),"")</f>
        <v/>
      </c>
      <c r="C672">
        <f>IFERROR(INDEX($W$17:$W$817,ROW()-16),"")</f>
        <v/>
      </c>
      <c r="D672">
        <f>IFERROR(INDEX($AA$17:$AA$817,ROW()-16),"")</f>
        <v/>
      </c>
    </row>
    <row r="673">
      <c r="A673" s="23">
        <f>IFERROR(INDEX($R$17:$R$817,ROW()-16),"")</f>
        <v/>
      </c>
      <c r="B673">
        <f>IFERROR(INDEX($S$17:$S$817,ROW()-16),"")</f>
        <v/>
      </c>
      <c r="C673">
        <f>IFERROR(INDEX($W$17:$W$817,ROW()-16),"")</f>
        <v/>
      </c>
      <c r="D673">
        <f>IFERROR(INDEX($AA$17:$AA$817,ROW()-16),"")</f>
        <v/>
      </c>
    </row>
    <row r="674">
      <c r="A674" s="23">
        <f>IFERROR(INDEX($R$17:$R$817,ROW()-16),"")</f>
        <v/>
      </c>
      <c r="B674">
        <f>IFERROR(INDEX($S$17:$S$817,ROW()-16),"")</f>
        <v/>
      </c>
      <c r="C674">
        <f>IFERROR(INDEX($W$17:$W$817,ROW()-16),"")</f>
        <v/>
      </c>
      <c r="D674">
        <f>IFERROR(INDEX($AA$17:$AA$817,ROW()-16),"")</f>
        <v/>
      </c>
    </row>
    <row r="675">
      <c r="A675" s="23">
        <f>IFERROR(INDEX($R$17:$R$817,ROW()-16),"")</f>
        <v/>
      </c>
      <c r="B675">
        <f>IFERROR(INDEX($S$17:$S$817,ROW()-16),"")</f>
        <v/>
      </c>
      <c r="C675">
        <f>IFERROR(INDEX($W$17:$W$817,ROW()-16),"")</f>
        <v/>
      </c>
      <c r="D675">
        <f>IFERROR(INDEX($AA$17:$AA$817,ROW()-16),"")</f>
        <v/>
      </c>
    </row>
    <row r="676">
      <c r="A676" s="23">
        <f>IFERROR(INDEX($R$17:$R$817,ROW()-16),"")</f>
        <v/>
      </c>
      <c r="B676">
        <f>IFERROR(INDEX($S$17:$S$817,ROW()-16),"")</f>
        <v/>
      </c>
      <c r="C676">
        <f>IFERROR(INDEX($W$17:$W$817,ROW()-16),"")</f>
        <v/>
      </c>
      <c r="D676">
        <f>IFERROR(INDEX($AA$17:$AA$817,ROW()-16),"")</f>
        <v/>
      </c>
    </row>
    <row r="677">
      <c r="A677" s="23">
        <f>IFERROR(INDEX($R$17:$R$817,ROW()-16),"")</f>
        <v/>
      </c>
      <c r="B677">
        <f>IFERROR(INDEX($S$17:$S$817,ROW()-16),"")</f>
        <v/>
      </c>
      <c r="C677">
        <f>IFERROR(INDEX($W$17:$W$817,ROW()-16),"")</f>
        <v/>
      </c>
      <c r="D677">
        <f>IFERROR(INDEX($AA$17:$AA$817,ROW()-16),"")</f>
        <v/>
      </c>
    </row>
    <row r="678">
      <c r="A678" s="23">
        <f>IFERROR(INDEX($R$17:$R$817,ROW()-16),"")</f>
        <v/>
      </c>
      <c r="B678">
        <f>IFERROR(INDEX($S$17:$S$817,ROW()-16),"")</f>
        <v/>
      </c>
      <c r="C678">
        <f>IFERROR(INDEX($W$17:$W$817,ROW()-16),"")</f>
        <v/>
      </c>
      <c r="D678">
        <f>IFERROR(INDEX($AA$17:$AA$817,ROW()-16),"")</f>
        <v/>
      </c>
    </row>
    <row r="679">
      <c r="A679" s="23">
        <f>IFERROR(INDEX($R$17:$R$817,ROW()-16),"")</f>
        <v/>
      </c>
      <c r="B679">
        <f>IFERROR(INDEX($S$17:$S$817,ROW()-16),"")</f>
        <v/>
      </c>
      <c r="C679">
        <f>IFERROR(INDEX($W$17:$W$817,ROW()-16),"")</f>
        <v/>
      </c>
      <c r="D679">
        <f>IFERROR(INDEX($AA$17:$AA$817,ROW()-16),"")</f>
        <v/>
      </c>
    </row>
    <row r="680">
      <c r="A680" s="23">
        <f>IFERROR(INDEX($R$17:$R$817,ROW()-16),"")</f>
        <v/>
      </c>
      <c r="B680">
        <f>IFERROR(INDEX($S$17:$S$817,ROW()-16),"")</f>
        <v/>
      </c>
      <c r="C680">
        <f>IFERROR(INDEX($W$17:$W$817,ROW()-16),"")</f>
        <v/>
      </c>
      <c r="D680">
        <f>IFERROR(INDEX($AA$17:$AA$817,ROW()-16),"")</f>
        <v/>
      </c>
    </row>
    <row r="681">
      <c r="A681" s="23">
        <f>IFERROR(INDEX($R$17:$R$817,ROW()-16),"")</f>
        <v/>
      </c>
      <c r="B681">
        <f>IFERROR(INDEX($S$17:$S$817,ROW()-16),"")</f>
        <v/>
      </c>
      <c r="C681">
        <f>IFERROR(INDEX($W$17:$W$817,ROW()-16),"")</f>
        <v/>
      </c>
      <c r="D681">
        <f>IFERROR(INDEX($AA$17:$AA$817,ROW()-16),"")</f>
        <v/>
      </c>
    </row>
    <row r="682">
      <c r="A682" s="23">
        <f>IFERROR(INDEX($R$17:$R$817,ROW()-16),"")</f>
        <v/>
      </c>
      <c r="B682">
        <f>IFERROR(INDEX($S$17:$S$817,ROW()-16),"")</f>
        <v/>
      </c>
      <c r="C682">
        <f>IFERROR(INDEX($W$17:$W$817,ROW()-16),"")</f>
        <v/>
      </c>
      <c r="D682">
        <f>IFERROR(INDEX($AA$17:$AA$817,ROW()-16),"")</f>
        <v/>
      </c>
    </row>
    <row r="683">
      <c r="A683" s="23">
        <f>IFERROR(INDEX($R$17:$R$817,ROW()-16),"")</f>
        <v/>
      </c>
      <c r="B683">
        <f>IFERROR(INDEX($S$17:$S$817,ROW()-16),"")</f>
        <v/>
      </c>
      <c r="C683">
        <f>IFERROR(INDEX($W$17:$W$817,ROW()-16),"")</f>
        <v/>
      </c>
      <c r="D683">
        <f>IFERROR(INDEX($AA$17:$AA$817,ROW()-16),"")</f>
        <v/>
      </c>
    </row>
    <row r="684">
      <c r="A684" s="23">
        <f>IFERROR(INDEX($R$17:$R$817,ROW()-16),"")</f>
        <v/>
      </c>
      <c r="B684">
        <f>IFERROR(INDEX($S$17:$S$817,ROW()-16),"")</f>
        <v/>
      </c>
      <c r="C684">
        <f>IFERROR(INDEX($W$17:$W$817,ROW()-16),"")</f>
        <v/>
      </c>
      <c r="D684">
        <f>IFERROR(INDEX($AA$17:$AA$817,ROW()-16),"")</f>
        <v/>
      </c>
    </row>
    <row r="685">
      <c r="A685" s="23">
        <f>IFERROR(INDEX($R$17:$R$817,ROW()-16),"")</f>
        <v/>
      </c>
      <c r="B685">
        <f>IFERROR(INDEX($S$17:$S$817,ROW()-16),"")</f>
        <v/>
      </c>
      <c r="C685">
        <f>IFERROR(INDEX($W$17:$W$817,ROW()-16),"")</f>
        <v/>
      </c>
      <c r="D685">
        <f>IFERROR(INDEX($AA$17:$AA$817,ROW()-16),"")</f>
        <v/>
      </c>
    </row>
    <row r="686">
      <c r="A686" s="23">
        <f>IFERROR(INDEX($R$17:$R$817,ROW()-16),"")</f>
        <v/>
      </c>
      <c r="B686">
        <f>IFERROR(INDEX($S$17:$S$817,ROW()-16),"")</f>
        <v/>
      </c>
      <c r="C686">
        <f>IFERROR(INDEX($W$17:$W$817,ROW()-16),"")</f>
        <v/>
      </c>
      <c r="D686">
        <f>IFERROR(INDEX($AA$17:$AA$817,ROW()-16),"")</f>
        <v/>
      </c>
    </row>
    <row r="687">
      <c r="A687" s="23">
        <f>IFERROR(INDEX($R$17:$R$817,ROW()-16),"")</f>
        <v/>
      </c>
      <c r="B687">
        <f>IFERROR(INDEX($S$17:$S$817,ROW()-16),"")</f>
        <v/>
      </c>
      <c r="C687">
        <f>IFERROR(INDEX($W$17:$W$817,ROW()-16),"")</f>
        <v/>
      </c>
      <c r="D687">
        <f>IFERROR(INDEX($AA$17:$AA$817,ROW()-16),"")</f>
        <v/>
      </c>
    </row>
    <row r="688">
      <c r="A688" s="23">
        <f>IFERROR(INDEX($R$17:$R$817,ROW()-16),"")</f>
        <v/>
      </c>
      <c r="B688">
        <f>IFERROR(INDEX($S$17:$S$817,ROW()-16),"")</f>
        <v/>
      </c>
      <c r="C688">
        <f>IFERROR(INDEX($W$17:$W$817,ROW()-16),"")</f>
        <v/>
      </c>
      <c r="D688">
        <f>IFERROR(INDEX($AA$17:$AA$817,ROW()-16),"")</f>
        <v/>
      </c>
    </row>
    <row r="689">
      <c r="A689" s="23">
        <f>IFERROR(INDEX($R$17:$R$817,ROW()-16),"")</f>
        <v/>
      </c>
      <c r="B689">
        <f>IFERROR(INDEX($S$17:$S$817,ROW()-16),"")</f>
        <v/>
      </c>
      <c r="C689">
        <f>IFERROR(INDEX($W$17:$W$817,ROW()-16),"")</f>
        <v/>
      </c>
      <c r="D689">
        <f>IFERROR(INDEX($AA$17:$AA$817,ROW()-16),"")</f>
        <v/>
      </c>
    </row>
    <row r="690">
      <c r="A690" s="23">
        <f>IFERROR(INDEX($R$17:$R$817,ROW()-16),"")</f>
        <v/>
      </c>
      <c r="B690">
        <f>IFERROR(INDEX($S$17:$S$817,ROW()-16),"")</f>
        <v/>
      </c>
      <c r="C690">
        <f>IFERROR(INDEX($W$17:$W$817,ROW()-16),"")</f>
        <v/>
      </c>
      <c r="D690">
        <f>IFERROR(INDEX($AA$17:$AA$817,ROW()-16),"")</f>
        <v/>
      </c>
    </row>
    <row r="691">
      <c r="A691" s="23">
        <f>IFERROR(INDEX($R$17:$R$817,ROW()-16),"")</f>
        <v/>
      </c>
      <c r="B691">
        <f>IFERROR(INDEX($S$17:$S$817,ROW()-16),"")</f>
        <v/>
      </c>
      <c r="C691">
        <f>IFERROR(INDEX($W$17:$W$817,ROW()-16),"")</f>
        <v/>
      </c>
      <c r="D691">
        <f>IFERROR(INDEX($AA$17:$AA$817,ROW()-16),"")</f>
        <v/>
      </c>
    </row>
    <row r="692">
      <c r="A692" s="23">
        <f>IFERROR(INDEX($R$17:$R$817,ROW()-16),"")</f>
        <v/>
      </c>
      <c r="B692">
        <f>IFERROR(INDEX($S$17:$S$817,ROW()-16),"")</f>
        <v/>
      </c>
      <c r="C692">
        <f>IFERROR(INDEX($W$17:$W$817,ROW()-16),"")</f>
        <v/>
      </c>
      <c r="D692">
        <f>IFERROR(INDEX($AA$17:$AA$817,ROW()-16),"")</f>
        <v/>
      </c>
    </row>
    <row r="693">
      <c r="A693" s="23">
        <f>IFERROR(INDEX($R$17:$R$817,ROW()-16),"")</f>
        <v/>
      </c>
      <c r="B693">
        <f>IFERROR(INDEX($S$17:$S$817,ROW()-16),"")</f>
        <v/>
      </c>
      <c r="C693">
        <f>IFERROR(INDEX($W$17:$W$817,ROW()-16),"")</f>
        <v/>
      </c>
      <c r="D693">
        <f>IFERROR(INDEX($AA$17:$AA$817,ROW()-16),"")</f>
        <v/>
      </c>
    </row>
    <row r="694">
      <c r="A694" s="23">
        <f>IFERROR(INDEX($R$17:$R$817,ROW()-16),"")</f>
        <v/>
      </c>
      <c r="B694">
        <f>IFERROR(INDEX($S$17:$S$817,ROW()-16),"")</f>
        <v/>
      </c>
      <c r="C694">
        <f>IFERROR(INDEX($W$17:$W$817,ROW()-16),"")</f>
        <v/>
      </c>
      <c r="D694">
        <f>IFERROR(INDEX($AA$17:$AA$817,ROW()-16),"")</f>
        <v/>
      </c>
    </row>
    <row r="695">
      <c r="A695" s="23">
        <f>IFERROR(INDEX($R$17:$R$817,ROW()-16),"")</f>
        <v/>
      </c>
      <c r="B695">
        <f>IFERROR(INDEX($S$17:$S$817,ROW()-16),"")</f>
        <v/>
      </c>
      <c r="C695">
        <f>IFERROR(INDEX($W$17:$W$817,ROW()-16),"")</f>
        <v/>
      </c>
      <c r="D695">
        <f>IFERROR(INDEX($AA$17:$AA$817,ROW()-16),"")</f>
        <v/>
      </c>
    </row>
    <row r="696">
      <c r="A696" s="23">
        <f>IFERROR(INDEX($R$17:$R$817,ROW()-16),"")</f>
        <v/>
      </c>
      <c r="B696">
        <f>IFERROR(INDEX($S$17:$S$817,ROW()-16),"")</f>
        <v/>
      </c>
      <c r="C696">
        <f>IFERROR(INDEX($W$17:$W$817,ROW()-16),"")</f>
        <v/>
      </c>
      <c r="D696">
        <f>IFERROR(INDEX($AA$17:$AA$817,ROW()-16),"")</f>
        <v/>
      </c>
    </row>
    <row r="697">
      <c r="A697" s="23">
        <f>IFERROR(INDEX($R$17:$R$817,ROW()-16),"")</f>
        <v/>
      </c>
      <c r="B697">
        <f>IFERROR(INDEX($S$17:$S$817,ROW()-16),"")</f>
        <v/>
      </c>
      <c r="C697">
        <f>IFERROR(INDEX($W$17:$W$817,ROW()-16),"")</f>
        <v/>
      </c>
      <c r="D697">
        <f>IFERROR(INDEX($AA$17:$AA$817,ROW()-16),"")</f>
        <v/>
      </c>
    </row>
    <row r="698">
      <c r="A698" s="23">
        <f>IFERROR(INDEX($R$17:$R$817,ROW()-16),"")</f>
        <v/>
      </c>
      <c r="B698">
        <f>IFERROR(INDEX($S$17:$S$817,ROW()-16),"")</f>
        <v/>
      </c>
      <c r="C698">
        <f>IFERROR(INDEX($W$17:$W$817,ROW()-16),"")</f>
        <v/>
      </c>
      <c r="D698">
        <f>IFERROR(INDEX($AA$17:$AA$817,ROW()-16),"")</f>
        <v/>
      </c>
    </row>
    <row r="699">
      <c r="A699" s="23">
        <f>IFERROR(INDEX($R$17:$R$817,ROW()-16),"")</f>
        <v/>
      </c>
      <c r="B699">
        <f>IFERROR(INDEX($S$17:$S$817,ROW()-16),"")</f>
        <v/>
      </c>
      <c r="C699">
        <f>IFERROR(INDEX($W$17:$W$817,ROW()-16),"")</f>
        <v/>
      </c>
      <c r="D699">
        <f>IFERROR(INDEX($AA$17:$AA$817,ROW()-16),"")</f>
        <v/>
      </c>
    </row>
    <row r="700">
      <c r="A700" s="23">
        <f>IFERROR(INDEX($R$17:$R$817,ROW()-16),"")</f>
        <v/>
      </c>
      <c r="B700">
        <f>IFERROR(INDEX($S$17:$S$817,ROW()-16),"")</f>
        <v/>
      </c>
      <c r="C700">
        <f>IFERROR(INDEX($W$17:$W$817,ROW()-16),"")</f>
        <v/>
      </c>
      <c r="D700">
        <f>IFERROR(INDEX($AA$17:$AA$817,ROW()-16),"")</f>
        <v/>
      </c>
    </row>
    <row r="701">
      <c r="A701" s="23">
        <f>IFERROR(INDEX($R$17:$R$817,ROW()-16),"")</f>
        <v/>
      </c>
      <c r="B701">
        <f>IFERROR(INDEX($S$17:$S$817,ROW()-16),"")</f>
        <v/>
      </c>
      <c r="C701">
        <f>IFERROR(INDEX($W$17:$W$817,ROW()-16),"")</f>
        <v/>
      </c>
      <c r="D701">
        <f>IFERROR(INDEX($AA$17:$AA$817,ROW()-16),"")</f>
        <v/>
      </c>
    </row>
    <row r="702">
      <c r="A702" s="23">
        <f>IFERROR(INDEX($R$17:$R$817,ROW()-16),"")</f>
        <v/>
      </c>
      <c r="B702">
        <f>IFERROR(INDEX($S$17:$S$817,ROW()-16),"")</f>
        <v/>
      </c>
      <c r="C702">
        <f>IFERROR(INDEX($W$17:$W$817,ROW()-16),"")</f>
        <v/>
      </c>
      <c r="D702">
        <f>IFERROR(INDEX($AA$17:$AA$817,ROW()-16),"")</f>
        <v/>
      </c>
    </row>
    <row r="703">
      <c r="A703" s="23">
        <f>IFERROR(INDEX($R$17:$R$817,ROW()-16),"")</f>
        <v/>
      </c>
      <c r="B703">
        <f>IFERROR(INDEX($S$17:$S$817,ROW()-16),"")</f>
        <v/>
      </c>
      <c r="C703">
        <f>IFERROR(INDEX($W$17:$W$817,ROW()-16),"")</f>
        <v/>
      </c>
      <c r="D703">
        <f>IFERROR(INDEX($AA$17:$AA$817,ROW()-16),"")</f>
        <v/>
      </c>
    </row>
    <row r="704">
      <c r="A704" s="23">
        <f>IFERROR(INDEX($R$17:$R$817,ROW()-16),"")</f>
        <v/>
      </c>
      <c r="B704">
        <f>IFERROR(INDEX($S$17:$S$817,ROW()-16),"")</f>
        <v/>
      </c>
      <c r="C704">
        <f>IFERROR(INDEX($W$17:$W$817,ROW()-16),"")</f>
        <v/>
      </c>
      <c r="D704">
        <f>IFERROR(INDEX($AA$17:$AA$817,ROW()-16),"")</f>
        <v/>
      </c>
    </row>
    <row r="705">
      <c r="A705" s="23">
        <f>IFERROR(INDEX($R$17:$R$817,ROW()-16),"")</f>
        <v/>
      </c>
      <c r="B705">
        <f>IFERROR(INDEX($S$17:$S$817,ROW()-16),"")</f>
        <v/>
      </c>
      <c r="C705">
        <f>IFERROR(INDEX($W$17:$W$817,ROW()-16),"")</f>
        <v/>
      </c>
      <c r="D705">
        <f>IFERROR(INDEX($AA$17:$AA$817,ROW()-16),"")</f>
        <v/>
      </c>
    </row>
    <row r="706">
      <c r="A706" s="23">
        <f>IFERROR(INDEX($R$17:$R$817,ROW()-16),"")</f>
        <v/>
      </c>
      <c r="B706">
        <f>IFERROR(INDEX($S$17:$S$817,ROW()-16),"")</f>
        <v/>
      </c>
      <c r="C706">
        <f>IFERROR(INDEX($W$17:$W$817,ROW()-16),"")</f>
        <v/>
      </c>
      <c r="D706">
        <f>IFERROR(INDEX($AA$17:$AA$817,ROW()-16),"")</f>
        <v/>
      </c>
    </row>
    <row r="707">
      <c r="A707" s="23">
        <f>IFERROR(INDEX($R$17:$R$817,ROW()-16),"")</f>
        <v/>
      </c>
      <c r="B707">
        <f>IFERROR(INDEX($S$17:$S$817,ROW()-16),"")</f>
        <v/>
      </c>
      <c r="C707">
        <f>IFERROR(INDEX($W$17:$W$817,ROW()-16),"")</f>
        <v/>
      </c>
      <c r="D707">
        <f>IFERROR(INDEX($AA$17:$AA$817,ROW()-16),"")</f>
        <v/>
      </c>
    </row>
    <row r="708">
      <c r="A708" s="23">
        <f>IFERROR(INDEX($R$17:$R$817,ROW()-16),"")</f>
        <v/>
      </c>
      <c r="B708">
        <f>IFERROR(INDEX($S$17:$S$817,ROW()-16),"")</f>
        <v/>
      </c>
      <c r="C708">
        <f>IFERROR(INDEX($W$17:$W$817,ROW()-16),"")</f>
        <v/>
      </c>
      <c r="D708">
        <f>IFERROR(INDEX($AA$17:$AA$817,ROW()-16),"")</f>
        <v/>
      </c>
    </row>
    <row r="709">
      <c r="A709" s="23">
        <f>IFERROR(INDEX($R$17:$R$817,ROW()-16),"")</f>
        <v/>
      </c>
      <c r="B709">
        <f>IFERROR(INDEX($S$17:$S$817,ROW()-16),"")</f>
        <v/>
      </c>
      <c r="C709">
        <f>IFERROR(INDEX($W$17:$W$817,ROW()-16),"")</f>
        <v/>
      </c>
      <c r="D709">
        <f>IFERROR(INDEX($AA$17:$AA$817,ROW()-16),"")</f>
        <v/>
      </c>
    </row>
    <row r="710">
      <c r="A710" s="23">
        <f>IFERROR(INDEX($R$17:$R$817,ROW()-16),"")</f>
        <v/>
      </c>
      <c r="B710">
        <f>IFERROR(INDEX($S$17:$S$817,ROW()-16),"")</f>
        <v/>
      </c>
      <c r="C710">
        <f>IFERROR(INDEX($W$17:$W$817,ROW()-16),"")</f>
        <v/>
      </c>
      <c r="D710">
        <f>IFERROR(INDEX($AA$17:$AA$817,ROW()-16),"")</f>
        <v/>
      </c>
    </row>
    <row r="711">
      <c r="A711" s="23">
        <f>IFERROR(INDEX($R$17:$R$817,ROW()-16),"")</f>
        <v/>
      </c>
      <c r="B711">
        <f>IFERROR(INDEX($S$17:$S$817,ROW()-16),"")</f>
        <v/>
      </c>
      <c r="C711">
        <f>IFERROR(INDEX($W$17:$W$817,ROW()-16),"")</f>
        <v/>
      </c>
      <c r="D711">
        <f>IFERROR(INDEX($AA$17:$AA$817,ROW()-16),"")</f>
        <v/>
      </c>
    </row>
    <row r="712">
      <c r="A712" s="23">
        <f>IFERROR(INDEX($R$17:$R$817,ROW()-16),"")</f>
        <v/>
      </c>
      <c r="B712">
        <f>IFERROR(INDEX($S$17:$S$817,ROW()-16),"")</f>
        <v/>
      </c>
      <c r="C712">
        <f>IFERROR(INDEX($W$17:$W$817,ROW()-16),"")</f>
        <v/>
      </c>
      <c r="D712">
        <f>IFERROR(INDEX($AA$17:$AA$817,ROW()-16),"")</f>
        <v/>
      </c>
    </row>
    <row r="713">
      <c r="A713" s="23">
        <f>IFERROR(INDEX($R$17:$R$817,ROW()-16),"")</f>
        <v/>
      </c>
      <c r="B713">
        <f>IFERROR(INDEX($S$17:$S$817,ROW()-16),"")</f>
        <v/>
      </c>
      <c r="C713">
        <f>IFERROR(INDEX($W$17:$W$817,ROW()-16),"")</f>
        <v/>
      </c>
      <c r="D713">
        <f>IFERROR(INDEX($AA$17:$AA$817,ROW()-16),"")</f>
        <v/>
      </c>
    </row>
    <row r="714">
      <c r="A714" s="23">
        <f>IFERROR(INDEX($R$17:$R$817,ROW()-16),"")</f>
        <v/>
      </c>
      <c r="B714">
        <f>IFERROR(INDEX($S$17:$S$817,ROW()-16),"")</f>
        <v/>
      </c>
      <c r="C714">
        <f>IFERROR(INDEX($W$17:$W$817,ROW()-16),"")</f>
        <v/>
      </c>
      <c r="D714">
        <f>IFERROR(INDEX($AA$17:$AA$817,ROW()-16),"")</f>
        <v/>
      </c>
    </row>
    <row r="715">
      <c r="A715" s="23">
        <f>IFERROR(INDEX($R$17:$R$817,ROW()-16),"")</f>
        <v/>
      </c>
      <c r="B715">
        <f>IFERROR(INDEX($S$17:$S$817,ROW()-16),"")</f>
        <v/>
      </c>
      <c r="C715">
        <f>IFERROR(INDEX($W$17:$W$817,ROW()-16),"")</f>
        <v/>
      </c>
      <c r="D715">
        <f>IFERROR(INDEX($AA$17:$AA$817,ROW()-16),"")</f>
        <v/>
      </c>
    </row>
    <row r="716">
      <c r="A716" s="23">
        <f>IFERROR(INDEX($R$17:$R$817,ROW()-16),"")</f>
        <v/>
      </c>
      <c r="B716">
        <f>IFERROR(INDEX($S$17:$S$817,ROW()-16),"")</f>
        <v/>
      </c>
      <c r="C716">
        <f>IFERROR(INDEX($W$17:$W$817,ROW()-16),"")</f>
        <v/>
      </c>
      <c r="D716">
        <f>IFERROR(INDEX($AA$17:$AA$817,ROW()-16),"")</f>
        <v/>
      </c>
    </row>
    <row r="717">
      <c r="A717" s="23">
        <f>IFERROR(INDEX($R$17:$R$817,ROW()-16),"")</f>
        <v/>
      </c>
      <c r="B717">
        <f>IFERROR(INDEX($S$17:$S$817,ROW()-16),"")</f>
        <v/>
      </c>
      <c r="C717">
        <f>IFERROR(INDEX($W$17:$W$817,ROW()-16),"")</f>
        <v/>
      </c>
      <c r="D717">
        <f>IFERROR(INDEX($AA$17:$AA$817,ROW()-16),"")</f>
        <v/>
      </c>
    </row>
    <row r="718">
      <c r="A718" s="23">
        <f>IFERROR(INDEX($R$17:$R$817,ROW()-16),"")</f>
        <v/>
      </c>
      <c r="B718">
        <f>IFERROR(INDEX($S$17:$S$817,ROW()-16),"")</f>
        <v/>
      </c>
      <c r="C718">
        <f>IFERROR(INDEX($W$17:$W$817,ROW()-16),"")</f>
        <v/>
      </c>
      <c r="D718">
        <f>IFERROR(INDEX($AA$17:$AA$817,ROW()-16),"")</f>
        <v/>
      </c>
    </row>
    <row r="719">
      <c r="A719" s="23">
        <f>IFERROR(INDEX($R$17:$R$817,ROW()-16),"")</f>
        <v/>
      </c>
      <c r="B719">
        <f>IFERROR(INDEX($S$17:$S$817,ROW()-16),"")</f>
        <v/>
      </c>
      <c r="C719">
        <f>IFERROR(INDEX($W$17:$W$817,ROW()-16),"")</f>
        <v/>
      </c>
      <c r="D719">
        <f>IFERROR(INDEX($AA$17:$AA$817,ROW()-16),"")</f>
        <v/>
      </c>
    </row>
    <row r="720">
      <c r="A720" s="23">
        <f>IFERROR(INDEX($R$17:$R$817,ROW()-16),"")</f>
        <v/>
      </c>
      <c r="B720">
        <f>IFERROR(INDEX($S$17:$S$817,ROW()-16),"")</f>
        <v/>
      </c>
      <c r="C720">
        <f>IFERROR(INDEX($W$17:$W$817,ROW()-16),"")</f>
        <v/>
      </c>
      <c r="D720">
        <f>IFERROR(INDEX($AA$17:$AA$817,ROW()-16),"")</f>
        <v/>
      </c>
    </row>
    <row r="721">
      <c r="A721" s="23">
        <f>IFERROR(INDEX($R$17:$R$817,ROW()-16),"")</f>
        <v/>
      </c>
      <c r="B721">
        <f>IFERROR(INDEX($S$17:$S$817,ROW()-16),"")</f>
        <v/>
      </c>
      <c r="C721">
        <f>IFERROR(INDEX($W$17:$W$817,ROW()-16),"")</f>
        <v/>
      </c>
      <c r="D721">
        <f>IFERROR(INDEX($AA$17:$AA$817,ROW()-16),"")</f>
        <v/>
      </c>
    </row>
    <row r="722">
      <c r="A722" s="23">
        <f>IFERROR(INDEX($R$17:$R$817,ROW()-16),"")</f>
        <v/>
      </c>
      <c r="B722">
        <f>IFERROR(INDEX($S$17:$S$817,ROW()-16),"")</f>
        <v/>
      </c>
      <c r="C722">
        <f>IFERROR(INDEX($W$17:$W$817,ROW()-16),"")</f>
        <v/>
      </c>
      <c r="D722">
        <f>IFERROR(INDEX($AA$17:$AA$817,ROW()-16),"")</f>
        <v/>
      </c>
    </row>
    <row r="723">
      <c r="A723" s="23">
        <f>IFERROR(INDEX($R$17:$R$817,ROW()-16),"")</f>
        <v/>
      </c>
      <c r="B723">
        <f>IFERROR(INDEX($S$17:$S$817,ROW()-16),"")</f>
        <v/>
      </c>
      <c r="C723">
        <f>IFERROR(INDEX($W$17:$W$817,ROW()-16),"")</f>
        <v/>
      </c>
      <c r="D723">
        <f>IFERROR(INDEX($AA$17:$AA$817,ROW()-16),"")</f>
        <v/>
      </c>
    </row>
    <row r="724">
      <c r="A724" s="23">
        <f>IFERROR(INDEX($R$17:$R$817,ROW()-16),"")</f>
        <v/>
      </c>
      <c r="B724">
        <f>IFERROR(INDEX($S$17:$S$817,ROW()-16),"")</f>
        <v/>
      </c>
      <c r="C724">
        <f>IFERROR(INDEX($W$17:$W$817,ROW()-16),"")</f>
        <v/>
      </c>
      <c r="D724">
        <f>IFERROR(INDEX($AA$17:$AA$817,ROW()-16),"")</f>
        <v/>
      </c>
    </row>
    <row r="725">
      <c r="A725" s="23">
        <f>IFERROR(INDEX($R$17:$R$817,ROW()-16),"")</f>
        <v/>
      </c>
      <c r="B725">
        <f>IFERROR(INDEX($S$17:$S$817,ROW()-16),"")</f>
        <v/>
      </c>
      <c r="C725">
        <f>IFERROR(INDEX($W$17:$W$817,ROW()-16),"")</f>
        <v/>
      </c>
      <c r="D725">
        <f>IFERROR(INDEX($AA$17:$AA$817,ROW()-16),"")</f>
        <v/>
      </c>
    </row>
    <row r="726">
      <c r="A726" s="23">
        <f>IFERROR(INDEX($R$17:$R$817,ROW()-16),"")</f>
        <v/>
      </c>
      <c r="B726">
        <f>IFERROR(INDEX($S$17:$S$817,ROW()-16),"")</f>
        <v/>
      </c>
      <c r="C726">
        <f>IFERROR(INDEX($W$17:$W$817,ROW()-16),"")</f>
        <v/>
      </c>
      <c r="D726">
        <f>IFERROR(INDEX($AA$17:$AA$817,ROW()-16),"")</f>
        <v/>
      </c>
    </row>
    <row r="727">
      <c r="A727" s="23">
        <f>IFERROR(INDEX($R$17:$R$817,ROW()-16),"")</f>
        <v/>
      </c>
      <c r="B727">
        <f>IFERROR(INDEX($S$17:$S$817,ROW()-16),"")</f>
        <v/>
      </c>
      <c r="C727">
        <f>IFERROR(INDEX($W$17:$W$817,ROW()-16),"")</f>
        <v/>
      </c>
      <c r="D727">
        <f>IFERROR(INDEX($AA$17:$AA$817,ROW()-16),"")</f>
        <v/>
      </c>
    </row>
    <row r="728">
      <c r="A728" s="23">
        <f>IFERROR(INDEX($R$17:$R$817,ROW()-16),"")</f>
        <v/>
      </c>
      <c r="B728">
        <f>IFERROR(INDEX($S$17:$S$817,ROW()-16),"")</f>
        <v/>
      </c>
      <c r="C728">
        <f>IFERROR(INDEX($W$17:$W$817,ROW()-16),"")</f>
        <v/>
      </c>
      <c r="D728">
        <f>IFERROR(INDEX($AA$17:$AA$817,ROW()-16),"")</f>
        <v/>
      </c>
    </row>
    <row r="729">
      <c r="A729" s="23">
        <f>IFERROR(INDEX($R$17:$R$817,ROW()-16),"")</f>
        <v/>
      </c>
      <c r="B729">
        <f>IFERROR(INDEX($S$17:$S$817,ROW()-16),"")</f>
        <v/>
      </c>
      <c r="C729">
        <f>IFERROR(INDEX($W$17:$W$817,ROW()-16),"")</f>
        <v/>
      </c>
      <c r="D729">
        <f>IFERROR(INDEX($AA$17:$AA$817,ROW()-16),"")</f>
        <v/>
      </c>
    </row>
    <row r="730">
      <c r="A730" s="23">
        <f>IFERROR(INDEX($R$17:$R$817,ROW()-16),"")</f>
        <v/>
      </c>
      <c r="B730">
        <f>IFERROR(INDEX($S$17:$S$817,ROW()-16),"")</f>
        <v/>
      </c>
      <c r="C730">
        <f>IFERROR(INDEX($W$17:$W$817,ROW()-16),"")</f>
        <v/>
      </c>
      <c r="D730">
        <f>IFERROR(INDEX($AA$17:$AA$817,ROW()-16),"")</f>
        <v/>
      </c>
    </row>
    <row r="731">
      <c r="A731" s="23">
        <f>IFERROR(INDEX($R$17:$R$817,ROW()-16),"")</f>
        <v/>
      </c>
      <c r="B731">
        <f>IFERROR(INDEX($S$17:$S$817,ROW()-16),"")</f>
        <v/>
      </c>
      <c r="C731">
        <f>IFERROR(INDEX($W$17:$W$817,ROW()-16),"")</f>
        <v/>
      </c>
      <c r="D731">
        <f>IFERROR(INDEX($AA$17:$AA$817,ROW()-16),"")</f>
        <v/>
      </c>
    </row>
    <row r="732">
      <c r="A732" s="23">
        <f>IFERROR(INDEX($R$17:$R$817,ROW()-16),"")</f>
        <v/>
      </c>
      <c r="B732">
        <f>IFERROR(INDEX($S$17:$S$817,ROW()-16),"")</f>
        <v/>
      </c>
      <c r="C732">
        <f>IFERROR(INDEX($W$17:$W$817,ROW()-16),"")</f>
        <v/>
      </c>
      <c r="D732">
        <f>IFERROR(INDEX($AA$17:$AA$817,ROW()-16),"")</f>
        <v/>
      </c>
    </row>
    <row r="733">
      <c r="A733" s="23">
        <f>IFERROR(INDEX($R$17:$R$817,ROW()-16),"")</f>
        <v/>
      </c>
      <c r="B733">
        <f>IFERROR(INDEX($S$17:$S$817,ROW()-16),"")</f>
        <v/>
      </c>
      <c r="C733">
        <f>IFERROR(INDEX($W$17:$W$817,ROW()-16),"")</f>
        <v/>
      </c>
      <c r="D733">
        <f>IFERROR(INDEX($AA$17:$AA$817,ROW()-16),"")</f>
        <v/>
      </c>
    </row>
    <row r="734">
      <c r="A734" s="23">
        <f>IFERROR(INDEX($R$17:$R$817,ROW()-16),"")</f>
        <v/>
      </c>
      <c r="B734">
        <f>IFERROR(INDEX($S$17:$S$817,ROW()-16),"")</f>
        <v/>
      </c>
      <c r="C734">
        <f>IFERROR(INDEX($W$17:$W$817,ROW()-16),"")</f>
        <v/>
      </c>
      <c r="D734">
        <f>IFERROR(INDEX($AA$17:$AA$817,ROW()-16),"")</f>
        <v/>
      </c>
    </row>
    <row r="735">
      <c r="A735" s="23">
        <f>IFERROR(INDEX($R$17:$R$817,ROW()-16),"")</f>
        <v/>
      </c>
      <c r="B735">
        <f>IFERROR(INDEX($S$17:$S$817,ROW()-16),"")</f>
        <v/>
      </c>
      <c r="C735">
        <f>IFERROR(INDEX($W$17:$W$817,ROW()-16),"")</f>
        <v/>
      </c>
      <c r="D735">
        <f>IFERROR(INDEX($AA$17:$AA$817,ROW()-16),"")</f>
        <v/>
      </c>
    </row>
    <row r="736">
      <c r="A736" s="23">
        <f>IFERROR(INDEX($R$17:$R$817,ROW()-16),"")</f>
        <v/>
      </c>
      <c r="B736">
        <f>IFERROR(INDEX($S$17:$S$817,ROW()-16),"")</f>
        <v/>
      </c>
      <c r="C736">
        <f>IFERROR(INDEX($W$17:$W$817,ROW()-16),"")</f>
        <v/>
      </c>
      <c r="D736">
        <f>IFERROR(INDEX($AA$17:$AA$817,ROW()-16),"")</f>
        <v/>
      </c>
    </row>
    <row r="737">
      <c r="A737" s="23">
        <f>IFERROR(INDEX($R$17:$R$817,ROW()-16),"")</f>
        <v/>
      </c>
      <c r="B737">
        <f>IFERROR(INDEX($S$17:$S$817,ROW()-16),"")</f>
        <v/>
      </c>
      <c r="C737">
        <f>IFERROR(INDEX($W$17:$W$817,ROW()-16),"")</f>
        <v/>
      </c>
      <c r="D737">
        <f>IFERROR(INDEX($AA$17:$AA$817,ROW()-16),"")</f>
        <v/>
      </c>
    </row>
    <row r="738">
      <c r="A738" s="23">
        <f>IFERROR(INDEX($R$17:$R$817,ROW()-16),"")</f>
        <v/>
      </c>
      <c r="B738">
        <f>IFERROR(INDEX($S$17:$S$817,ROW()-16),"")</f>
        <v/>
      </c>
      <c r="C738">
        <f>IFERROR(INDEX($W$17:$W$817,ROW()-16),"")</f>
        <v/>
      </c>
      <c r="D738">
        <f>IFERROR(INDEX($AA$17:$AA$817,ROW()-16),"")</f>
        <v/>
      </c>
    </row>
    <row r="739">
      <c r="A739" s="23">
        <f>IFERROR(INDEX($R$17:$R$817,ROW()-16),"")</f>
        <v/>
      </c>
      <c r="B739">
        <f>IFERROR(INDEX($S$17:$S$817,ROW()-16),"")</f>
        <v/>
      </c>
      <c r="C739">
        <f>IFERROR(INDEX($W$17:$W$817,ROW()-16),"")</f>
        <v/>
      </c>
      <c r="D739">
        <f>IFERROR(INDEX($AA$17:$AA$817,ROW()-16),"")</f>
        <v/>
      </c>
    </row>
    <row r="740">
      <c r="A740" s="23">
        <f>IFERROR(INDEX($R$17:$R$817,ROW()-16),"")</f>
        <v/>
      </c>
      <c r="B740">
        <f>IFERROR(INDEX($S$17:$S$817,ROW()-16),"")</f>
        <v/>
      </c>
      <c r="C740">
        <f>IFERROR(INDEX($W$17:$W$817,ROW()-16),"")</f>
        <v/>
      </c>
      <c r="D740">
        <f>IFERROR(INDEX($AA$17:$AA$817,ROW()-16),"")</f>
        <v/>
      </c>
    </row>
    <row r="741">
      <c r="A741" s="23">
        <f>IFERROR(INDEX($R$17:$R$817,ROW()-16),"")</f>
        <v/>
      </c>
      <c r="B741">
        <f>IFERROR(INDEX($S$17:$S$817,ROW()-16),"")</f>
        <v/>
      </c>
      <c r="C741">
        <f>IFERROR(INDEX($W$17:$W$817,ROW()-16),"")</f>
        <v/>
      </c>
      <c r="D741">
        <f>IFERROR(INDEX($AA$17:$AA$817,ROW()-16),"")</f>
        <v/>
      </c>
    </row>
    <row r="742">
      <c r="A742" s="23">
        <f>IFERROR(INDEX($R$17:$R$817,ROW()-16),"")</f>
        <v/>
      </c>
      <c r="B742">
        <f>IFERROR(INDEX($S$17:$S$817,ROW()-16),"")</f>
        <v/>
      </c>
      <c r="C742">
        <f>IFERROR(INDEX($W$17:$W$817,ROW()-16),"")</f>
        <v/>
      </c>
      <c r="D742">
        <f>IFERROR(INDEX($AA$17:$AA$817,ROW()-16),"")</f>
        <v/>
      </c>
    </row>
    <row r="743">
      <c r="A743" s="23">
        <f>IFERROR(INDEX($R$17:$R$817,ROW()-16),"")</f>
        <v/>
      </c>
      <c r="B743">
        <f>IFERROR(INDEX($S$17:$S$817,ROW()-16),"")</f>
        <v/>
      </c>
      <c r="C743">
        <f>IFERROR(INDEX($W$17:$W$817,ROW()-16),"")</f>
        <v/>
      </c>
      <c r="D743">
        <f>IFERROR(INDEX($AA$17:$AA$817,ROW()-16),"")</f>
        <v/>
      </c>
    </row>
    <row r="744">
      <c r="A744" s="23">
        <f>IFERROR(INDEX($R$17:$R$817,ROW()-16),"")</f>
        <v/>
      </c>
      <c r="B744">
        <f>IFERROR(INDEX($S$17:$S$817,ROW()-16),"")</f>
        <v/>
      </c>
      <c r="C744">
        <f>IFERROR(INDEX($W$17:$W$817,ROW()-16),"")</f>
        <v/>
      </c>
      <c r="D744">
        <f>IFERROR(INDEX($AA$17:$AA$817,ROW()-16),"")</f>
        <v/>
      </c>
    </row>
    <row r="745">
      <c r="A745" s="23">
        <f>IFERROR(INDEX($R$17:$R$817,ROW()-16),"")</f>
        <v/>
      </c>
      <c r="B745">
        <f>IFERROR(INDEX($S$17:$S$817,ROW()-16),"")</f>
        <v/>
      </c>
      <c r="C745">
        <f>IFERROR(INDEX($W$17:$W$817,ROW()-16),"")</f>
        <v/>
      </c>
      <c r="D745">
        <f>IFERROR(INDEX($AA$17:$AA$817,ROW()-16),"")</f>
        <v/>
      </c>
    </row>
    <row r="746">
      <c r="A746" s="23">
        <f>IFERROR(INDEX($R$17:$R$817,ROW()-16),"")</f>
        <v/>
      </c>
      <c r="B746">
        <f>IFERROR(INDEX($S$17:$S$817,ROW()-16),"")</f>
        <v/>
      </c>
      <c r="C746">
        <f>IFERROR(INDEX($W$17:$W$817,ROW()-16),"")</f>
        <v/>
      </c>
      <c r="D746">
        <f>IFERROR(INDEX($AA$17:$AA$817,ROW()-16),"")</f>
        <v/>
      </c>
    </row>
    <row r="747">
      <c r="A747" s="23">
        <f>IFERROR(INDEX($R$17:$R$817,ROW()-16),"")</f>
        <v/>
      </c>
      <c r="B747">
        <f>IFERROR(INDEX($S$17:$S$817,ROW()-16),"")</f>
        <v/>
      </c>
      <c r="C747">
        <f>IFERROR(INDEX($W$17:$W$817,ROW()-16),"")</f>
        <v/>
      </c>
      <c r="D747">
        <f>IFERROR(INDEX($AA$17:$AA$817,ROW()-16),"")</f>
        <v/>
      </c>
    </row>
    <row r="748">
      <c r="A748" s="23">
        <f>IFERROR(INDEX($R$17:$R$817,ROW()-16),"")</f>
        <v/>
      </c>
      <c r="B748">
        <f>IFERROR(INDEX($S$17:$S$817,ROW()-16),"")</f>
        <v/>
      </c>
      <c r="C748">
        <f>IFERROR(INDEX($W$17:$W$817,ROW()-16),"")</f>
        <v/>
      </c>
      <c r="D748">
        <f>IFERROR(INDEX($AA$17:$AA$817,ROW()-16),"")</f>
        <v/>
      </c>
    </row>
    <row r="749">
      <c r="A749" s="23">
        <f>IFERROR(INDEX($R$17:$R$817,ROW()-16),"")</f>
        <v/>
      </c>
      <c r="B749">
        <f>IFERROR(INDEX($S$17:$S$817,ROW()-16),"")</f>
        <v/>
      </c>
      <c r="C749">
        <f>IFERROR(INDEX($W$17:$W$817,ROW()-16),"")</f>
        <v/>
      </c>
      <c r="D749">
        <f>IFERROR(INDEX($AA$17:$AA$817,ROW()-16),"")</f>
        <v/>
      </c>
    </row>
    <row r="750">
      <c r="A750" s="23">
        <f>IFERROR(INDEX($R$17:$R$817,ROW()-16),"")</f>
        <v/>
      </c>
      <c r="B750">
        <f>IFERROR(INDEX($S$17:$S$817,ROW()-16),"")</f>
        <v/>
      </c>
      <c r="C750">
        <f>IFERROR(INDEX($W$17:$W$817,ROW()-16),"")</f>
        <v/>
      </c>
      <c r="D750">
        <f>IFERROR(INDEX($AA$17:$AA$817,ROW()-16),"")</f>
        <v/>
      </c>
    </row>
    <row r="751">
      <c r="A751" s="23">
        <f>IFERROR(INDEX($R$17:$R$817,ROW()-16),"")</f>
        <v/>
      </c>
      <c r="B751">
        <f>IFERROR(INDEX($S$17:$S$817,ROW()-16),"")</f>
        <v/>
      </c>
      <c r="C751">
        <f>IFERROR(INDEX($W$17:$W$817,ROW()-16),"")</f>
        <v/>
      </c>
      <c r="D751">
        <f>IFERROR(INDEX($AA$17:$AA$817,ROW()-16),"")</f>
        <v/>
      </c>
    </row>
    <row r="752">
      <c r="A752" s="23">
        <f>IFERROR(INDEX($R$17:$R$817,ROW()-16),"")</f>
        <v/>
      </c>
      <c r="B752">
        <f>IFERROR(INDEX($S$17:$S$817,ROW()-16),"")</f>
        <v/>
      </c>
      <c r="C752">
        <f>IFERROR(INDEX($W$17:$W$817,ROW()-16),"")</f>
        <v/>
      </c>
      <c r="D752">
        <f>IFERROR(INDEX($AA$17:$AA$817,ROW()-16),"")</f>
        <v/>
      </c>
    </row>
    <row r="753">
      <c r="A753" s="23">
        <f>IFERROR(INDEX($R$17:$R$817,ROW()-16),"")</f>
        <v/>
      </c>
      <c r="B753">
        <f>IFERROR(INDEX($S$17:$S$817,ROW()-16),"")</f>
        <v/>
      </c>
      <c r="C753">
        <f>IFERROR(INDEX($W$17:$W$817,ROW()-16),"")</f>
        <v/>
      </c>
      <c r="D753">
        <f>IFERROR(INDEX($AA$17:$AA$817,ROW()-16),"")</f>
        <v/>
      </c>
    </row>
    <row r="754">
      <c r="A754" s="23">
        <f>IFERROR(INDEX($R$17:$R$817,ROW()-16),"")</f>
        <v/>
      </c>
      <c r="B754">
        <f>IFERROR(INDEX($S$17:$S$817,ROW()-16),"")</f>
        <v/>
      </c>
      <c r="C754">
        <f>IFERROR(INDEX($W$17:$W$817,ROW()-16),"")</f>
        <v/>
      </c>
      <c r="D754">
        <f>IFERROR(INDEX($AA$17:$AA$817,ROW()-16),"")</f>
        <v/>
      </c>
    </row>
    <row r="755">
      <c r="A755" s="23">
        <f>IFERROR(INDEX($R$17:$R$817,ROW()-16),"")</f>
        <v/>
      </c>
      <c r="B755">
        <f>IFERROR(INDEX($S$17:$S$817,ROW()-16),"")</f>
        <v/>
      </c>
      <c r="C755">
        <f>IFERROR(INDEX($W$17:$W$817,ROW()-16),"")</f>
        <v/>
      </c>
      <c r="D755">
        <f>IFERROR(INDEX($AA$17:$AA$817,ROW()-16),"")</f>
        <v/>
      </c>
    </row>
    <row r="756">
      <c r="A756" s="23">
        <f>IFERROR(INDEX($R$17:$R$817,ROW()-16),"")</f>
        <v/>
      </c>
      <c r="B756">
        <f>IFERROR(INDEX($S$17:$S$817,ROW()-16),"")</f>
        <v/>
      </c>
      <c r="C756">
        <f>IFERROR(INDEX($W$17:$W$817,ROW()-16),"")</f>
        <v/>
      </c>
      <c r="D756">
        <f>IFERROR(INDEX($AA$17:$AA$817,ROW()-16),"")</f>
        <v/>
      </c>
    </row>
    <row r="757">
      <c r="A757" s="23">
        <f>IFERROR(INDEX($R$17:$R$817,ROW()-16),"")</f>
        <v/>
      </c>
      <c r="B757">
        <f>IFERROR(INDEX($S$17:$S$817,ROW()-16),"")</f>
        <v/>
      </c>
      <c r="C757">
        <f>IFERROR(INDEX($W$17:$W$817,ROW()-16),"")</f>
        <v/>
      </c>
      <c r="D757">
        <f>IFERROR(INDEX($AA$17:$AA$817,ROW()-16),"")</f>
        <v/>
      </c>
    </row>
    <row r="758">
      <c r="A758" s="23">
        <f>IFERROR(INDEX($R$17:$R$817,ROW()-16),"")</f>
        <v/>
      </c>
      <c r="B758">
        <f>IFERROR(INDEX($S$17:$S$817,ROW()-16),"")</f>
        <v/>
      </c>
      <c r="C758">
        <f>IFERROR(INDEX($W$17:$W$817,ROW()-16),"")</f>
        <v/>
      </c>
      <c r="D758">
        <f>IFERROR(INDEX($AA$17:$AA$817,ROW()-16),"")</f>
        <v/>
      </c>
    </row>
    <row r="759">
      <c r="A759" s="23">
        <f>IFERROR(INDEX($R$17:$R$817,ROW()-16),"")</f>
        <v/>
      </c>
      <c r="B759">
        <f>IFERROR(INDEX($S$17:$S$817,ROW()-16),"")</f>
        <v/>
      </c>
      <c r="C759">
        <f>IFERROR(INDEX($W$17:$W$817,ROW()-16),"")</f>
        <v/>
      </c>
      <c r="D759">
        <f>IFERROR(INDEX($AA$17:$AA$817,ROW()-16),"")</f>
        <v/>
      </c>
    </row>
    <row r="760">
      <c r="A760" s="23">
        <f>IFERROR(INDEX($R$17:$R$817,ROW()-16),"")</f>
        <v/>
      </c>
      <c r="B760">
        <f>IFERROR(INDEX($S$17:$S$817,ROW()-16),"")</f>
        <v/>
      </c>
      <c r="C760">
        <f>IFERROR(INDEX($W$17:$W$817,ROW()-16),"")</f>
        <v/>
      </c>
      <c r="D760">
        <f>IFERROR(INDEX($AA$17:$AA$817,ROW()-16),"")</f>
        <v/>
      </c>
    </row>
    <row r="761">
      <c r="A761" s="23">
        <f>IFERROR(INDEX($R$17:$R$817,ROW()-16),"")</f>
        <v/>
      </c>
      <c r="B761">
        <f>IFERROR(INDEX($S$17:$S$817,ROW()-16),"")</f>
        <v/>
      </c>
      <c r="C761">
        <f>IFERROR(INDEX($W$17:$W$817,ROW()-16),"")</f>
        <v/>
      </c>
      <c r="D761">
        <f>IFERROR(INDEX($AA$17:$AA$817,ROW()-16),"")</f>
        <v/>
      </c>
    </row>
    <row r="762">
      <c r="A762" s="23">
        <f>IFERROR(INDEX($R$17:$R$817,ROW()-16),"")</f>
        <v/>
      </c>
      <c r="B762">
        <f>IFERROR(INDEX($S$17:$S$817,ROW()-16),"")</f>
        <v/>
      </c>
      <c r="C762">
        <f>IFERROR(INDEX($W$17:$W$817,ROW()-16),"")</f>
        <v/>
      </c>
      <c r="D762">
        <f>IFERROR(INDEX($AA$17:$AA$817,ROW()-16),"")</f>
        <v/>
      </c>
    </row>
    <row r="763">
      <c r="A763" s="23">
        <f>IFERROR(INDEX($R$17:$R$817,ROW()-16),"")</f>
        <v/>
      </c>
      <c r="B763">
        <f>IFERROR(INDEX($S$17:$S$817,ROW()-16),"")</f>
        <v/>
      </c>
      <c r="C763">
        <f>IFERROR(INDEX($W$17:$W$817,ROW()-16),"")</f>
        <v/>
      </c>
      <c r="D763">
        <f>IFERROR(INDEX($AA$17:$AA$817,ROW()-16),"")</f>
        <v/>
      </c>
    </row>
    <row r="764">
      <c r="A764" s="23">
        <f>IFERROR(INDEX($R$17:$R$817,ROW()-16),"")</f>
        <v/>
      </c>
      <c r="B764">
        <f>IFERROR(INDEX($S$17:$S$817,ROW()-16),"")</f>
        <v/>
      </c>
      <c r="C764">
        <f>IFERROR(INDEX($W$17:$W$817,ROW()-16),"")</f>
        <v/>
      </c>
      <c r="D764">
        <f>IFERROR(INDEX($AA$17:$AA$817,ROW()-16),"")</f>
        <v/>
      </c>
    </row>
    <row r="765">
      <c r="A765" s="23">
        <f>IFERROR(INDEX($R$17:$R$817,ROW()-16),"")</f>
        <v/>
      </c>
      <c r="B765">
        <f>IFERROR(INDEX($S$17:$S$817,ROW()-16),"")</f>
        <v/>
      </c>
      <c r="C765">
        <f>IFERROR(INDEX($W$17:$W$817,ROW()-16),"")</f>
        <v/>
      </c>
      <c r="D765">
        <f>IFERROR(INDEX($AA$17:$AA$817,ROW()-16),"")</f>
        <v/>
      </c>
    </row>
    <row r="766">
      <c r="A766" s="23">
        <f>IFERROR(INDEX($R$17:$R$817,ROW()-16),"")</f>
        <v/>
      </c>
      <c r="B766">
        <f>IFERROR(INDEX($S$17:$S$817,ROW()-16),"")</f>
        <v/>
      </c>
      <c r="C766">
        <f>IFERROR(INDEX($W$17:$W$817,ROW()-16),"")</f>
        <v/>
      </c>
      <c r="D766">
        <f>IFERROR(INDEX($AA$17:$AA$817,ROW()-16),"")</f>
        <v/>
      </c>
    </row>
    <row r="767">
      <c r="A767" s="23">
        <f>IFERROR(INDEX($R$17:$R$817,ROW()-16),"")</f>
        <v/>
      </c>
      <c r="B767">
        <f>IFERROR(INDEX($S$17:$S$817,ROW()-16),"")</f>
        <v/>
      </c>
      <c r="C767">
        <f>IFERROR(INDEX($W$17:$W$817,ROW()-16),"")</f>
        <v/>
      </c>
      <c r="D767">
        <f>IFERROR(INDEX($AA$17:$AA$817,ROW()-16),"")</f>
        <v/>
      </c>
    </row>
    <row r="768">
      <c r="A768" s="23">
        <f>IFERROR(INDEX($R$17:$R$817,ROW()-16),"")</f>
        <v/>
      </c>
      <c r="B768">
        <f>IFERROR(INDEX($S$17:$S$817,ROW()-16),"")</f>
        <v/>
      </c>
      <c r="C768">
        <f>IFERROR(INDEX($W$17:$W$817,ROW()-16),"")</f>
        <v/>
      </c>
      <c r="D768">
        <f>IFERROR(INDEX($AA$17:$AA$817,ROW()-16),"")</f>
        <v/>
      </c>
    </row>
    <row r="769">
      <c r="A769" s="23">
        <f>IFERROR(INDEX($R$17:$R$817,ROW()-16),"")</f>
        <v/>
      </c>
      <c r="B769">
        <f>IFERROR(INDEX($S$17:$S$817,ROW()-16),"")</f>
        <v/>
      </c>
      <c r="C769">
        <f>IFERROR(INDEX($W$17:$W$817,ROW()-16),"")</f>
        <v/>
      </c>
      <c r="D769">
        <f>IFERROR(INDEX($AA$17:$AA$817,ROW()-16),"")</f>
        <v/>
      </c>
    </row>
    <row r="770">
      <c r="A770" s="23">
        <f>IFERROR(INDEX($R$17:$R$817,ROW()-16),"")</f>
        <v/>
      </c>
      <c r="B770">
        <f>IFERROR(INDEX($S$17:$S$817,ROW()-16),"")</f>
        <v/>
      </c>
      <c r="C770">
        <f>IFERROR(INDEX($W$17:$W$817,ROW()-16),"")</f>
        <v/>
      </c>
      <c r="D770">
        <f>IFERROR(INDEX($AA$17:$AA$817,ROW()-16),"")</f>
        <v/>
      </c>
    </row>
    <row r="771">
      <c r="A771" s="23">
        <f>IFERROR(INDEX($R$17:$R$817,ROW()-16),"")</f>
        <v/>
      </c>
      <c r="B771">
        <f>IFERROR(INDEX($S$17:$S$817,ROW()-16),"")</f>
        <v/>
      </c>
      <c r="C771">
        <f>IFERROR(INDEX($W$17:$W$817,ROW()-16),"")</f>
        <v/>
      </c>
      <c r="D771">
        <f>IFERROR(INDEX($AA$17:$AA$817,ROW()-16),"")</f>
        <v/>
      </c>
    </row>
    <row r="772">
      <c r="A772" s="23">
        <f>IFERROR(INDEX($R$17:$R$817,ROW()-16),"")</f>
        <v/>
      </c>
      <c r="B772">
        <f>IFERROR(INDEX($S$17:$S$817,ROW()-16),"")</f>
        <v/>
      </c>
      <c r="C772">
        <f>IFERROR(INDEX($W$17:$W$817,ROW()-16),"")</f>
        <v/>
      </c>
      <c r="D772">
        <f>IFERROR(INDEX($AA$17:$AA$817,ROW()-16),"")</f>
        <v/>
      </c>
    </row>
    <row r="773">
      <c r="A773" s="23">
        <f>IFERROR(INDEX($R$17:$R$817,ROW()-16),"")</f>
        <v/>
      </c>
      <c r="B773">
        <f>IFERROR(INDEX($S$17:$S$817,ROW()-16),"")</f>
        <v/>
      </c>
      <c r="C773">
        <f>IFERROR(INDEX($W$17:$W$817,ROW()-16),"")</f>
        <v/>
      </c>
      <c r="D773">
        <f>IFERROR(INDEX($AA$17:$AA$817,ROW()-16),"")</f>
        <v/>
      </c>
    </row>
    <row r="774">
      <c r="A774" s="23">
        <f>IFERROR(INDEX($R$17:$R$817,ROW()-16),"")</f>
        <v/>
      </c>
      <c r="B774">
        <f>IFERROR(INDEX($S$17:$S$817,ROW()-16),"")</f>
        <v/>
      </c>
      <c r="C774">
        <f>IFERROR(INDEX($W$17:$W$817,ROW()-16),"")</f>
        <v/>
      </c>
      <c r="D774">
        <f>IFERROR(INDEX($AA$17:$AA$817,ROW()-16),"")</f>
        <v/>
      </c>
    </row>
    <row r="775">
      <c r="A775" s="23">
        <f>IFERROR(INDEX($R$17:$R$817,ROW()-16),"")</f>
        <v/>
      </c>
      <c r="B775">
        <f>IFERROR(INDEX($S$17:$S$817,ROW()-16),"")</f>
        <v/>
      </c>
      <c r="C775">
        <f>IFERROR(INDEX($W$17:$W$817,ROW()-16),"")</f>
        <v/>
      </c>
      <c r="D775">
        <f>IFERROR(INDEX($AA$17:$AA$817,ROW()-16),"")</f>
        <v/>
      </c>
    </row>
    <row r="776">
      <c r="A776" s="23">
        <f>IFERROR(INDEX($R$17:$R$817,ROW()-16),"")</f>
        <v/>
      </c>
      <c r="B776">
        <f>IFERROR(INDEX($S$17:$S$817,ROW()-16),"")</f>
        <v/>
      </c>
      <c r="C776">
        <f>IFERROR(INDEX($W$17:$W$817,ROW()-16),"")</f>
        <v/>
      </c>
      <c r="D776">
        <f>IFERROR(INDEX($AA$17:$AA$817,ROW()-16),"")</f>
        <v/>
      </c>
    </row>
    <row r="777">
      <c r="A777" s="23">
        <f>IFERROR(INDEX($R$17:$R$817,ROW()-16),"")</f>
        <v/>
      </c>
      <c r="B777">
        <f>IFERROR(INDEX($S$17:$S$817,ROW()-16),"")</f>
        <v/>
      </c>
      <c r="C777">
        <f>IFERROR(INDEX($W$17:$W$817,ROW()-16),"")</f>
        <v/>
      </c>
      <c r="D777">
        <f>IFERROR(INDEX($AA$17:$AA$817,ROW()-16),"")</f>
        <v/>
      </c>
    </row>
    <row r="778">
      <c r="A778" s="23">
        <f>IFERROR(INDEX($R$17:$R$817,ROW()-16),"")</f>
        <v/>
      </c>
      <c r="B778">
        <f>IFERROR(INDEX($S$17:$S$817,ROW()-16),"")</f>
        <v/>
      </c>
      <c r="C778">
        <f>IFERROR(INDEX($W$17:$W$817,ROW()-16),"")</f>
        <v/>
      </c>
      <c r="D778">
        <f>IFERROR(INDEX($AA$17:$AA$817,ROW()-16),"")</f>
        <v/>
      </c>
    </row>
    <row r="779">
      <c r="A779" s="23">
        <f>IFERROR(INDEX($R$17:$R$817,ROW()-16),"")</f>
        <v/>
      </c>
      <c r="B779">
        <f>IFERROR(INDEX($S$17:$S$817,ROW()-16),"")</f>
        <v/>
      </c>
      <c r="C779">
        <f>IFERROR(INDEX($W$17:$W$817,ROW()-16),"")</f>
        <v/>
      </c>
      <c r="D779">
        <f>IFERROR(INDEX($AA$17:$AA$817,ROW()-16),"")</f>
        <v/>
      </c>
    </row>
    <row r="780">
      <c r="A780" s="23">
        <f>IFERROR(INDEX($R$17:$R$817,ROW()-16),"")</f>
        <v/>
      </c>
      <c r="B780">
        <f>IFERROR(INDEX($S$17:$S$817,ROW()-16),"")</f>
        <v/>
      </c>
      <c r="C780">
        <f>IFERROR(INDEX($W$17:$W$817,ROW()-16),"")</f>
        <v/>
      </c>
      <c r="D780">
        <f>IFERROR(INDEX($AA$17:$AA$817,ROW()-16),"")</f>
        <v/>
      </c>
    </row>
    <row r="781">
      <c r="A781" s="23">
        <f>IFERROR(INDEX($R$17:$R$817,ROW()-16),"")</f>
        <v/>
      </c>
      <c r="B781">
        <f>IFERROR(INDEX($S$17:$S$817,ROW()-16),"")</f>
        <v/>
      </c>
      <c r="C781">
        <f>IFERROR(INDEX($W$17:$W$817,ROW()-16),"")</f>
        <v/>
      </c>
      <c r="D781">
        <f>IFERROR(INDEX($AA$17:$AA$817,ROW()-16),"")</f>
        <v/>
      </c>
    </row>
    <row r="782">
      <c r="A782" s="23">
        <f>IFERROR(INDEX($R$17:$R$817,ROW()-16),"")</f>
        <v/>
      </c>
      <c r="B782">
        <f>IFERROR(INDEX($S$17:$S$817,ROW()-16),"")</f>
        <v/>
      </c>
      <c r="C782">
        <f>IFERROR(INDEX($W$17:$W$817,ROW()-16),"")</f>
        <v/>
      </c>
      <c r="D782">
        <f>IFERROR(INDEX($AA$17:$AA$817,ROW()-16),"")</f>
        <v/>
      </c>
    </row>
    <row r="783">
      <c r="A783" s="23">
        <f>IFERROR(INDEX($R$17:$R$817,ROW()-16),"")</f>
        <v/>
      </c>
      <c r="B783">
        <f>IFERROR(INDEX($S$17:$S$817,ROW()-16),"")</f>
        <v/>
      </c>
      <c r="C783">
        <f>IFERROR(INDEX($W$17:$W$817,ROW()-16),"")</f>
        <v/>
      </c>
      <c r="D783">
        <f>IFERROR(INDEX($AA$17:$AA$817,ROW()-16),"")</f>
        <v/>
      </c>
    </row>
    <row r="784">
      <c r="A784" s="23">
        <f>IFERROR(INDEX($R$17:$R$817,ROW()-16),"")</f>
        <v/>
      </c>
      <c r="B784">
        <f>IFERROR(INDEX($S$17:$S$817,ROW()-16),"")</f>
        <v/>
      </c>
      <c r="C784">
        <f>IFERROR(INDEX($W$17:$W$817,ROW()-16),"")</f>
        <v/>
      </c>
      <c r="D784">
        <f>IFERROR(INDEX($AA$17:$AA$817,ROW()-16),"")</f>
        <v/>
      </c>
    </row>
    <row r="785">
      <c r="A785" s="23">
        <f>IFERROR(INDEX($R$17:$R$817,ROW()-16),"")</f>
        <v/>
      </c>
      <c r="B785">
        <f>IFERROR(INDEX($S$17:$S$817,ROW()-16),"")</f>
        <v/>
      </c>
      <c r="C785">
        <f>IFERROR(INDEX($W$17:$W$817,ROW()-16),"")</f>
        <v/>
      </c>
      <c r="D785">
        <f>IFERROR(INDEX($AA$17:$AA$817,ROW()-16),"")</f>
        <v/>
      </c>
    </row>
    <row r="786">
      <c r="A786" s="23">
        <f>IFERROR(INDEX($R$17:$R$817,ROW()-16),"")</f>
        <v/>
      </c>
      <c r="B786">
        <f>IFERROR(INDEX($S$17:$S$817,ROW()-16),"")</f>
        <v/>
      </c>
      <c r="C786">
        <f>IFERROR(INDEX($W$17:$W$817,ROW()-16),"")</f>
        <v/>
      </c>
      <c r="D786">
        <f>IFERROR(INDEX($AA$17:$AA$817,ROW()-16),"")</f>
        <v/>
      </c>
    </row>
    <row r="787">
      <c r="A787" s="23">
        <f>IFERROR(INDEX($R$17:$R$817,ROW()-16),"")</f>
        <v/>
      </c>
      <c r="B787">
        <f>IFERROR(INDEX($S$17:$S$817,ROW()-16),"")</f>
        <v/>
      </c>
      <c r="C787">
        <f>IFERROR(INDEX($W$17:$W$817,ROW()-16),"")</f>
        <v/>
      </c>
      <c r="D787">
        <f>IFERROR(INDEX($AA$17:$AA$817,ROW()-16),"")</f>
        <v/>
      </c>
    </row>
    <row r="788">
      <c r="A788" s="23">
        <f>IFERROR(INDEX($R$17:$R$817,ROW()-16),"")</f>
        <v/>
      </c>
      <c r="B788">
        <f>IFERROR(INDEX($S$17:$S$817,ROW()-16),"")</f>
        <v/>
      </c>
      <c r="C788">
        <f>IFERROR(INDEX($W$17:$W$817,ROW()-16),"")</f>
        <v/>
      </c>
      <c r="D788">
        <f>IFERROR(INDEX($AA$17:$AA$817,ROW()-16),"")</f>
        <v/>
      </c>
    </row>
    <row r="789">
      <c r="A789" s="23">
        <f>IFERROR(INDEX($R$17:$R$817,ROW()-16),"")</f>
        <v/>
      </c>
      <c r="B789">
        <f>IFERROR(INDEX($S$17:$S$817,ROW()-16),"")</f>
        <v/>
      </c>
      <c r="C789">
        <f>IFERROR(INDEX($W$17:$W$817,ROW()-16),"")</f>
        <v/>
      </c>
      <c r="D789">
        <f>IFERROR(INDEX($AA$17:$AA$817,ROW()-16),"")</f>
        <v/>
      </c>
    </row>
    <row r="790">
      <c r="A790" s="23">
        <f>IFERROR(INDEX($R$17:$R$817,ROW()-16),"")</f>
        <v/>
      </c>
      <c r="B790">
        <f>IFERROR(INDEX($S$17:$S$817,ROW()-16),"")</f>
        <v/>
      </c>
      <c r="C790">
        <f>IFERROR(INDEX($W$17:$W$817,ROW()-16),"")</f>
        <v/>
      </c>
      <c r="D790">
        <f>IFERROR(INDEX($AA$17:$AA$817,ROW()-16),"")</f>
        <v/>
      </c>
    </row>
    <row r="791">
      <c r="A791" s="23">
        <f>IFERROR(INDEX($R$17:$R$817,ROW()-16),"")</f>
        <v/>
      </c>
      <c r="B791">
        <f>IFERROR(INDEX($S$17:$S$817,ROW()-16),"")</f>
        <v/>
      </c>
      <c r="C791">
        <f>IFERROR(INDEX($W$17:$W$817,ROW()-16),"")</f>
        <v/>
      </c>
      <c r="D791">
        <f>IFERROR(INDEX($AA$17:$AA$817,ROW()-16),"")</f>
        <v/>
      </c>
    </row>
    <row r="792">
      <c r="A792" s="23">
        <f>IFERROR(INDEX($R$17:$R$817,ROW()-16),"")</f>
        <v/>
      </c>
      <c r="B792">
        <f>IFERROR(INDEX($S$17:$S$817,ROW()-16),"")</f>
        <v/>
      </c>
      <c r="C792">
        <f>IFERROR(INDEX($W$17:$W$817,ROW()-16),"")</f>
        <v/>
      </c>
      <c r="D792">
        <f>IFERROR(INDEX($AA$17:$AA$817,ROW()-16),"")</f>
        <v/>
      </c>
    </row>
    <row r="793">
      <c r="A793" s="23">
        <f>IFERROR(INDEX($R$17:$R$817,ROW()-16),"")</f>
        <v/>
      </c>
      <c r="B793">
        <f>IFERROR(INDEX($S$17:$S$817,ROW()-16),"")</f>
        <v/>
      </c>
      <c r="C793">
        <f>IFERROR(INDEX($W$17:$W$817,ROW()-16),"")</f>
        <v/>
      </c>
      <c r="D793">
        <f>IFERROR(INDEX($AA$17:$AA$817,ROW()-16),"")</f>
        <v/>
      </c>
    </row>
    <row r="794">
      <c r="A794" s="23">
        <f>IFERROR(INDEX($R$17:$R$817,ROW()-16),"")</f>
        <v/>
      </c>
      <c r="B794">
        <f>IFERROR(INDEX($S$17:$S$817,ROW()-16),"")</f>
        <v/>
      </c>
      <c r="C794">
        <f>IFERROR(INDEX($W$17:$W$817,ROW()-16),"")</f>
        <v/>
      </c>
      <c r="D794">
        <f>IFERROR(INDEX($AA$17:$AA$817,ROW()-16),"")</f>
        <v/>
      </c>
    </row>
    <row r="795">
      <c r="A795" s="23">
        <f>IFERROR(INDEX($R$17:$R$817,ROW()-16),"")</f>
        <v/>
      </c>
      <c r="B795">
        <f>IFERROR(INDEX($S$17:$S$817,ROW()-16),"")</f>
        <v/>
      </c>
      <c r="C795">
        <f>IFERROR(INDEX($W$17:$W$817,ROW()-16),"")</f>
        <v/>
      </c>
      <c r="D795">
        <f>IFERROR(INDEX($AA$17:$AA$817,ROW()-16),"")</f>
        <v/>
      </c>
    </row>
    <row r="796">
      <c r="A796" s="23">
        <f>IFERROR(INDEX($R$17:$R$817,ROW()-16),"")</f>
        <v/>
      </c>
      <c r="B796">
        <f>IFERROR(INDEX($S$17:$S$817,ROW()-16),"")</f>
        <v/>
      </c>
      <c r="C796">
        <f>IFERROR(INDEX($W$17:$W$817,ROW()-16),"")</f>
        <v/>
      </c>
      <c r="D796">
        <f>IFERROR(INDEX($AA$17:$AA$817,ROW()-16),"")</f>
        <v/>
      </c>
    </row>
    <row r="797">
      <c r="A797" s="23">
        <f>IFERROR(INDEX($R$17:$R$817,ROW()-16),"")</f>
        <v/>
      </c>
      <c r="B797">
        <f>IFERROR(INDEX($S$17:$S$817,ROW()-16),"")</f>
        <v/>
      </c>
      <c r="C797">
        <f>IFERROR(INDEX($W$17:$W$817,ROW()-16),"")</f>
        <v/>
      </c>
      <c r="D797">
        <f>IFERROR(INDEX($AA$17:$AA$817,ROW()-16),"")</f>
        <v/>
      </c>
    </row>
    <row r="798">
      <c r="A798" s="23">
        <f>IFERROR(INDEX($R$17:$R$817,ROW()-16),"")</f>
        <v/>
      </c>
      <c r="B798">
        <f>IFERROR(INDEX($S$17:$S$817,ROW()-16),"")</f>
        <v/>
      </c>
      <c r="C798">
        <f>IFERROR(INDEX($W$17:$W$817,ROW()-16),"")</f>
        <v/>
      </c>
      <c r="D798">
        <f>IFERROR(INDEX($AA$17:$AA$817,ROW()-16),"")</f>
        <v/>
      </c>
    </row>
    <row r="799">
      <c r="A799" s="23">
        <f>IFERROR(INDEX($R$17:$R$817,ROW()-16),"")</f>
        <v/>
      </c>
      <c r="B799">
        <f>IFERROR(INDEX($S$17:$S$817,ROW()-16),"")</f>
        <v/>
      </c>
      <c r="C799">
        <f>IFERROR(INDEX($W$17:$W$817,ROW()-16),"")</f>
        <v/>
      </c>
      <c r="D799">
        <f>IFERROR(INDEX($AA$17:$AA$817,ROW()-16),"")</f>
        <v/>
      </c>
    </row>
    <row r="800">
      <c r="A800" s="23">
        <f>IFERROR(INDEX($R$17:$R$817,ROW()-16),"")</f>
        <v/>
      </c>
      <c r="B800">
        <f>IFERROR(INDEX($S$17:$S$817,ROW()-16),"")</f>
        <v/>
      </c>
      <c r="C800">
        <f>IFERROR(INDEX($W$17:$W$817,ROW()-16),"")</f>
        <v/>
      </c>
      <c r="D800">
        <f>IFERROR(INDEX($AA$17:$AA$817,ROW()-16),"")</f>
        <v/>
      </c>
    </row>
    <row r="801">
      <c r="A801" s="23">
        <f>IFERROR(INDEX($R$17:$R$817,ROW()-16),"")</f>
        <v/>
      </c>
      <c r="B801">
        <f>IFERROR(INDEX($S$17:$S$817,ROW()-16),"")</f>
        <v/>
      </c>
      <c r="C801">
        <f>IFERROR(INDEX($W$17:$W$817,ROW()-16),"")</f>
        <v/>
      </c>
      <c r="D801">
        <f>IFERROR(INDEX($AA$17:$AA$817,ROW()-16),"")</f>
        <v/>
      </c>
    </row>
    <row r="802">
      <c r="A802" s="23">
        <f>IFERROR(INDEX($R$17:$R$817,ROW()-16),"")</f>
        <v/>
      </c>
      <c r="B802">
        <f>IFERROR(INDEX($S$17:$S$817,ROW()-16),"")</f>
        <v/>
      </c>
      <c r="C802">
        <f>IFERROR(INDEX($W$17:$W$817,ROW()-16),"")</f>
        <v/>
      </c>
      <c r="D802">
        <f>IFERROR(INDEX($AA$17:$AA$817,ROW()-16),"")</f>
        <v/>
      </c>
    </row>
    <row r="803">
      <c r="A803" s="23">
        <f>IFERROR(INDEX($R$17:$R$817,ROW()-16),"")</f>
        <v/>
      </c>
      <c r="B803">
        <f>IFERROR(INDEX($S$17:$S$817,ROW()-16),"")</f>
        <v/>
      </c>
      <c r="C803">
        <f>IFERROR(INDEX($W$17:$W$817,ROW()-16),"")</f>
        <v/>
      </c>
      <c r="D803">
        <f>IFERROR(INDEX($AA$17:$AA$817,ROW()-16),"")</f>
        <v/>
      </c>
    </row>
    <row r="804">
      <c r="A804" s="23">
        <f>IFERROR(INDEX($R$17:$R$817,ROW()-16),"")</f>
        <v/>
      </c>
      <c r="B804">
        <f>IFERROR(INDEX($S$17:$S$817,ROW()-16),"")</f>
        <v/>
      </c>
      <c r="C804">
        <f>IFERROR(INDEX($W$17:$W$817,ROW()-16),"")</f>
        <v/>
      </c>
      <c r="D804">
        <f>IFERROR(INDEX($AA$17:$AA$817,ROW()-16),"")</f>
        <v/>
      </c>
    </row>
    <row r="805">
      <c r="A805" s="23">
        <f>IFERROR(INDEX($R$17:$R$817,ROW()-16),"")</f>
        <v/>
      </c>
      <c r="B805">
        <f>IFERROR(INDEX($S$17:$S$817,ROW()-16),"")</f>
        <v/>
      </c>
      <c r="C805">
        <f>IFERROR(INDEX($W$17:$W$817,ROW()-16),"")</f>
        <v/>
      </c>
      <c r="D805">
        <f>IFERROR(INDEX($AA$17:$AA$817,ROW()-16),"")</f>
        <v/>
      </c>
    </row>
    <row r="806">
      <c r="A806" s="23">
        <f>IFERROR(INDEX($R$17:$R$817,ROW()-16),"")</f>
        <v/>
      </c>
      <c r="B806">
        <f>IFERROR(INDEX($S$17:$S$817,ROW()-16),"")</f>
        <v/>
      </c>
      <c r="C806">
        <f>IFERROR(INDEX($W$17:$W$817,ROW()-16),"")</f>
        <v/>
      </c>
      <c r="D806">
        <f>IFERROR(INDEX($AA$17:$AA$817,ROW()-16),"")</f>
        <v/>
      </c>
    </row>
    <row r="807">
      <c r="A807" s="23">
        <f>IFERROR(INDEX($R$17:$R$817,ROW()-16),"")</f>
        <v/>
      </c>
      <c r="B807">
        <f>IFERROR(INDEX($S$17:$S$817,ROW()-16),"")</f>
        <v/>
      </c>
      <c r="C807">
        <f>IFERROR(INDEX($W$17:$W$817,ROW()-16),"")</f>
        <v/>
      </c>
      <c r="D807">
        <f>IFERROR(INDEX($AA$17:$AA$817,ROW()-16),"")</f>
        <v/>
      </c>
    </row>
    <row r="808">
      <c r="A808" s="23">
        <f>IFERROR(INDEX($R$17:$R$817,ROW()-16),"")</f>
        <v/>
      </c>
      <c r="B808">
        <f>IFERROR(INDEX($S$17:$S$817,ROW()-16),"")</f>
        <v/>
      </c>
      <c r="C808">
        <f>IFERROR(INDEX($W$17:$W$817,ROW()-16),"")</f>
        <v/>
      </c>
      <c r="D808">
        <f>IFERROR(INDEX($AA$17:$AA$817,ROW()-16),"")</f>
        <v/>
      </c>
    </row>
    <row r="809">
      <c r="A809" s="23">
        <f>IFERROR(INDEX($R$17:$R$817,ROW()-16),"")</f>
        <v/>
      </c>
      <c r="B809">
        <f>IFERROR(INDEX($S$17:$S$817,ROW()-16),"")</f>
        <v/>
      </c>
      <c r="C809">
        <f>IFERROR(INDEX($W$17:$W$817,ROW()-16),"")</f>
        <v/>
      </c>
      <c r="D809">
        <f>IFERROR(INDEX($AA$17:$AA$817,ROW()-16),"")</f>
        <v/>
      </c>
    </row>
    <row r="810">
      <c r="A810" s="23">
        <f>IFERROR(INDEX($R$17:$R$817,ROW()-16),"")</f>
        <v/>
      </c>
      <c r="B810">
        <f>IFERROR(INDEX($S$17:$S$817,ROW()-16),"")</f>
        <v/>
      </c>
      <c r="C810">
        <f>IFERROR(INDEX($W$17:$W$817,ROW()-16),"")</f>
        <v/>
      </c>
      <c r="D810">
        <f>IFERROR(INDEX($AA$17:$AA$817,ROW()-16),"")</f>
        <v/>
      </c>
    </row>
    <row r="811">
      <c r="A811" s="23">
        <f>IFERROR(INDEX($R$17:$R$817,ROW()-16),"")</f>
        <v/>
      </c>
      <c r="B811">
        <f>IFERROR(INDEX($S$17:$S$817,ROW()-16),"")</f>
        <v/>
      </c>
      <c r="C811">
        <f>IFERROR(INDEX($W$17:$W$817,ROW()-16),"")</f>
        <v/>
      </c>
      <c r="D811">
        <f>IFERROR(INDEX($AA$17:$AA$817,ROW()-16),"")</f>
        <v/>
      </c>
    </row>
    <row r="812">
      <c r="A812" s="23">
        <f>IFERROR(INDEX($R$17:$R$817,ROW()-16),"")</f>
        <v/>
      </c>
      <c r="B812">
        <f>IFERROR(INDEX($S$17:$S$817,ROW()-16),"")</f>
        <v/>
      </c>
      <c r="C812">
        <f>IFERROR(INDEX($W$17:$W$817,ROW()-16),"")</f>
        <v/>
      </c>
      <c r="D812">
        <f>IFERROR(INDEX($AA$17:$AA$817,ROW()-16),"")</f>
        <v/>
      </c>
    </row>
    <row r="813">
      <c r="A813" s="23">
        <f>IFERROR(INDEX($R$17:$R$817,ROW()-16),"")</f>
        <v/>
      </c>
      <c r="B813">
        <f>IFERROR(INDEX($S$17:$S$817,ROW()-16),"")</f>
        <v/>
      </c>
      <c r="C813">
        <f>IFERROR(INDEX($W$17:$W$817,ROW()-16),"")</f>
        <v/>
      </c>
      <c r="D813">
        <f>IFERROR(INDEX($AA$17:$AA$817,ROW()-16),"")</f>
        <v/>
      </c>
    </row>
    <row r="814">
      <c r="A814" s="23">
        <f>IFERROR(INDEX($R$17:$R$817,ROW()-16),"")</f>
        <v/>
      </c>
      <c r="B814">
        <f>IFERROR(INDEX($S$17:$S$817,ROW()-16),"")</f>
        <v/>
      </c>
      <c r="C814">
        <f>IFERROR(INDEX($W$17:$W$817,ROW()-16),"")</f>
        <v/>
      </c>
      <c r="D814">
        <f>IFERROR(INDEX($AA$17:$AA$817,ROW()-16),"")</f>
        <v/>
      </c>
    </row>
    <row r="815">
      <c r="A815" s="23">
        <f>IFERROR(INDEX($R$17:$R$817,ROW()-16),"")</f>
        <v/>
      </c>
      <c r="B815">
        <f>IFERROR(INDEX($S$17:$S$817,ROW()-16),"")</f>
        <v/>
      </c>
      <c r="C815">
        <f>IFERROR(INDEX($W$17:$W$817,ROW()-16),"")</f>
        <v/>
      </c>
      <c r="D815">
        <f>IFERROR(INDEX($AA$17:$AA$817,ROW()-16),"")</f>
        <v/>
      </c>
    </row>
    <row r="816">
      <c r="A816" s="23">
        <f>IFERROR(INDEX($R$17:$R$817,ROW()-16),"")</f>
        <v/>
      </c>
      <c r="B816">
        <f>IFERROR(INDEX($S$17:$S$817,ROW()-16),"")</f>
        <v/>
      </c>
      <c r="C816">
        <f>IFERROR(INDEX($W$17:$W$817,ROW()-16),"")</f>
        <v/>
      </c>
      <c r="D816">
        <f>IFERROR(INDEX($AA$17:$AA$817,ROW()-16),"")</f>
        <v/>
      </c>
    </row>
  </sheetData>
  <pageMargins left="0.75" right="0.75" top="1" bottom="1" header="0.5" footer="0.5"/>
  <drawing xmlns:r="http://schemas.openxmlformats.org/officeDocument/2006/relationships" r:id="rId1"/>
</worksheet>
</file>

<file path=xl/worksheets/sheet7.xml><?xml version="1.0" encoding="utf-8"?>
<worksheet xmlns="http://schemas.openxmlformats.org/spreadsheetml/2006/main">
  <sheetPr>
    <outlinePr summaryBelow="1" summaryRight="1"/>
    <pageSetUpPr/>
  </sheetPr>
  <dimension ref="A1:H819"/>
  <sheetViews>
    <sheetView showGridLines="0" workbookViewId="0">
      <pane ySplit="4" topLeftCell="A5" activePane="bottomLeft" state="frozen"/>
      <selection pane="bottomLeft" activeCell="A1" sqref="A1"/>
    </sheetView>
  </sheetViews>
  <sheetFormatPr baseColWidth="8" defaultRowHeight="15"/>
  <cols>
    <col width="12" customWidth="1" min="1" max="1"/>
    <col width="13" customWidth="1" min="2" max="2"/>
    <col width="13" customWidth="1" min="3" max="3"/>
    <col width="50" customWidth="1" min="4" max="4"/>
  </cols>
  <sheetData>
    <row r="1">
      <c r="A1" s="1" t="inlineStr">
        <is>
          <t>Channel 1 — the discount rate — §3.1</t>
        </is>
      </c>
    </row>
    <row r="2">
      <c r="A2" s="2" t="inlineStr">
        <is>
          <t>The 3.97% to 4.71% chart, made live, plus the Fed path backed out of fed funds futures rather than quoted from WIRP.</t>
        </is>
      </c>
    </row>
    <row r="3" ht="4" customHeight="1">
      <c r="A3" s="3" t="n"/>
      <c r="B3" s="3" t="n"/>
      <c r="C3" s="3" t="n"/>
      <c r="D3" s="3" t="n"/>
      <c r="E3" s="3" t="n"/>
      <c r="F3" s="3" t="n"/>
      <c r="G3" s="3" t="n"/>
      <c r="H3" s="3" t="n"/>
    </row>
    <row r="5" ht="18" customHeight="1">
      <c r="A5" s="4" t="inlineStr">
        <is>
          <t>Measure</t>
        </is>
      </c>
      <c r="B5" s="4" t="inlineStr">
        <is>
          <t>Ticker</t>
        </is>
      </c>
      <c r="C5" s="4" t="inlineStr">
        <is>
          <t>Value</t>
        </is>
      </c>
      <c r="D5" s="4" t="inlineStr">
        <is>
          <t>Note</t>
        </is>
      </c>
    </row>
    <row r="6">
      <c r="A6" s="13" t="inlineStr">
        <is>
          <t>UST 10y, current</t>
        </is>
      </c>
      <c r="B6" s="14" t="inlineStr">
        <is>
          <t>USGG10YR Index</t>
        </is>
      </c>
      <c r="C6" s="33">
        <f>BDP($B6,"PX_LAST")</f>
        <v/>
      </c>
      <c r="D6" s="7" t="inlineStr">
        <is>
          <t>Memo: 4.71%</t>
        </is>
      </c>
    </row>
    <row r="7">
      <c r="A7" s="13" t="inlineStr">
        <is>
          <t>UST 10y, pre-war baseline</t>
        </is>
      </c>
      <c r="B7" s="29" t="n"/>
      <c r="C7" s="33">
        <f>IFERROR(INDEX($B$20:$B$819,MATCH(TRUE,INDEX($A$20:$A$819&gt;=StartWar,0),0)),"")</f>
        <v/>
      </c>
      <c r="D7" s="7" t="inlineStr">
        <is>
          <t>Pulled from the history below, not typed.</t>
        </is>
      </c>
    </row>
    <row r="8">
      <c r="A8" s="13" t="inlineStr">
        <is>
          <t>Move since 25 Feb 2026, bp</t>
        </is>
      </c>
      <c r="B8" s="29" t="n"/>
      <c r="C8" s="33">
        <f>IFERROR((C6-C7)*100,"")</f>
        <v/>
      </c>
      <c r="D8" s="7" t="inlineStr">
        <is>
          <t>Memo asserts +74bp.</t>
        </is>
      </c>
    </row>
    <row r="9">
      <c r="A9" s="13" t="inlineStr">
        <is>
          <t>ACM 10y term premium</t>
        </is>
      </c>
      <c r="B9" s="14" t="inlineStr">
        <is>
          <t>ACMTP10 Index</t>
        </is>
      </c>
      <c r="C9" s="33">
        <f>BDP($B9,"PX_LAST")</f>
        <v/>
      </c>
      <c r="D9" s="7" t="inlineStr">
        <is>
          <t>Supports the 'be long term premium' argument.</t>
        </is>
      </c>
    </row>
    <row r="10">
      <c r="A10" s="13" t="inlineStr">
        <is>
          <t>Fed funds future, Sep-26</t>
        </is>
      </c>
      <c r="B10" s="14" t="inlineStr">
        <is>
          <t>FFU6 Comdty</t>
        </is>
      </c>
      <c r="C10" s="33">
        <f>IFERROR(100-BDP($B10,"PX_LAST"),"")</f>
        <v/>
      </c>
      <c r="D10" s="7" t="inlineStr">
        <is>
          <t>Implied rate = 100 - price.</t>
        </is>
      </c>
    </row>
    <row r="11">
      <c r="A11" s="13" t="inlineStr">
        <is>
          <t>Fed funds future, Oct-26</t>
        </is>
      </c>
      <c r="B11" s="14" t="inlineStr">
        <is>
          <t>FFV6 Comdty</t>
        </is>
      </c>
      <c r="C11" s="33">
        <f>IFERROR(100-BDP($B11,"PX_LAST"),"")</f>
        <v/>
      </c>
      <c r="D11" s="7" t="inlineStr"/>
    </row>
    <row r="12">
      <c r="A12" s="13" t="inlineStr">
        <is>
          <t>Fed funds future, Jan-27</t>
        </is>
      </c>
      <c r="B12" s="14" t="inlineStr">
        <is>
          <t>FFF7 Comdty</t>
        </is>
      </c>
      <c r="C12" s="33">
        <f>IFERROR(100-BDP($B12,"PX_LAST"),"")</f>
        <v/>
      </c>
      <c r="D12" s="7" t="inlineStr"/>
    </row>
    <row r="13">
      <c r="A13" s="13" t="inlineStr">
        <is>
          <t>Fed funds target (upper)</t>
        </is>
      </c>
      <c r="B13" s="14" t="inlineStr">
        <is>
          <t>FDTR Index</t>
        </is>
      </c>
      <c r="C13" s="33">
        <f>BDP($B13,"PX_LAST")</f>
        <v/>
      </c>
      <c r="D13" s="7" t="inlineStr">
        <is>
          <t>3.50–3.75% at 29 Jul.</t>
        </is>
      </c>
    </row>
    <row r="18">
      <c r="A18" s="9" t="inlineStr">
        <is>
          <t>UST 10y daily since the pre-war baseline</t>
        </is>
      </c>
    </row>
    <row r="19" ht="18" customHeight="1">
      <c r="A19" s="4" t="inlineStr">
        <is>
          <t>Date</t>
        </is>
      </c>
      <c r="B19" s="4" t="inlineStr">
        <is>
          <t>UST 10y, %</t>
        </is>
      </c>
    </row>
    <row r="20">
      <c r="A20" s="31">
        <f>BDH("USGG10YR Index","PX_LAST",StartWar,AsOf,"Dir=V","Sort=A","Fill=P")</f>
        <v/>
      </c>
    </row>
    <row r="21">
      <c r="A21" s="23" t="n"/>
    </row>
    <row r="22">
      <c r="A22" s="23" t="n"/>
    </row>
    <row r="23">
      <c r="A23" s="23" t="n"/>
    </row>
    <row r="24">
      <c r="A24" s="23" t="n"/>
    </row>
    <row r="25">
      <c r="A25" s="23" t="n"/>
    </row>
    <row r="26">
      <c r="A26" s="23" t="n"/>
    </row>
    <row r="27">
      <c r="A27" s="23" t="n"/>
    </row>
    <row r="28">
      <c r="A28" s="23" t="n"/>
    </row>
    <row r="29">
      <c r="A29" s="23" t="n"/>
    </row>
    <row r="30">
      <c r="A30" s="23" t="n"/>
    </row>
    <row r="31">
      <c r="A31" s="23" t="n"/>
    </row>
    <row r="32">
      <c r="A32" s="23" t="n"/>
    </row>
    <row r="33">
      <c r="A33" s="23" t="n"/>
    </row>
    <row r="34">
      <c r="A34" s="23" t="n"/>
    </row>
    <row r="35">
      <c r="A35" s="23" t="n"/>
    </row>
    <row r="36">
      <c r="A36" s="23" t="n"/>
    </row>
    <row r="37">
      <c r="A37" s="23" t="n"/>
    </row>
    <row r="38">
      <c r="A38" s="23" t="n"/>
    </row>
    <row r="39">
      <c r="A39" s="23" t="n"/>
    </row>
    <row r="40">
      <c r="A40" s="23" t="n"/>
    </row>
    <row r="41">
      <c r="A41" s="23" t="n"/>
    </row>
    <row r="42">
      <c r="A42" s="23" t="n"/>
    </row>
    <row r="43">
      <c r="A43" s="23" t="n"/>
    </row>
    <row r="44">
      <c r="A44" s="23" t="n"/>
    </row>
    <row r="45">
      <c r="A45" s="23" t="n"/>
    </row>
    <row r="46">
      <c r="A46" s="23" t="n"/>
    </row>
    <row r="47">
      <c r="A47" s="23" t="n"/>
    </row>
    <row r="48">
      <c r="A48" s="23" t="n"/>
    </row>
    <row r="49">
      <c r="A49" s="23" t="n"/>
    </row>
    <row r="50">
      <c r="A50" s="23" t="n"/>
    </row>
    <row r="51">
      <c r="A51" s="23" t="n"/>
    </row>
    <row r="52">
      <c r="A52" s="23" t="n"/>
    </row>
    <row r="53">
      <c r="A53" s="23" t="n"/>
    </row>
    <row r="54">
      <c r="A54" s="23" t="n"/>
    </row>
    <row r="55">
      <c r="A55" s="23" t="n"/>
    </row>
    <row r="56">
      <c r="A56" s="23" t="n"/>
    </row>
    <row r="57">
      <c r="A57" s="23" t="n"/>
    </row>
    <row r="58">
      <c r="A58" s="23" t="n"/>
    </row>
    <row r="59">
      <c r="A59" s="23" t="n"/>
    </row>
    <row r="60">
      <c r="A60" s="23" t="n"/>
    </row>
    <row r="61">
      <c r="A61" s="23" t="n"/>
    </row>
    <row r="62">
      <c r="A62" s="23" t="n"/>
    </row>
    <row r="63">
      <c r="A63" s="23" t="n"/>
    </row>
    <row r="64">
      <c r="A64" s="23" t="n"/>
    </row>
    <row r="65">
      <c r="A65" s="23" t="n"/>
    </row>
    <row r="66">
      <c r="A66" s="23" t="n"/>
    </row>
    <row r="67">
      <c r="A67" s="23" t="n"/>
    </row>
    <row r="68">
      <c r="A68" s="23" t="n"/>
    </row>
    <row r="69">
      <c r="A69" s="23" t="n"/>
    </row>
    <row r="70">
      <c r="A70" s="23" t="n"/>
    </row>
    <row r="71">
      <c r="A71" s="23" t="n"/>
    </row>
    <row r="72">
      <c r="A72" s="23" t="n"/>
    </row>
    <row r="73">
      <c r="A73" s="23" t="n"/>
    </row>
    <row r="74">
      <c r="A74" s="23" t="n"/>
    </row>
    <row r="75">
      <c r="A75" s="23" t="n"/>
    </row>
    <row r="76">
      <c r="A76" s="23" t="n"/>
    </row>
    <row r="77">
      <c r="A77" s="23" t="n"/>
    </row>
    <row r="78">
      <c r="A78" s="23" t="n"/>
    </row>
    <row r="79">
      <c r="A79" s="23" t="n"/>
    </row>
    <row r="80">
      <c r="A80" s="23" t="n"/>
    </row>
    <row r="81">
      <c r="A81" s="23" t="n"/>
    </row>
    <row r="82">
      <c r="A82" s="23" t="n"/>
    </row>
    <row r="83">
      <c r="A83" s="23" t="n"/>
    </row>
    <row r="84">
      <c r="A84" s="23" t="n"/>
    </row>
    <row r="85">
      <c r="A85" s="23" t="n"/>
    </row>
    <row r="86">
      <c r="A86" s="23" t="n"/>
    </row>
    <row r="87">
      <c r="A87" s="23" t="n"/>
    </row>
    <row r="88">
      <c r="A88" s="23" t="n"/>
    </row>
    <row r="89">
      <c r="A89" s="23" t="n"/>
    </row>
    <row r="90">
      <c r="A90" s="23" t="n"/>
    </row>
    <row r="91">
      <c r="A91" s="23" t="n"/>
    </row>
    <row r="92">
      <c r="A92" s="23" t="n"/>
    </row>
    <row r="93">
      <c r="A93" s="23" t="n"/>
    </row>
    <row r="94">
      <c r="A94" s="23" t="n"/>
    </row>
    <row r="95">
      <c r="A95" s="23" t="n"/>
    </row>
    <row r="96">
      <c r="A96" s="23" t="n"/>
    </row>
    <row r="97">
      <c r="A97" s="23" t="n"/>
    </row>
    <row r="98">
      <c r="A98" s="23" t="n"/>
    </row>
    <row r="99">
      <c r="A99" s="23" t="n"/>
    </row>
    <row r="100">
      <c r="A100" s="23" t="n"/>
    </row>
    <row r="101">
      <c r="A101" s="23" t="n"/>
    </row>
    <row r="102">
      <c r="A102" s="23" t="n"/>
    </row>
    <row r="103">
      <c r="A103" s="23" t="n"/>
    </row>
    <row r="104">
      <c r="A104" s="23" t="n"/>
    </row>
    <row r="105">
      <c r="A105" s="23" t="n"/>
    </row>
    <row r="106">
      <c r="A106" s="23" t="n"/>
    </row>
    <row r="107">
      <c r="A107" s="23" t="n"/>
    </row>
    <row r="108">
      <c r="A108" s="23" t="n"/>
    </row>
    <row r="109">
      <c r="A109" s="23" t="n"/>
    </row>
    <row r="110">
      <c r="A110" s="23" t="n"/>
    </row>
    <row r="111">
      <c r="A111" s="23" t="n"/>
    </row>
    <row r="112">
      <c r="A112" s="23" t="n"/>
    </row>
    <row r="113">
      <c r="A113" s="23" t="n"/>
    </row>
    <row r="114">
      <c r="A114" s="23" t="n"/>
    </row>
    <row r="115">
      <c r="A115" s="23" t="n"/>
    </row>
    <row r="116">
      <c r="A116" s="23" t="n"/>
    </row>
    <row r="117">
      <c r="A117" s="23" t="n"/>
    </row>
    <row r="118">
      <c r="A118" s="23" t="n"/>
    </row>
    <row r="119">
      <c r="A119" s="23" t="n"/>
    </row>
    <row r="120">
      <c r="A120" s="23" t="n"/>
    </row>
    <row r="121">
      <c r="A121" s="23" t="n"/>
    </row>
    <row r="122">
      <c r="A122" s="23" t="n"/>
    </row>
    <row r="123">
      <c r="A123" s="23" t="n"/>
    </row>
    <row r="124">
      <c r="A124" s="23" t="n"/>
    </row>
    <row r="125">
      <c r="A125" s="23" t="n"/>
    </row>
    <row r="126">
      <c r="A126" s="23" t="n"/>
    </row>
    <row r="127">
      <c r="A127" s="23" t="n"/>
    </row>
    <row r="128">
      <c r="A128" s="23" t="n"/>
    </row>
    <row r="129">
      <c r="A129" s="23" t="n"/>
    </row>
    <row r="130">
      <c r="A130" s="23" t="n"/>
    </row>
    <row r="131">
      <c r="A131" s="23" t="n"/>
    </row>
    <row r="132">
      <c r="A132" s="23" t="n"/>
    </row>
    <row r="133">
      <c r="A133" s="23" t="n"/>
    </row>
    <row r="134">
      <c r="A134" s="23" t="n"/>
    </row>
    <row r="135">
      <c r="A135" s="23" t="n"/>
    </row>
    <row r="136">
      <c r="A136" s="23" t="n"/>
    </row>
    <row r="137">
      <c r="A137" s="23" t="n"/>
    </row>
    <row r="138">
      <c r="A138" s="23" t="n"/>
    </row>
    <row r="139">
      <c r="A139" s="23" t="n"/>
    </row>
    <row r="140">
      <c r="A140" s="23" t="n"/>
    </row>
    <row r="141">
      <c r="A141" s="23" t="n"/>
    </row>
    <row r="142">
      <c r="A142" s="23" t="n"/>
    </row>
    <row r="143">
      <c r="A143" s="23" t="n"/>
    </row>
    <row r="144">
      <c r="A144" s="23" t="n"/>
    </row>
    <row r="145">
      <c r="A145" s="23" t="n"/>
    </row>
    <row r="146">
      <c r="A146" s="23" t="n"/>
    </row>
    <row r="147">
      <c r="A147" s="23" t="n"/>
    </row>
    <row r="148">
      <c r="A148" s="23" t="n"/>
    </row>
    <row r="149">
      <c r="A149" s="23" t="n"/>
    </row>
    <row r="150">
      <c r="A150" s="23" t="n"/>
    </row>
    <row r="151">
      <c r="A151" s="23" t="n"/>
    </row>
    <row r="152">
      <c r="A152" s="23" t="n"/>
    </row>
    <row r="153">
      <c r="A153" s="23" t="n"/>
    </row>
    <row r="154">
      <c r="A154" s="23" t="n"/>
    </row>
    <row r="155">
      <c r="A155" s="23" t="n"/>
    </row>
    <row r="156">
      <c r="A156" s="23" t="n"/>
    </row>
    <row r="157">
      <c r="A157" s="23" t="n"/>
    </row>
    <row r="158">
      <c r="A158" s="23" t="n"/>
    </row>
    <row r="159">
      <c r="A159" s="23" t="n"/>
    </row>
    <row r="160">
      <c r="A160" s="23" t="n"/>
    </row>
    <row r="161">
      <c r="A161" s="23" t="n"/>
    </row>
    <row r="162">
      <c r="A162" s="23" t="n"/>
    </row>
    <row r="163">
      <c r="A163" s="23" t="n"/>
    </row>
    <row r="164">
      <c r="A164" s="23" t="n"/>
    </row>
    <row r="165">
      <c r="A165" s="23" t="n"/>
    </row>
    <row r="166">
      <c r="A166" s="23" t="n"/>
    </row>
    <row r="167">
      <c r="A167" s="23" t="n"/>
    </row>
    <row r="168">
      <c r="A168" s="23" t="n"/>
    </row>
    <row r="169">
      <c r="A169" s="23" t="n"/>
    </row>
    <row r="170">
      <c r="A170" s="23" t="n"/>
    </row>
    <row r="171">
      <c r="A171" s="23" t="n"/>
    </row>
    <row r="172">
      <c r="A172" s="23" t="n"/>
    </row>
    <row r="173">
      <c r="A173" s="23" t="n"/>
    </row>
    <row r="174">
      <c r="A174" s="23" t="n"/>
    </row>
    <row r="175">
      <c r="A175" s="23" t="n"/>
    </row>
    <row r="176">
      <c r="A176" s="23" t="n"/>
    </row>
    <row r="177">
      <c r="A177" s="23" t="n"/>
    </row>
    <row r="178">
      <c r="A178" s="23" t="n"/>
    </row>
    <row r="179">
      <c r="A179" s="23" t="n"/>
    </row>
    <row r="180">
      <c r="A180" s="23" t="n"/>
    </row>
    <row r="181">
      <c r="A181" s="23" t="n"/>
    </row>
    <row r="182">
      <c r="A182" s="23" t="n"/>
    </row>
    <row r="183">
      <c r="A183" s="23" t="n"/>
    </row>
    <row r="184">
      <c r="A184" s="23" t="n"/>
    </row>
    <row r="185">
      <c r="A185" s="23" t="n"/>
    </row>
    <row r="186">
      <c r="A186" s="23" t="n"/>
    </row>
    <row r="187">
      <c r="A187" s="23" t="n"/>
    </row>
    <row r="188">
      <c r="A188" s="23" t="n"/>
    </row>
    <row r="189">
      <c r="A189" s="23" t="n"/>
    </row>
    <row r="190">
      <c r="A190" s="23" t="n"/>
    </row>
    <row r="191">
      <c r="A191" s="23" t="n"/>
    </row>
    <row r="192">
      <c r="A192" s="23" t="n"/>
    </row>
    <row r="193">
      <c r="A193" s="23" t="n"/>
    </row>
    <row r="194">
      <c r="A194" s="23" t="n"/>
    </row>
    <row r="195">
      <c r="A195" s="23" t="n"/>
    </row>
    <row r="196">
      <c r="A196" s="23" t="n"/>
    </row>
    <row r="197">
      <c r="A197" s="23" t="n"/>
    </row>
    <row r="198">
      <c r="A198" s="23" t="n"/>
    </row>
    <row r="199">
      <c r="A199" s="23" t="n"/>
    </row>
    <row r="200">
      <c r="A200" s="23" t="n"/>
    </row>
    <row r="201">
      <c r="A201" s="23" t="n"/>
    </row>
    <row r="202">
      <c r="A202" s="23" t="n"/>
    </row>
    <row r="203">
      <c r="A203" s="23" t="n"/>
    </row>
    <row r="204">
      <c r="A204" s="23" t="n"/>
    </row>
    <row r="205">
      <c r="A205" s="23" t="n"/>
    </row>
    <row r="206">
      <c r="A206" s="23" t="n"/>
    </row>
    <row r="207">
      <c r="A207" s="23" t="n"/>
    </row>
    <row r="208">
      <c r="A208" s="23" t="n"/>
    </row>
    <row r="209">
      <c r="A209" s="23" t="n"/>
    </row>
    <row r="210">
      <c r="A210" s="23" t="n"/>
    </row>
    <row r="211">
      <c r="A211" s="23" t="n"/>
    </row>
    <row r="212">
      <c r="A212" s="23" t="n"/>
    </row>
    <row r="213">
      <c r="A213" s="23" t="n"/>
    </row>
    <row r="214">
      <c r="A214" s="23" t="n"/>
    </row>
    <row r="215">
      <c r="A215" s="23" t="n"/>
    </row>
    <row r="216">
      <c r="A216" s="23" t="n"/>
    </row>
    <row r="217">
      <c r="A217" s="23" t="n"/>
    </row>
    <row r="218">
      <c r="A218" s="23" t="n"/>
    </row>
    <row r="219">
      <c r="A219" s="23" t="n"/>
    </row>
    <row r="220">
      <c r="A220" s="23" t="n"/>
    </row>
    <row r="221">
      <c r="A221" s="23" t="n"/>
    </row>
    <row r="222">
      <c r="A222" s="23" t="n"/>
    </row>
    <row r="223">
      <c r="A223" s="23" t="n"/>
    </row>
    <row r="224">
      <c r="A224" s="23" t="n"/>
    </row>
    <row r="225">
      <c r="A225" s="23" t="n"/>
    </row>
    <row r="226">
      <c r="A226" s="23" t="n"/>
    </row>
    <row r="227">
      <c r="A227" s="23" t="n"/>
    </row>
    <row r="228">
      <c r="A228" s="23" t="n"/>
    </row>
    <row r="229">
      <c r="A229" s="23" t="n"/>
    </row>
    <row r="230">
      <c r="A230" s="23" t="n"/>
    </row>
    <row r="231">
      <c r="A231" s="23" t="n"/>
    </row>
    <row r="232">
      <c r="A232" s="23" t="n"/>
    </row>
    <row r="233">
      <c r="A233" s="23" t="n"/>
    </row>
    <row r="234">
      <c r="A234" s="23" t="n"/>
    </row>
    <row r="235">
      <c r="A235" s="23" t="n"/>
    </row>
    <row r="236">
      <c r="A236" s="23" t="n"/>
    </row>
    <row r="237">
      <c r="A237" s="23" t="n"/>
    </row>
    <row r="238">
      <c r="A238" s="23" t="n"/>
    </row>
    <row r="239">
      <c r="A239" s="23" t="n"/>
    </row>
    <row r="240">
      <c r="A240" s="23" t="n"/>
    </row>
    <row r="241">
      <c r="A241" s="23" t="n"/>
    </row>
    <row r="242">
      <c r="A242" s="23" t="n"/>
    </row>
    <row r="243">
      <c r="A243" s="23" t="n"/>
    </row>
    <row r="244">
      <c r="A244" s="23" t="n"/>
    </row>
    <row r="245">
      <c r="A245" s="23" t="n"/>
    </row>
    <row r="246">
      <c r="A246" s="23" t="n"/>
    </row>
    <row r="247">
      <c r="A247" s="23" t="n"/>
    </row>
    <row r="248">
      <c r="A248" s="23" t="n"/>
    </row>
    <row r="249">
      <c r="A249" s="23" t="n"/>
    </row>
    <row r="250">
      <c r="A250" s="23" t="n"/>
    </row>
    <row r="251">
      <c r="A251" s="23" t="n"/>
    </row>
    <row r="252">
      <c r="A252" s="23" t="n"/>
    </row>
    <row r="253">
      <c r="A253" s="23" t="n"/>
    </row>
    <row r="254">
      <c r="A254" s="23" t="n"/>
    </row>
    <row r="255">
      <c r="A255" s="23" t="n"/>
    </row>
    <row r="256">
      <c r="A256" s="23" t="n"/>
    </row>
    <row r="257">
      <c r="A257" s="23" t="n"/>
    </row>
    <row r="258">
      <c r="A258" s="23" t="n"/>
    </row>
    <row r="259">
      <c r="A259" s="23" t="n"/>
    </row>
    <row r="260">
      <c r="A260" s="23" t="n"/>
    </row>
    <row r="261">
      <c r="A261" s="23" t="n"/>
    </row>
    <row r="262">
      <c r="A262" s="23" t="n"/>
    </row>
    <row r="263">
      <c r="A263" s="23" t="n"/>
    </row>
    <row r="264">
      <c r="A264" s="23" t="n"/>
    </row>
    <row r="265">
      <c r="A265" s="23" t="n"/>
    </row>
    <row r="266">
      <c r="A266" s="23" t="n"/>
    </row>
    <row r="267">
      <c r="A267" s="23" t="n"/>
    </row>
    <row r="268">
      <c r="A268" s="23" t="n"/>
    </row>
    <row r="269">
      <c r="A269" s="23" t="n"/>
    </row>
    <row r="270">
      <c r="A270" s="23" t="n"/>
    </row>
    <row r="271">
      <c r="A271" s="23" t="n"/>
    </row>
    <row r="272">
      <c r="A272" s="23" t="n"/>
    </row>
    <row r="273">
      <c r="A273" s="23" t="n"/>
    </row>
    <row r="274">
      <c r="A274" s="23" t="n"/>
    </row>
    <row r="275">
      <c r="A275" s="23" t="n"/>
    </row>
    <row r="276">
      <c r="A276" s="23" t="n"/>
    </row>
    <row r="277">
      <c r="A277" s="23" t="n"/>
    </row>
    <row r="278">
      <c r="A278" s="23" t="n"/>
    </row>
    <row r="279">
      <c r="A279" s="23" t="n"/>
    </row>
    <row r="280">
      <c r="A280" s="23" t="n"/>
    </row>
    <row r="281">
      <c r="A281" s="23" t="n"/>
    </row>
    <row r="282">
      <c r="A282" s="23" t="n"/>
    </row>
    <row r="283">
      <c r="A283" s="23" t="n"/>
    </row>
    <row r="284">
      <c r="A284" s="23" t="n"/>
    </row>
    <row r="285">
      <c r="A285" s="23" t="n"/>
    </row>
    <row r="286">
      <c r="A286" s="23" t="n"/>
    </row>
    <row r="287">
      <c r="A287" s="23" t="n"/>
    </row>
    <row r="288">
      <c r="A288" s="23" t="n"/>
    </row>
    <row r="289">
      <c r="A289" s="23" t="n"/>
    </row>
    <row r="290">
      <c r="A290" s="23" t="n"/>
    </row>
    <row r="291">
      <c r="A291" s="23" t="n"/>
    </row>
    <row r="292">
      <c r="A292" s="23" t="n"/>
    </row>
    <row r="293">
      <c r="A293" s="23" t="n"/>
    </row>
    <row r="294">
      <c r="A294" s="23" t="n"/>
    </row>
    <row r="295">
      <c r="A295" s="23" t="n"/>
    </row>
    <row r="296">
      <c r="A296" s="23" t="n"/>
    </row>
    <row r="297">
      <c r="A297" s="23" t="n"/>
    </row>
    <row r="298">
      <c r="A298" s="23" t="n"/>
    </row>
    <row r="299">
      <c r="A299" s="23" t="n"/>
    </row>
    <row r="300">
      <c r="A300" s="23" t="n"/>
    </row>
    <row r="301">
      <c r="A301" s="23" t="n"/>
    </row>
    <row r="302">
      <c r="A302" s="23" t="n"/>
    </row>
    <row r="303">
      <c r="A303" s="23" t="n"/>
    </row>
    <row r="304">
      <c r="A304" s="23" t="n"/>
    </row>
    <row r="305">
      <c r="A305" s="23" t="n"/>
    </row>
    <row r="306">
      <c r="A306" s="23" t="n"/>
    </row>
    <row r="307">
      <c r="A307" s="23" t="n"/>
    </row>
    <row r="308">
      <c r="A308" s="23" t="n"/>
    </row>
    <row r="309">
      <c r="A309" s="23" t="n"/>
    </row>
    <row r="310">
      <c r="A310" s="23" t="n"/>
    </row>
    <row r="311">
      <c r="A311" s="23" t="n"/>
    </row>
    <row r="312">
      <c r="A312" s="23" t="n"/>
    </row>
    <row r="313">
      <c r="A313" s="23" t="n"/>
    </row>
    <row r="314">
      <c r="A314" s="23" t="n"/>
    </row>
    <row r="315">
      <c r="A315" s="23" t="n"/>
    </row>
    <row r="316">
      <c r="A316" s="23" t="n"/>
    </row>
    <row r="317">
      <c r="A317" s="23" t="n"/>
    </row>
    <row r="318">
      <c r="A318" s="23" t="n"/>
    </row>
    <row r="319">
      <c r="A319" s="23" t="n"/>
    </row>
    <row r="320">
      <c r="A320" s="23" t="n"/>
    </row>
    <row r="321">
      <c r="A321" s="23" t="n"/>
    </row>
    <row r="322">
      <c r="A322" s="23" t="n"/>
    </row>
    <row r="323">
      <c r="A323" s="23" t="n"/>
    </row>
    <row r="324">
      <c r="A324" s="23" t="n"/>
    </row>
    <row r="325">
      <c r="A325" s="23" t="n"/>
    </row>
    <row r="326">
      <c r="A326" s="23" t="n"/>
    </row>
    <row r="327">
      <c r="A327" s="23" t="n"/>
    </row>
    <row r="328">
      <c r="A328" s="23" t="n"/>
    </row>
    <row r="329">
      <c r="A329" s="23" t="n"/>
    </row>
    <row r="330">
      <c r="A330" s="23" t="n"/>
    </row>
    <row r="331">
      <c r="A331" s="23" t="n"/>
    </row>
    <row r="332">
      <c r="A332" s="23" t="n"/>
    </row>
    <row r="333">
      <c r="A333" s="23" t="n"/>
    </row>
    <row r="334">
      <c r="A334" s="23" t="n"/>
    </row>
    <row r="335">
      <c r="A335" s="23" t="n"/>
    </row>
    <row r="336">
      <c r="A336" s="23" t="n"/>
    </row>
    <row r="337">
      <c r="A337" s="23" t="n"/>
    </row>
    <row r="338">
      <c r="A338" s="23" t="n"/>
    </row>
    <row r="339">
      <c r="A339" s="23" t="n"/>
    </row>
    <row r="340">
      <c r="A340" s="23" t="n"/>
    </row>
    <row r="341">
      <c r="A341" s="23" t="n"/>
    </row>
    <row r="342">
      <c r="A342" s="23" t="n"/>
    </row>
    <row r="343">
      <c r="A343" s="23" t="n"/>
    </row>
    <row r="344">
      <c r="A344" s="23" t="n"/>
    </row>
    <row r="345">
      <c r="A345" s="23" t="n"/>
    </row>
    <row r="346">
      <c r="A346" s="23" t="n"/>
    </row>
    <row r="347">
      <c r="A347" s="23" t="n"/>
    </row>
    <row r="348">
      <c r="A348" s="23" t="n"/>
    </row>
    <row r="349">
      <c r="A349" s="23" t="n"/>
    </row>
    <row r="350">
      <c r="A350" s="23" t="n"/>
    </row>
    <row r="351">
      <c r="A351" s="23" t="n"/>
    </row>
    <row r="352">
      <c r="A352" s="23" t="n"/>
    </row>
    <row r="353">
      <c r="A353" s="23" t="n"/>
    </row>
    <row r="354">
      <c r="A354" s="23" t="n"/>
    </row>
    <row r="355">
      <c r="A355" s="23" t="n"/>
    </row>
    <row r="356">
      <c r="A356" s="23" t="n"/>
    </row>
    <row r="357">
      <c r="A357" s="23" t="n"/>
    </row>
    <row r="358">
      <c r="A358" s="23" t="n"/>
    </row>
    <row r="359">
      <c r="A359" s="23" t="n"/>
    </row>
    <row r="360">
      <c r="A360" s="23" t="n"/>
    </row>
    <row r="361">
      <c r="A361" s="23" t="n"/>
    </row>
    <row r="362">
      <c r="A362" s="23" t="n"/>
    </row>
    <row r="363">
      <c r="A363" s="23" t="n"/>
    </row>
    <row r="364">
      <c r="A364" s="23" t="n"/>
    </row>
    <row r="365">
      <c r="A365" s="23" t="n"/>
    </row>
    <row r="366">
      <c r="A366" s="23" t="n"/>
    </row>
    <row r="367">
      <c r="A367" s="23" t="n"/>
    </row>
    <row r="368">
      <c r="A368" s="23" t="n"/>
    </row>
    <row r="369">
      <c r="A369" s="23" t="n"/>
    </row>
    <row r="370">
      <c r="A370" s="23" t="n"/>
    </row>
    <row r="371">
      <c r="A371" s="23" t="n"/>
    </row>
    <row r="372">
      <c r="A372" s="23" t="n"/>
    </row>
    <row r="373">
      <c r="A373" s="23" t="n"/>
    </row>
    <row r="374">
      <c r="A374" s="23" t="n"/>
    </row>
    <row r="375">
      <c r="A375" s="23" t="n"/>
    </row>
    <row r="376">
      <c r="A376" s="23" t="n"/>
    </row>
    <row r="377">
      <c r="A377" s="23" t="n"/>
    </row>
    <row r="378">
      <c r="A378" s="23" t="n"/>
    </row>
    <row r="379">
      <c r="A379" s="23" t="n"/>
    </row>
    <row r="380">
      <c r="A380" s="23" t="n"/>
    </row>
    <row r="381">
      <c r="A381" s="23" t="n"/>
    </row>
    <row r="382">
      <c r="A382" s="23" t="n"/>
    </row>
    <row r="383">
      <c r="A383" s="23" t="n"/>
    </row>
    <row r="384">
      <c r="A384" s="23" t="n"/>
    </row>
    <row r="385">
      <c r="A385" s="23" t="n"/>
    </row>
    <row r="386">
      <c r="A386" s="23" t="n"/>
    </row>
    <row r="387">
      <c r="A387" s="23" t="n"/>
    </row>
    <row r="388">
      <c r="A388" s="23" t="n"/>
    </row>
    <row r="389">
      <c r="A389" s="23" t="n"/>
    </row>
    <row r="390">
      <c r="A390" s="23" t="n"/>
    </row>
    <row r="391">
      <c r="A391" s="23" t="n"/>
    </row>
    <row r="392">
      <c r="A392" s="23" t="n"/>
    </row>
    <row r="393">
      <c r="A393" s="23" t="n"/>
    </row>
    <row r="394">
      <c r="A394" s="23" t="n"/>
    </row>
    <row r="395">
      <c r="A395" s="23" t="n"/>
    </row>
    <row r="396">
      <c r="A396" s="23" t="n"/>
    </row>
    <row r="397">
      <c r="A397" s="23" t="n"/>
    </row>
    <row r="398">
      <c r="A398" s="23" t="n"/>
    </row>
    <row r="399">
      <c r="A399" s="23" t="n"/>
    </row>
    <row r="400">
      <c r="A400" s="23" t="n"/>
    </row>
    <row r="401">
      <c r="A401" s="23" t="n"/>
    </row>
    <row r="402">
      <c r="A402" s="23" t="n"/>
    </row>
    <row r="403">
      <c r="A403" s="23" t="n"/>
    </row>
    <row r="404">
      <c r="A404" s="23" t="n"/>
    </row>
    <row r="405">
      <c r="A405" s="23" t="n"/>
    </row>
    <row r="406">
      <c r="A406" s="23" t="n"/>
    </row>
    <row r="407">
      <c r="A407" s="23" t="n"/>
    </row>
    <row r="408">
      <c r="A408" s="23" t="n"/>
    </row>
    <row r="409">
      <c r="A409" s="23" t="n"/>
    </row>
    <row r="410">
      <c r="A410" s="23" t="n"/>
    </row>
    <row r="411">
      <c r="A411" s="23" t="n"/>
    </row>
    <row r="412">
      <c r="A412" s="23" t="n"/>
    </row>
    <row r="413">
      <c r="A413" s="23" t="n"/>
    </row>
    <row r="414">
      <c r="A414" s="23" t="n"/>
    </row>
    <row r="415">
      <c r="A415" s="23" t="n"/>
    </row>
    <row r="416">
      <c r="A416" s="23" t="n"/>
    </row>
    <row r="417">
      <c r="A417" s="23" t="n"/>
    </row>
    <row r="418">
      <c r="A418" s="23" t="n"/>
    </row>
    <row r="419">
      <c r="A419" s="23" t="n"/>
    </row>
    <row r="420">
      <c r="A420" s="23" t="n"/>
    </row>
    <row r="421">
      <c r="A421" s="23" t="n"/>
    </row>
    <row r="422">
      <c r="A422" s="23" t="n"/>
    </row>
    <row r="423">
      <c r="A423" s="23" t="n"/>
    </row>
    <row r="424">
      <c r="A424" s="23" t="n"/>
    </row>
    <row r="425">
      <c r="A425" s="23" t="n"/>
    </row>
    <row r="426">
      <c r="A426" s="23" t="n"/>
    </row>
    <row r="427">
      <c r="A427" s="23" t="n"/>
    </row>
    <row r="428">
      <c r="A428" s="23" t="n"/>
    </row>
    <row r="429">
      <c r="A429" s="23" t="n"/>
    </row>
    <row r="430">
      <c r="A430" s="23" t="n"/>
    </row>
    <row r="431">
      <c r="A431" s="23" t="n"/>
    </row>
    <row r="432">
      <c r="A432" s="23" t="n"/>
    </row>
    <row r="433">
      <c r="A433" s="23" t="n"/>
    </row>
    <row r="434">
      <c r="A434" s="23" t="n"/>
    </row>
    <row r="435">
      <c r="A435" s="23" t="n"/>
    </row>
    <row r="436">
      <c r="A436" s="23" t="n"/>
    </row>
    <row r="437">
      <c r="A437" s="23" t="n"/>
    </row>
    <row r="438">
      <c r="A438" s="23" t="n"/>
    </row>
    <row r="439">
      <c r="A439" s="23" t="n"/>
    </row>
    <row r="440">
      <c r="A440" s="23" t="n"/>
    </row>
    <row r="441">
      <c r="A441" s="23" t="n"/>
    </row>
    <row r="442">
      <c r="A442" s="23" t="n"/>
    </row>
    <row r="443">
      <c r="A443" s="23" t="n"/>
    </row>
    <row r="444">
      <c r="A444" s="23" t="n"/>
    </row>
    <row r="445">
      <c r="A445" s="23" t="n"/>
    </row>
    <row r="446">
      <c r="A446" s="23" t="n"/>
    </row>
    <row r="447">
      <c r="A447" s="23" t="n"/>
    </row>
    <row r="448">
      <c r="A448" s="23" t="n"/>
    </row>
    <row r="449">
      <c r="A449" s="23" t="n"/>
    </row>
    <row r="450">
      <c r="A450" s="23" t="n"/>
    </row>
    <row r="451">
      <c r="A451" s="23" t="n"/>
    </row>
    <row r="452">
      <c r="A452" s="23" t="n"/>
    </row>
    <row r="453">
      <c r="A453" s="23" t="n"/>
    </row>
    <row r="454">
      <c r="A454" s="23" t="n"/>
    </row>
    <row r="455">
      <c r="A455" s="23" t="n"/>
    </row>
    <row r="456">
      <c r="A456" s="23" t="n"/>
    </row>
    <row r="457">
      <c r="A457" s="23" t="n"/>
    </row>
    <row r="458">
      <c r="A458" s="23" t="n"/>
    </row>
    <row r="459">
      <c r="A459" s="23" t="n"/>
    </row>
    <row r="460">
      <c r="A460" s="23" t="n"/>
    </row>
    <row r="461">
      <c r="A461" s="23" t="n"/>
    </row>
    <row r="462">
      <c r="A462" s="23" t="n"/>
    </row>
    <row r="463">
      <c r="A463" s="23" t="n"/>
    </row>
    <row r="464">
      <c r="A464" s="23" t="n"/>
    </row>
    <row r="465">
      <c r="A465" s="23" t="n"/>
    </row>
    <row r="466">
      <c r="A466" s="23" t="n"/>
    </row>
    <row r="467">
      <c r="A467" s="23" t="n"/>
    </row>
    <row r="468">
      <c r="A468" s="23" t="n"/>
    </row>
    <row r="469">
      <c r="A469" s="23" t="n"/>
    </row>
    <row r="470">
      <c r="A470" s="23" t="n"/>
    </row>
    <row r="471">
      <c r="A471" s="23" t="n"/>
    </row>
    <row r="472">
      <c r="A472" s="23" t="n"/>
    </row>
    <row r="473">
      <c r="A473" s="23" t="n"/>
    </row>
    <row r="474">
      <c r="A474" s="23" t="n"/>
    </row>
    <row r="475">
      <c r="A475" s="23" t="n"/>
    </row>
    <row r="476">
      <c r="A476" s="23" t="n"/>
    </row>
    <row r="477">
      <c r="A477" s="23" t="n"/>
    </row>
    <row r="478">
      <c r="A478" s="23" t="n"/>
    </row>
    <row r="479">
      <c r="A479" s="23" t="n"/>
    </row>
    <row r="480">
      <c r="A480" s="23" t="n"/>
    </row>
    <row r="481">
      <c r="A481" s="23" t="n"/>
    </row>
    <row r="482">
      <c r="A482" s="23" t="n"/>
    </row>
    <row r="483">
      <c r="A483" s="23" t="n"/>
    </row>
    <row r="484">
      <c r="A484" s="23" t="n"/>
    </row>
    <row r="485">
      <c r="A485" s="23" t="n"/>
    </row>
    <row r="486">
      <c r="A486" s="23" t="n"/>
    </row>
    <row r="487">
      <c r="A487" s="23" t="n"/>
    </row>
    <row r="488">
      <c r="A488" s="23" t="n"/>
    </row>
    <row r="489">
      <c r="A489" s="23" t="n"/>
    </row>
    <row r="490">
      <c r="A490" s="23" t="n"/>
    </row>
    <row r="491">
      <c r="A491" s="23" t="n"/>
    </row>
    <row r="492">
      <c r="A492" s="23" t="n"/>
    </row>
    <row r="493">
      <c r="A493" s="23" t="n"/>
    </row>
    <row r="494">
      <c r="A494" s="23" t="n"/>
    </row>
    <row r="495">
      <c r="A495" s="23" t="n"/>
    </row>
    <row r="496">
      <c r="A496" s="23" t="n"/>
    </row>
    <row r="497">
      <c r="A497" s="23" t="n"/>
    </row>
    <row r="498">
      <c r="A498" s="23" t="n"/>
    </row>
    <row r="499">
      <c r="A499" s="23" t="n"/>
    </row>
    <row r="500">
      <c r="A500" s="23" t="n"/>
    </row>
    <row r="501">
      <c r="A501" s="23" t="n"/>
    </row>
    <row r="502">
      <c r="A502" s="23" t="n"/>
    </row>
    <row r="503">
      <c r="A503" s="23" t="n"/>
    </row>
    <row r="504">
      <c r="A504" s="23" t="n"/>
    </row>
    <row r="505">
      <c r="A505" s="23" t="n"/>
    </row>
    <row r="506">
      <c r="A506" s="23" t="n"/>
    </row>
    <row r="507">
      <c r="A507" s="23" t="n"/>
    </row>
    <row r="508">
      <c r="A508" s="23" t="n"/>
    </row>
    <row r="509">
      <c r="A509" s="23" t="n"/>
    </row>
    <row r="510">
      <c r="A510" s="23" t="n"/>
    </row>
    <row r="511">
      <c r="A511" s="23" t="n"/>
    </row>
    <row r="512">
      <c r="A512" s="23" t="n"/>
    </row>
    <row r="513">
      <c r="A513" s="23" t="n"/>
    </row>
    <row r="514">
      <c r="A514" s="23" t="n"/>
    </row>
    <row r="515">
      <c r="A515" s="23" t="n"/>
    </row>
    <row r="516">
      <c r="A516" s="23" t="n"/>
    </row>
    <row r="517">
      <c r="A517" s="23" t="n"/>
    </row>
    <row r="518">
      <c r="A518" s="23" t="n"/>
    </row>
    <row r="519">
      <c r="A519" s="23" t="n"/>
    </row>
    <row r="520">
      <c r="A520" s="23" t="n"/>
    </row>
    <row r="521">
      <c r="A521" s="23" t="n"/>
    </row>
    <row r="522">
      <c r="A522" s="23" t="n"/>
    </row>
    <row r="523">
      <c r="A523" s="23" t="n"/>
    </row>
    <row r="524">
      <c r="A524" s="23" t="n"/>
    </row>
    <row r="525">
      <c r="A525" s="23" t="n"/>
    </row>
    <row r="526">
      <c r="A526" s="23" t="n"/>
    </row>
    <row r="527">
      <c r="A527" s="23" t="n"/>
    </row>
    <row r="528">
      <c r="A528" s="23" t="n"/>
    </row>
    <row r="529">
      <c r="A529" s="23" t="n"/>
    </row>
    <row r="530">
      <c r="A530" s="23" t="n"/>
    </row>
    <row r="531">
      <c r="A531" s="23" t="n"/>
    </row>
    <row r="532">
      <c r="A532" s="23" t="n"/>
    </row>
    <row r="533">
      <c r="A533" s="23" t="n"/>
    </row>
    <row r="534">
      <c r="A534" s="23" t="n"/>
    </row>
    <row r="535">
      <c r="A535" s="23" t="n"/>
    </row>
    <row r="536">
      <c r="A536" s="23" t="n"/>
    </row>
    <row r="537">
      <c r="A537" s="23" t="n"/>
    </row>
    <row r="538">
      <c r="A538" s="23" t="n"/>
    </row>
    <row r="539">
      <c r="A539" s="23" t="n"/>
    </row>
    <row r="540">
      <c r="A540" s="23" t="n"/>
    </row>
    <row r="541">
      <c r="A541" s="23" t="n"/>
    </row>
    <row r="542">
      <c r="A542" s="23" t="n"/>
    </row>
    <row r="543">
      <c r="A543" s="23" t="n"/>
    </row>
    <row r="544">
      <c r="A544" s="23" t="n"/>
    </row>
    <row r="545">
      <c r="A545" s="23" t="n"/>
    </row>
    <row r="546">
      <c r="A546" s="23" t="n"/>
    </row>
    <row r="547">
      <c r="A547" s="23" t="n"/>
    </row>
    <row r="548">
      <c r="A548" s="23" t="n"/>
    </row>
    <row r="549">
      <c r="A549" s="23" t="n"/>
    </row>
    <row r="550">
      <c r="A550" s="23" t="n"/>
    </row>
    <row r="551">
      <c r="A551" s="23" t="n"/>
    </row>
    <row r="552">
      <c r="A552" s="23" t="n"/>
    </row>
    <row r="553">
      <c r="A553" s="23" t="n"/>
    </row>
    <row r="554">
      <c r="A554" s="23" t="n"/>
    </row>
    <row r="555">
      <c r="A555" s="23" t="n"/>
    </row>
    <row r="556">
      <c r="A556" s="23" t="n"/>
    </row>
    <row r="557">
      <c r="A557" s="23" t="n"/>
    </row>
    <row r="558">
      <c r="A558" s="23" t="n"/>
    </row>
    <row r="559">
      <c r="A559" s="23" t="n"/>
    </row>
    <row r="560">
      <c r="A560" s="23" t="n"/>
    </row>
    <row r="561">
      <c r="A561" s="23" t="n"/>
    </row>
    <row r="562">
      <c r="A562" s="23" t="n"/>
    </row>
    <row r="563">
      <c r="A563" s="23" t="n"/>
    </row>
    <row r="564">
      <c r="A564" s="23" t="n"/>
    </row>
    <row r="565">
      <c r="A565" s="23" t="n"/>
    </row>
    <row r="566">
      <c r="A566" s="23" t="n"/>
    </row>
    <row r="567">
      <c r="A567" s="23" t="n"/>
    </row>
    <row r="568">
      <c r="A568" s="23" t="n"/>
    </row>
    <row r="569">
      <c r="A569" s="23" t="n"/>
    </row>
    <row r="570">
      <c r="A570" s="23" t="n"/>
    </row>
    <row r="571">
      <c r="A571" s="23" t="n"/>
    </row>
    <row r="572">
      <c r="A572" s="23" t="n"/>
    </row>
    <row r="573">
      <c r="A573" s="23" t="n"/>
    </row>
    <row r="574">
      <c r="A574" s="23" t="n"/>
    </row>
    <row r="575">
      <c r="A575" s="23" t="n"/>
    </row>
    <row r="576">
      <c r="A576" s="23" t="n"/>
    </row>
    <row r="577">
      <c r="A577" s="23" t="n"/>
    </row>
    <row r="578">
      <c r="A578" s="23" t="n"/>
    </row>
    <row r="579">
      <c r="A579" s="23" t="n"/>
    </row>
    <row r="580">
      <c r="A580" s="23" t="n"/>
    </row>
    <row r="581">
      <c r="A581" s="23" t="n"/>
    </row>
    <row r="582">
      <c r="A582" s="23" t="n"/>
    </row>
    <row r="583">
      <c r="A583" s="23" t="n"/>
    </row>
    <row r="584">
      <c r="A584" s="23" t="n"/>
    </row>
    <row r="585">
      <c r="A585" s="23" t="n"/>
    </row>
    <row r="586">
      <c r="A586" s="23" t="n"/>
    </row>
    <row r="587">
      <c r="A587" s="23" t="n"/>
    </row>
    <row r="588">
      <c r="A588" s="23" t="n"/>
    </row>
    <row r="589">
      <c r="A589" s="23" t="n"/>
    </row>
    <row r="590">
      <c r="A590" s="23" t="n"/>
    </row>
    <row r="591">
      <c r="A591" s="23" t="n"/>
    </row>
    <row r="592">
      <c r="A592" s="23" t="n"/>
    </row>
    <row r="593">
      <c r="A593" s="23" t="n"/>
    </row>
    <row r="594">
      <c r="A594" s="23" t="n"/>
    </row>
    <row r="595">
      <c r="A595" s="23" t="n"/>
    </row>
    <row r="596">
      <c r="A596" s="23" t="n"/>
    </row>
    <row r="597">
      <c r="A597" s="23" t="n"/>
    </row>
    <row r="598">
      <c r="A598" s="23" t="n"/>
    </row>
    <row r="599">
      <c r="A599" s="23" t="n"/>
    </row>
    <row r="600">
      <c r="A600" s="23" t="n"/>
    </row>
    <row r="601">
      <c r="A601" s="23" t="n"/>
    </row>
    <row r="602">
      <c r="A602" s="23" t="n"/>
    </row>
    <row r="603">
      <c r="A603" s="23" t="n"/>
    </row>
    <row r="604">
      <c r="A604" s="23" t="n"/>
    </row>
    <row r="605">
      <c r="A605" s="23" t="n"/>
    </row>
    <row r="606">
      <c r="A606" s="23" t="n"/>
    </row>
    <row r="607">
      <c r="A607" s="23" t="n"/>
    </row>
    <row r="608">
      <c r="A608" s="23" t="n"/>
    </row>
    <row r="609">
      <c r="A609" s="23" t="n"/>
    </row>
    <row r="610">
      <c r="A610" s="23" t="n"/>
    </row>
    <row r="611">
      <c r="A611" s="23" t="n"/>
    </row>
    <row r="612">
      <c r="A612" s="23" t="n"/>
    </row>
    <row r="613">
      <c r="A613" s="23" t="n"/>
    </row>
    <row r="614">
      <c r="A614" s="23" t="n"/>
    </row>
    <row r="615">
      <c r="A615" s="23" t="n"/>
    </row>
    <row r="616">
      <c r="A616" s="23" t="n"/>
    </row>
    <row r="617">
      <c r="A617" s="23" t="n"/>
    </row>
    <row r="618">
      <c r="A618" s="23" t="n"/>
    </row>
    <row r="619">
      <c r="A619" s="23" t="n"/>
    </row>
    <row r="620">
      <c r="A620" s="23" t="n"/>
    </row>
    <row r="621">
      <c r="A621" s="23" t="n"/>
    </row>
    <row r="622">
      <c r="A622" s="23" t="n"/>
    </row>
    <row r="623">
      <c r="A623" s="23" t="n"/>
    </row>
    <row r="624">
      <c r="A624" s="23" t="n"/>
    </row>
    <row r="625">
      <c r="A625" s="23" t="n"/>
    </row>
    <row r="626">
      <c r="A626" s="23" t="n"/>
    </row>
    <row r="627">
      <c r="A627" s="23" t="n"/>
    </row>
    <row r="628">
      <c r="A628" s="23" t="n"/>
    </row>
    <row r="629">
      <c r="A629" s="23" t="n"/>
    </row>
    <row r="630">
      <c r="A630" s="23" t="n"/>
    </row>
    <row r="631">
      <c r="A631" s="23" t="n"/>
    </row>
    <row r="632">
      <c r="A632" s="23" t="n"/>
    </row>
    <row r="633">
      <c r="A633" s="23" t="n"/>
    </row>
    <row r="634">
      <c r="A634" s="23" t="n"/>
    </row>
    <row r="635">
      <c r="A635" s="23" t="n"/>
    </row>
    <row r="636">
      <c r="A636" s="23" t="n"/>
    </row>
    <row r="637">
      <c r="A637" s="23" t="n"/>
    </row>
    <row r="638">
      <c r="A638" s="23" t="n"/>
    </row>
    <row r="639">
      <c r="A639" s="23" t="n"/>
    </row>
    <row r="640">
      <c r="A640" s="23" t="n"/>
    </row>
    <row r="641">
      <c r="A641" s="23" t="n"/>
    </row>
    <row r="642">
      <c r="A642" s="23" t="n"/>
    </row>
    <row r="643">
      <c r="A643" s="23" t="n"/>
    </row>
    <row r="644">
      <c r="A644" s="23" t="n"/>
    </row>
    <row r="645">
      <c r="A645" s="23" t="n"/>
    </row>
    <row r="646">
      <c r="A646" s="23" t="n"/>
    </row>
    <row r="647">
      <c r="A647" s="23" t="n"/>
    </row>
    <row r="648">
      <c r="A648" s="23" t="n"/>
    </row>
    <row r="649">
      <c r="A649" s="23" t="n"/>
    </row>
    <row r="650">
      <c r="A650" s="23" t="n"/>
    </row>
    <row r="651">
      <c r="A651" s="23" t="n"/>
    </row>
    <row r="652">
      <c r="A652" s="23" t="n"/>
    </row>
    <row r="653">
      <c r="A653" s="23" t="n"/>
    </row>
    <row r="654">
      <c r="A654" s="23" t="n"/>
    </row>
    <row r="655">
      <c r="A655" s="23" t="n"/>
    </row>
    <row r="656">
      <c r="A656" s="23" t="n"/>
    </row>
    <row r="657">
      <c r="A657" s="23" t="n"/>
    </row>
    <row r="658">
      <c r="A658" s="23" t="n"/>
    </row>
    <row r="659">
      <c r="A659" s="23" t="n"/>
    </row>
    <row r="660">
      <c r="A660" s="23" t="n"/>
    </row>
    <row r="661">
      <c r="A661" s="23" t="n"/>
    </row>
    <row r="662">
      <c r="A662" s="23" t="n"/>
    </row>
    <row r="663">
      <c r="A663" s="23" t="n"/>
    </row>
    <row r="664">
      <c r="A664" s="23" t="n"/>
    </row>
    <row r="665">
      <c r="A665" s="23" t="n"/>
    </row>
    <row r="666">
      <c r="A666" s="23" t="n"/>
    </row>
    <row r="667">
      <c r="A667" s="23" t="n"/>
    </row>
    <row r="668">
      <c r="A668" s="23" t="n"/>
    </row>
    <row r="669">
      <c r="A669" s="23" t="n"/>
    </row>
    <row r="670">
      <c r="A670" s="23" t="n"/>
    </row>
    <row r="671">
      <c r="A671" s="23" t="n"/>
    </row>
    <row r="672">
      <c r="A672" s="23" t="n"/>
    </row>
    <row r="673">
      <c r="A673" s="23" t="n"/>
    </row>
    <row r="674">
      <c r="A674" s="23" t="n"/>
    </row>
    <row r="675">
      <c r="A675" s="23" t="n"/>
    </row>
    <row r="676">
      <c r="A676" s="23" t="n"/>
    </row>
    <row r="677">
      <c r="A677" s="23" t="n"/>
    </row>
    <row r="678">
      <c r="A678" s="23" t="n"/>
    </row>
    <row r="679">
      <c r="A679" s="23" t="n"/>
    </row>
    <row r="680">
      <c r="A680" s="23" t="n"/>
    </row>
    <row r="681">
      <c r="A681" s="23" t="n"/>
    </row>
    <row r="682">
      <c r="A682" s="23" t="n"/>
    </row>
    <row r="683">
      <c r="A683" s="23" t="n"/>
    </row>
    <row r="684">
      <c r="A684" s="23" t="n"/>
    </row>
    <row r="685">
      <c r="A685" s="23" t="n"/>
    </row>
    <row r="686">
      <c r="A686" s="23" t="n"/>
    </row>
    <row r="687">
      <c r="A687" s="23" t="n"/>
    </row>
    <row r="688">
      <c r="A688" s="23" t="n"/>
    </row>
    <row r="689">
      <c r="A689" s="23" t="n"/>
    </row>
    <row r="690">
      <c r="A690" s="23" t="n"/>
    </row>
    <row r="691">
      <c r="A691" s="23" t="n"/>
    </row>
    <row r="692">
      <c r="A692" s="23" t="n"/>
    </row>
    <row r="693">
      <c r="A693" s="23" t="n"/>
    </row>
    <row r="694">
      <c r="A694" s="23" t="n"/>
    </row>
    <row r="695">
      <c r="A695" s="23" t="n"/>
    </row>
    <row r="696">
      <c r="A696" s="23" t="n"/>
    </row>
    <row r="697">
      <c r="A697" s="23" t="n"/>
    </row>
    <row r="698">
      <c r="A698" s="23" t="n"/>
    </row>
    <row r="699">
      <c r="A699" s="23" t="n"/>
    </row>
    <row r="700">
      <c r="A700" s="23" t="n"/>
    </row>
    <row r="701">
      <c r="A701" s="23" t="n"/>
    </row>
    <row r="702">
      <c r="A702" s="23" t="n"/>
    </row>
    <row r="703">
      <c r="A703" s="23" t="n"/>
    </row>
    <row r="704">
      <c r="A704" s="23" t="n"/>
    </row>
    <row r="705">
      <c r="A705" s="23" t="n"/>
    </row>
    <row r="706">
      <c r="A706" s="23" t="n"/>
    </row>
    <row r="707">
      <c r="A707" s="23" t="n"/>
    </row>
    <row r="708">
      <c r="A708" s="23" t="n"/>
    </row>
    <row r="709">
      <c r="A709" s="23" t="n"/>
    </row>
    <row r="710">
      <c r="A710" s="23" t="n"/>
    </row>
    <row r="711">
      <c r="A711" s="23" t="n"/>
    </row>
    <row r="712">
      <c r="A712" s="23" t="n"/>
    </row>
    <row r="713">
      <c r="A713" s="23" t="n"/>
    </row>
    <row r="714">
      <c r="A714" s="23" t="n"/>
    </row>
    <row r="715">
      <c r="A715" s="23" t="n"/>
    </row>
    <row r="716">
      <c r="A716" s="23" t="n"/>
    </row>
    <row r="717">
      <c r="A717" s="23" t="n"/>
    </row>
    <row r="718">
      <c r="A718" s="23" t="n"/>
    </row>
    <row r="719">
      <c r="A719" s="23" t="n"/>
    </row>
    <row r="720">
      <c r="A720" s="23" t="n"/>
    </row>
    <row r="721">
      <c r="A721" s="23" t="n"/>
    </row>
    <row r="722">
      <c r="A722" s="23" t="n"/>
    </row>
    <row r="723">
      <c r="A723" s="23" t="n"/>
    </row>
    <row r="724">
      <c r="A724" s="23" t="n"/>
    </row>
    <row r="725">
      <c r="A725" s="23" t="n"/>
    </row>
    <row r="726">
      <c r="A726" s="23" t="n"/>
    </row>
    <row r="727">
      <c r="A727" s="23" t="n"/>
    </row>
    <row r="728">
      <c r="A728" s="23" t="n"/>
    </row>
    <row r="729">
      <c r="A729" s="23" t="n"/>
    </row>
    <row r="730">
      <c r="A730" s="23" t="n"/>
    </row>
    <row r="731">
      <c r="A731" s="23" t="n"/>
    </row>
    <row r="732">
      <c r="A732" s="23" t="n"/>
    </row>
    <row r="733">
      <c r="A733" s="23" t="n"/>
    </row>
    <row r="734">
      <c r="A734" s="23" t="n"/>
    </row>
    <row r="735">
      <c r="A735" s="23" t="n"/>
    </row>
    <row r="736">
      <c r="A736" s="23" t="n"/>
    </row>
    <row r="737">
      <c r="A737" s="23" t="n"/>
    </row>
    <row r="738">
      <c r="A738" s="23" t="n"/>
    </row>
    <row r="739">
      <c r="A739" s="23" t="n"/>
    </row>
    <row r="740">
      <c r="A740" s="23" t="n"/>
    </row>
    <row r="741">
      <c r="A741" s="23" t="n"/>
    </row>
    <row r="742">
      <c r="A742" s="23" t="n"/>
    </row>
    <row r="743">
      <c r="A743" s="23" t="n"/>
    </row>
    <row r="744">
      <c r="A744" s="23" t="n"/>
    </row>
    <row r="745">
      <c r="A745" s="23" t="n"/>
    </row>
    <row r="746">
      <c r="A746" s="23" t="n"/>
    </row>
    <row r="747">
      <c r="A747" s="23" t="n"/>
    </row>
    <row r="748">
      <c r="A748" s="23" t="n"/>
    </row>
    <row r="749">
      <c r="A749" s="23" t="n"/>
    </row>
    <row r="750">
      <c r="A750" s="23" t="n"/>
    </row>
    <row r="751">
      <c r="A751" s="23" t="n"/>
    </row>
    <row r="752">
      <c r="A752" s="23" t="n"/>
    </row>
    <row r="753">
      <c r="A753" s="23" t="n"/>
    </row>
    <row r="754">
      <c r="A754" s="23" t="n"/>
    </row>
    <row r="755">
      <c r="A755" s="23" t="n"/>
    </row>
    <row r="756">
      <c r="A756" s="23" t="n"/>
    </row>
    <row r="757">
      <c r="A757" s="23" t="n"/>
    </row>
    <row r="758">
      <c r="A758" s="23" t="n"/>
    </row>
    <row r="759">
      <c r="A759" s="23" t="n"/>
    </row>
    <row r="760">
      <c r="A760" s="23" t="n"/>
    </row>
    <row r="761">
      <c r="A761" s="23" t="n"/>
    </row>
    <row r="762">
      <c r="A762" s="23" t="n"/>
    </row>
    <row r="763">
      <c r="A763" s="23" t="n"/>
    </row>
    <row r="764">
      <c r="A764" s="23" t="n"/>
    </row>
    <row r="765">
      <c r="A765" s="23" t="n"/>
    </row>
    <row r="766">
      <c r="A766" s="23" t="n"/>
    </row>
    <row r="767">
      <c r="A767" s="23" t="n"/>
    </row>
    <row r="768">
      <c r="A768" s="23" t="n"/>
    </row>
    <row r="769">
      <c r="A769" s="23" t="n"/>
    </row>
    <row r="770">
      <c r="A770" s="23" t="n"/>
    </row>
    <row r="771">
      <c r="A771" s="23" t="n"/>
    </row>
    <row r="772">
      <c r="A772" s="23" t="n"/>
    </row>
    <row r="773">
      <c r="A773" s="23" t="n"/>
    </row>
    <row r="774">
      <c r="A774" s="23" t="n"/>
    </row>
    <row r="775">
      <c r="A775" s="23" t="n"/>
    </row>
    <row r="776">
      <c r="A776" s="23" t="n"/>
    </row>
    <row r="777">
      <c r="A777" s="23" t="n"/>
    </row>
    <row r="778">
      <c r="A778" s="23" t="n"/>
    </row>
    <row r="779">
      <c r="A779" s="23" t="n"/>
    </row>
    <row r="780">
      <c r="A780" s="23" t="n"/>
    </row>
    <row r="781">
      <c r="A781" s="23" t="n"/>
    </row>
    <row r="782">
      <c r="A782" s="23" t="n"/>
    </row>
    <row r="783">
      <c r="A783" s="23" t="n"/>
    </row>
    <row r="784">
      <c r="A784" s="23" t="n"/>
    </row>
    <row r="785">
      <c r="A785" s="23" t="n"/>
    </row>
    <row r="786">
      <c r="A786" s="23" t="n"/>
    </row>
    <row r="787">
      <c r="A787" s="23" t="n"/>
    </row>
    <row r="788">
      <c r="A788" s="23" t="n"/>
    </row>
    <row r="789">
      <c r="A789" s="23" t="n"/>
    </row>
    <row r="790">
      <c r="A790" s="23" t="n"/>
    </row>
    <row r="791">
      <c r="A791" s="23" t="n"/>
    </row>
    <row r="792">
      <c r="A792" s="23" t="n"/>
    </row>
    <row r="793">
      <c r="A793" s="23" t="n"/>
    </row>
    <row r="794">
      <c r="A794" s="23" t="n"/>
    </row>
    <row r="795">
      <c r="A795" s="23" t="n"/>
    </row>
    <row r="796">
      <c r="A796" s="23" t="n"/>
    </row>
    <row r="797">
      <c r="A797" s="23" t="n"/>
    </row>
    <row r="798">
      <c r="A798" s="23" t="n"/>
    </row>
    <row r="799">
      <c r="A799" s="23" t="n"/>
    </row>
    <row r="800">
      <c r="A800" s="23" t="n"/>
    </row>
    <row r="801">
      <c r="A801" s="23" t="n"/>
    </row>
    <row r="802">
      <c r="A802" s="23" t="n"/>
    </row>
    <row r="803">
      <c r="A803" s="23" t="n"/>
    </row>
    <row r="804">
      <c r="A804" s="23" t="n"/>
    </row>
    <row r="805">
      <c r="A805" s="23" t="n"/>
    </row>
    <row r="806">
      <c r="A806" s="23" t="n"/>
    </row>
    <row r="807">
      <c r="A807" s="23" t="n"/>
    </row>
    <row r="808">
      <c r="A808" s="23" t="n"/>
    </row>
    <row r="809">
      <c r="A809" s="23" t="n"/>
    </row>
    <row r="810">
      <c r="A810" s="23" t="n"/>
    </row>
    <row r="811">
      <c r="A811" s="23" t="n"/>
    </row>
    <row r="812">
      <c r="A812" s="23" t="n"/>
    </row>
    <row r="813">
      <c r="A813" s="23" t="n"/>
    </row>
    <row r="814">
      <c r="A814" s="23" t="n"/>
    </row>
    <row r="815">
      <c r="A815" s="23" t="n"/>
    </row>
    <row r="816">
      <c r="A816" s="23" t="n"/>
    </row>
    <row r="817">
      <c r="A817" s="23" t="n"/>
    </row>
    <row r="818">
      <c r="A818" s="23" t="n"/>
    </row>
    <row r="819">
      <c r="A819" s="23" t="n"/>
    </row>
  </sheetData>
  <pageMargins left="0.75" right="0.75" top="1" bottom="1" header="0.5" footer="0.5"/>
  <drawing xmlns:r="http://schemas.openxmlformats.org/officeDocument/2006/relationships" r:id="rId1"/>
</worksheet>
</file>

<file path=xl/worksheets/sheet8.xml><?xml version="1.0" encoding="utf-8"?>
<worksheet xmlns="http://schemas.openxmlformats.org/spreadsheetml/2006/main">
  <sheetPr>
    <outlinePr summaryBelow="1" summaryRight="1"/>
    <pageSetUpPr/>
  </sheetPr>
  <dimension ref="A1:H823"/>
  <sheetViews>
    <sheetView showGridLines="0" workbookViewId="0">
      <pane ySplit="4" topLeftCell="A5" activePane="bottomLeft" state="frozen"/>
      <selection pane="bottomLeft" activeCell="A1" sqref="A1"/>
    </sheetView>
  </sheetViews>
  <sheetFormatPr baseColWidth="8" defaultRowHeight="15"/>
  <cols>
    <col width="12" customWidth="1" min="1" max="1"/>
    <col width="13" customWidth="1" min="2" max="2"/>
    <col width="13" customWidth="1" min="3" max="3"/>
    <col width="46" customWidth="1" min="4" max="4"/>
    <col width="12" customWidth="1" min="5" max="5"/>
    <col width="12" customWidth="1" min="6" max="6"/>
  </cols>
  <sheetData>
    <row r="1">
      <c r="A1" s="1" t="inlineStr">
        <is>
          <t>Channel 2 — terms of trade — §3.2</t>
        </is>
      </c>
    </row>
    <row r="2">
      <c r="A2" s="2" t="inlineStr">
        <is>
          <t>The energy wedge: headline running above core across the region. The memo calls this the most under-priced channel; this is the evidence.</t>
        </is>
      </c>
    </row>
    <row r="3" ht="4" customHeight="1">
      <c r="A3" s="3" t="n"/>
      <c r="B3" s="3" t="n"/>
      <c r="C3" s="3" t="n"/>
      <c r="D3" s="3" t="n"/>
      <c r="E3" s="3" t="n"/>
      <c r="F3" s="3" t="n"/>
      <c r="G3" s="3" t="n"/>
      <c r="H3" s="3" t="n"/>
    </row>
    <row r="5" ht="18" customHeight="1">
      <c r="A5" s="4" t="inlineStr">
        <is>
          <t>Economy</t>
        </is>
      </c>
      <c r="B5" s="4" t="inlineStr">
        <is>
          <t>Headline ticker</t>
        </is>
      </c>
      <c r="C5" s="4" t="inlineStr">
        <is>
          <t>Headline</t>
        </is>
      </c>
      <c r="D5" s="4" t="inlineStr">
        <is>
          <t>Core ticker</t>
        </is>
      </c>
      <c r="E5" s="4" t="inlineStr">
        <is>
          <t>Core</t>
        </is>
      </c>
      <c r="F5" s="4" t="inlineStr">
        <is>
          <t>Wedge, pp</t>
        </is>
      </c>
    </row>
    <row r="6">
      <c r="A6" s="5" t="inlineStr">
        <is>
          <t>United States</t>
        </is>
      </c>
      <c r="B6" s="14" t="inlineStr">
        <is>
          <t>CPI YOY Index</t>
        </is>
      </c>
      <c r="C6" s="34">
        <f>BDP($B6,"PX_LAST")</f>
        <v/>
      </c>
      <c r="D6" s="14" t="inlineStr">
        <is>
          <t>CPI XYOY Index</t>
        </is>
      </c>
      <c r="E6" s="34">
        <f>BDP($D6,"PX_LAST")</f>
        <v/>
      </c>
      <c r="F6" s="32">
        <f>IFERROR(C6-E6,"")</f>
        <v/>
      </c>
    </row>
    <row r="7">
      <c r="A7" s="5" t="inlineStr">
        <is>
          <t>Japan</t>
        </is>
      </c>
      <c r="B7" s="14" t="inlineStr">
        <is>
          <t>JNCPIYOY Index</t>
        </is>
      </c>
      <c r="C7" s="34">
        <f>BDP($B7,"PX_LAST")</f>
        <v/>
      </c>
      <c r="D7" s="14" t="inlineStr">
        <is>
          <t>JNCPIXFY Index</t>
        </is>
      </c>
      <c r="E7" s="34">
        <f>BDP($D7,"PX_LAST")</f>
        <v/>
      </c>
      <c r="F7" s="32">
        <f>IFERROR(C7-E7,"")</f>
        <v/>
      </c>
    </row>
    <row r="8">
      <c r="A8" s="5" t="inlineStr">
        <is>
          <t>Korea</t>
        </is>
      </c>
      <c r="B8" s="14" t="inlineStr">
        <is>
          <t>KOCPIYOY Index</t>
        </is>
      </c>
      <c r="C8" s="34">
        <f>BDP($B8,"PX_LAST")</f>
        <v/>
      </c>
      <c r="D8" s="14" t="inlineStr">
        <is>
          <t>KOCPIXFY Index</t>
        </is>
      </c>
      <c r="E8" s="34">
        <f>BDP($D8,"PX_LAST")</f>
        <v/>
      </c>
      <c r="F8" s="32">
        <f>IFERROR(C8-E8,"")</f>
        <v/>
      </c>
    </row>
    <row r="9">
      <c r="A9" s="5" t="inlineStr">
        <is>
          <t>India</t>
        </is>
      </c>
      <c r="B9" s="14" t="inlineStr">
        <is>
          <t>INFUTOTY Index</t>
        </is>
      </c>
      <c r="C9" s="34">
        <f>BDP($B9,"PX_LAST")</f>
        <v/>
      </c>
      <c r="D9" s="14" t="inlineStr">
        <is>
          <t>INCPIEXF Index</t>
        </is>
      </c>
      <c r="E9" s="34">
        <f>BDP($D9,"PX_LAST")</f>
        <v/>
      </c>
      <c r="F9" s="32">
        <f>IFERROR(C9-E9,"")</f>
        <v/>
      </c>
    </row>
    <row r="10">
      <c r="A10" s="5" t="inlineStr">
        <is>
          <t>China</t>
        </is>
      </c>
      <c r="B10" s="14" t="inlineStr">
        <is>
          <t>CNCPIYOY Index</t>
        </is>
      </c>
      <c r="C10" s="34">
        <f>BDP($B10,"PX_LAST")</f>
        <v/>
      </c>
      <c r="D10" s="14" t="inlineStr">
        <is>
          <t>CNCPICYY Index</t>
        </is>
      </c>
      <c r="E10" s="34">
        <f>BDP($D10,"PX_LAST")</f>
        <v/>
      </c>
      <c r="F10" s="32">
        <f>IFERROR(C10-E10,"")</f>
        <v/>
      </c>
    </row>
    <row r="14">
      <c r="A14" s="9" t="inlineStr">
        <is>
          <t>Brent — the range matters more than the level</t>
        </is>
      </c>
    </row>
    <row r="15" ht="18" customHeight="1">
      <c r="A15" s="4" t="inlineStr">
        <is>
          <t>Measure</t>
        </is>
      </c>
      <c r="B15" s="4" t="inlineStr">
        <is>
          <t>Ticker</t>
        </is>
      </c>
      <c r="C15" s="4" t="inlineStr">
        <is>
          <t>Value</t>
        </is>
      </c>
      <c r="D15" s="4" t="inlineStr">
        <is>
          <t>Note</t>
        </is>
      </c>
    </row>
    <row r="16">
      <c r="A16" s="10" t="inlineStr">
        <is>
          <t>Brent, front</t>
        </is>
      </c>
      <c r="B16" s="11" t="inlineStr">
        <is>
          <t>CO1 Comdty</t>
        </is>
      </c>
      <c r="C16" s="35">
        <f>BDP($B16,"PX_LAST")</f>
        <v/>
      </c>
      <c r="D16" s="2" t="inlineStr">
        <is>
          <t>Memo: $87.93.</t>
        </is>
      </c>
    </row>
    <row r="17">
      <c r="A17" s="10" t="inlineStr">
        <is>
          <t>Brent, 1-month high</t>
        </is>
      </c>
      <c r="B17" s="11" t="inlineStr">
        <is>
          <t>CO1 Comdty</t>
        </is>
      </c>
      <c r="C17" s="35">
        <f>IFERROR(MAX(OFFSET($B$24,COUNT($B$24:$B$823)-22,0,22,1)),"")</f>
        <v/>
      </c>
      <c r="D17" s="2" t="inlineStr">
        <is>
          <t>Sources the $102 top of the July range.</t>
        </is>
      </c>
    </row>
    <row r="18">
      <c r="A18" s="10" t="inlineStr">
        <is>
          <t>Brent, 1-month low</t>
        </is>
      </c>
      <c r="B18" s="11" t="inlineStr">
        <is>
          <t>CO1 Comdty</t>
        </is>
      </c>
      <c r="C18" s="35">
        <f>IFERROR(MIN(OFFSET($B$24,COUNT($B$24:$B$823)-22,0,22,1)),"")</f>
        <v/>
      </c>
      <c r="D18" s="2" t="inlineStr">
        <is>
          <t>Sources the $72 bottom.</t>
        </is>
      </c>
    </row>
    <row r="19">
      <c r="A19" s="10" t="inlineStr">
        <is>
          <t>10y breakeven</t>
        </is>
      </c>
      <c r="B19" s="11" t="inlineStr">
        <is>
          <t>USGGBE10 Index</t>
        </is>
      </c>
      <c r="C19" s="35">
        <f>BDP($B19,"PX_LAST")</f>
        <v/>
      </c>
      <c r="D19" s="2" t="inlineStr">
        <is>
          <t>Flat breakevens against high spot CPI is a nuance worth showing.</t>
        </is>
      </c>
    </row>
    <row r="22">
      <c r="A22" s="9" t="inlineStr">
        <is>
          <t>Brent daily</t>
        </is>
      </c>
    </row>
    <row r="23" ht="18" customHeight="1">
      <c r="A23" s="4" t="inlineStr">
        <is>
          <t>Date</t>
        </is>
      </c>
      <c r="B23" s="4" t="inlineStr">
        <is>
          <t>Brent, $/bbl</t>
        </is>
      </c>
    </row>
    <row r="24">
      <c r="A24" s="31">
        <f>BDH("CO1 Comdty","PX_LAST",StartWar,AsOf,"Dir=V","Sort=A","Fill=P")</f>
        <v/>
      </c>
    </row>
    <row r="25">
      <c r="A25" s="23" t="n"/>
    </row>
    <row r="26">
      <c r="A26" s="23" t="n"/>
    </row>
    <row r="27">
      <c r="A27" s="23" t="n"/>
    </row>
    <row r="28">
      <c r="A28" s="23" t="n"/>
    </row>
    <row r="29">
      <c r="A29" s="23" t="n"/>
    </row>
    <row r="30">
      <c r="A30" s="23" t="n"/>
    </row>
    <row r="31">
      <c r="A31" s="23" t="n"/>
    </row>
    <row r="32">
      <c r="A32" s="23" t="n"/>
    </row>
    <row r="33">
      <c r="A33" s="23" t="n"/>
    </row>
    <row r="34">
      <c r="A34" s="23" t="n"/>
    </row>
    <row r="35">
      <c r="A35" s="23" t="n"/>
    </row>
    <row r="36">
      <c r="A36" s="23" t="n"/>
    </row>
    <row r="37">
      <c r="A37" s="23" t="n"/>
    </row>
    <row r="38">
      <c r="A38" s="23" t="n"/>
    </row>
    <row r="39">
      <c r="A39" s="23" t="n"/>
    </row>
    <row r="40">
      <c r="A40" s="23" t="n"/>
    </row>
    <row r="41">
      <c r="A41" s="23" t="n"/>
    </row>
    <row r="42">
      <c r="A42" s="23" t="n"/>
    </row>
    <row r="43">
      <c r="A43" s="23" t="n"/>
    </row>
    <row r="44">
      <c r="A44" s="23" t="n"/>
    </row>
    <row r="45">
      <c r="A45" s="23" t="n"/>
    </row>
    <row r="46">
      <c r="A46" s="23" t="n"/>
    </row>
    <row r="47">
      <c r="A47" s="23" t="n"/>
    </row>
    <row r="48">
      <c r="A48" s="23" t="n"/>
    </row>
    <row r="49">
      <c r="A49" s="23" t="n"/>
    </row>
    <row r="50">
      <c r="A50" s="23" t="n"/>
    </row>
    <row r="51">
      <c r="A51" s="23" t="n"/>
    </row>
    <row r="52">
      <c r="A52" s="23" t="n"/>
    </row>
    <row r="53">
      <c r="A53" s="23" t="n"/>
    </row>
    <row r="54">
      <c r="A54" s="23" t="n"/>
    </row>
    <row r="55">
      <c r="A55" s="23" t="n"/>
    </row>
    <row r="56">
      <c r="A56" s="23" t="n"/>
    </row>
    <row r="57">
      <c r="A57" s="23" t="n"/>
    </row>
    <row r="58">
      <c r="A58" s="23" t="n"/>
    </row>
    <row r="59">
      <c r="A59" s="23" t="n"/>
    </row>
    <row r="60">
      <c r="A60" s="23" t="n"/>
    </row>
    <row r="61">
      <c r="A61" s="23" t="n"/>
    </row>
    <row r="62">
      <c r="A62" s="23" t="n"/>
    </row>
    <row r="63">
      <c r="A63" s="23" t="n"/>
    </row>
    <row r="64">
      <c r="A64" s="23" t="n"/>
    </row>
    <row r="65">
      <c r="A65" s="23" t="n"/>
    </row>
    <row r="66">
      <c r="A66" s="23" t="n"/>
    </row>
    <row r="67">
      <c r="A67" s="23" t="n"/>
    </row>
    <row r="68">
      <c r="A68" s="23" t="n"/>
    </row>
    <row r="69">
      <c r="A69" s="23" t="n"/>
    </row>
    <row r="70">
      <c r="A70" s="23" t="n"/>
    </row>
    <row r="71">
      <c r="A71" s="23" t="n"/>
    </row>
    <row r="72">
      <c r="A72" s="23" t="n"/>
    </row>
    <row r="73">
      <c r="A73" s="23" t="n"/>
    </row>
    <row r="74">
      <c r="A74" s="23" t="n"/>
    </row>
    <row r="75">
      <c r="A75" s="23" t="n"/>
    </row>
    <row r="76">
      <c r="A76" s="23" t="n"/>
    </row>
    <row r="77">
      <c r="A77" s="23" t="n"/>
    </row>
    <row r="78">
      <c r="A78" s="23" t="n"/>
    </row>
    <row r="79">
      <c r="A79" s="23" t="n"/>
    </row>
    <row r="80">
      <c r="A80" s="23" t="n"/>
    </row>
    <row r="81">
      <c r="A81" s="23" t="n"/>
    </row>
    <row r="82">
      <c r="A82" s="23" t="n"/>
    </row>
    <row r="83">
      <c r="A83" s="23" t="n"/>
    </row>
    <row r="84">
      <c r="A84" s="23" t="n"/>
    </row>
    <row r="85">
      <c r="A85" s="23" t="n"/>
    </row>
    <row r="86">
      <c r="A86" s="23" t="n"/>
    </row>
    <row r="87">
      <c r="A87" s="23" t="n"/>
    </row>
    <row r="88">
      <c r="A88" s="23" t="n"/>
    </row>
    <row r="89">
      <c r="A89" s="23" t="n"/>
    </row>
    <row r="90">
      <c r="A90" s="23" t="n"/>
    </row>
    <row r="91">
      <c r="A91" s="23" t="n"/>
    </row>
    <row r="92">
      <c r="A92" s="23" t="n"/>
    </row>
    <row r="93">
      <c r="A93" s="23" t="n"/>
    </row>
    <row r="94">
      <c r="A94" s="23" t="n"/>
    </row>
    <row r="95">
      <c r="A95" s="23" t="n"/>
    </row>
    <row r="96">
      <c r="A96" s="23" t="n"/>
    </row>
    <row r="97">
      <c r="A97" s="23" t="n"/>
    </row>
    <row r="98">
      <c r="A98" s="23" t="n"/>
    </row>
    <row r="99">
      <c r="A99" s="23" t="n"/>
    </row>
    <row r="100">
      <c r="A100" s="23" t="n"/>
    </row>
    <row r="101">
      <c r="A101" s="23" t="n"/>
    </row>
    <row r="102">
      <c r="A102" s="23" t="n"/>
    </row>
    <row r="103">
      <c r="A103" s="23" t="n"/>
    </row>
    <row r="104">
      <c r="A104" s="23" t="n"/>
    </row>
    <row r="105">
      <c r="A105" s="23" t="n"/>
    </row>
    <row r="106">
      <c r="A106" s="23" t="n"/>
    </row>
    <row r="107">
      <c r="A107" s="23" t="n"/>
    </row>
    <row r="108">
      <c r="A108" s="23" t="n"/>
    </row>
    <row r="109">
      <c r="A109" s="23" t="n"/>
    </row>
    <row r="110">
      <c r="A110" s="23" t="n"/>
    </row>
    <row r="111">
      <c r="A111" s="23" t="n"/>
    </row>
    <row r="112">
      <c r="A112" s="23" t="n"/>
    </row>
    <row r="113">
      <c r="A113" s="23" t="n"/>
    </row>
    <row r="114">
      <c r="A114" s="23" t="n"/>
    </row>
    <row r="115">
      <c r="A115" s="23" t="n"/>
    </row>
    <row r="116">
      <c r="A116" s="23" t="n"/>
    </row>
    <row r="117">
      <c r="A117" s="23" t="n"/>
    </row>
    <row r="118">
      <c r="A118" s="23" t="n"/>
    </row>
    <row r="119">
      <c r="A119" s="23" t="n"/>
    </row>
    <row r="120">
      <c r="A120" s="23" t="n"/>
    </row>
    <row r="121">
      <c r="A121" s="23" t="n"/>
    </row>
    <row r="122">
      <c r="A122" s="23" t="n"/>
    </row>
    <row r="123">
      <c r="A123" s="23" t="n"/>
    </row>
    <row r="124">
      <c r="A124" s="23" t="n"/>
    </row>
    <row r="125">
      <c r="A125" s="23" t="n"/>
    </row>
    <row r="126">
      <c r="A126" s="23" t="n"/>
    </row>
    <row r="127">
      <c r="A127" s="23" t="n"/>
    </row>
    <row r="128">
      <c r="A128" s="23" t="n"/>
    </row>
    <row r="129">
      <c r="A129" s="23" t="n"/>
    </row>
    <row r="130">
      <c r="A130" s="23" t="n"/>
    </row>
    <row r="131">
      <c r="A131" s="23" t="n"/>
    </row>
    <row r="132">
      <c r="A132" s="23" t="n"/>
    </row>
    <row r="133">
      <c r="A133" s="23" t="n"/>
    </row>
    <row r="134">
      <c r="A134" s="23" t="n"/>
    </row>
    <row r="135">
      <c r="A135" s="23" t="n"/>
    </row>
    <row r="136">
      <c r="A136" s="23" t="n"/>
    </row>
    <row r="137">
      <c r="A137" s="23" t="n"/>
    </row>
    <row r="138">
      <c r="A138" s="23" t="n"/>
    </row>
    <row r="139">
      <c r="A139" s="23" t="n"/>
    </row>
    <row r="140">
      <c r="A140" s="23" t="n"/>
    </row>
    <row r="141">
      <c r="A141" s="23" t="n"/>
    </row>
    <row r="142">
      <c r="A142" s="23" t="n"/>
    </row>
    <row r="143">
      <c r="A143" s="23" t="n"/>
    </row>
    <row r="144">
      <c r="A144" s="23" t="n"/>
    </row>
    <row r="145">
      <c r="A145" s="23" t="n"/>
    </row>
    <row r="146">
      <c r="A146" s="23" t="n"/>
    </row>
    <row r="147">
      <c r="A147" s="23" t="n"/>
    </row>
    <row r="148">
      <c r="A148" s="23" t="n"/>
    </row>
    <row r="149">
      <c r="A149" s="23" t="n"/>
    </row>
    <row r="150">
      <c r="A150" s="23" t="n"/>
    </row>
    <row r="151">
      <c r="A151" s="23" t="n"/>
    </row>
    <row r="152">
      <c r="A152" s="23" t="n"/>
    </row>
    <row r="153">
      <c r="A153" s="23" t="n"/>
    </row>
    <row r="154">
      <c r="A154" s="23" t="n"/>
    </row>
    <row r="155">
      <c r="A155" s="23" t="n"/>
    </row>
    <row r="156">
      <c r="A156" s="23" t="n"/>
    </row>
    <row r="157">
      <c r="A157" s="23" t="n"/>
    </row>
    <row r="158">
      <c r="A158" s="23" t="n"/>
    </row>
    <row r="159">
      <c r="A159" s="23" t="n"/>
    </row>
    <row r="160">
      <c r="A160" s="23" t="n"/>
    </row>
    <row r="161">
      <c r="A161" s="23" t="n"/>
    </row>
    <row r="162">
      <c r="A162" s="23" t="n"/>
    </row>
    <row r="163">
      <c r="A163" s="23" t="n"/>
    </row>
    <row r="164">
      <c r="A164" s="23" t="n"/>
    </row>
    <row r="165">
      <c r="A165" s="23" t="n"/>
    </row>
    <row r="166">
      <c r="A166" s="23" t="n"/>
    </row>
    <row r="167">
      <c r="A167" s="23" t="n"/>
    </row>
    <row r="168">
      <c r="A168" s="23" t="n"/>
    </row>
    <row r="169">
      <c r="A169" s="23" t="n"/>
    </row>
    <row r="170">
      <c r="A170" s="23" t="n"/>
    </row>
    <row r="171">
      <c r="A171" s="23" t="n"/>
    </row>
    <row r="172">
      <c r="A172" s="23" t="n"/>
    </row>
    <row r="173">
      <c r="A173" s="23" t="n"/>
    </row>
    <row r="174">
      <c r="A174" s="23" t="n"/>
    </row>
    <row r="175">
      <c r="A175" s="23" t="n"/>
    </row>
    <row r="176">
      <c r="A176" s="23" t="n"/>
    </row>
    <row r="177">
      <c r="A177" s="23" t="n"/>
    </row>
    <row r="178">
      <c r="A178" s="23" t="n"/>
    </row>
    <row r="179">
      <c r="A179" s="23" t="n"/>
    </row>
    <row r="180">
      <c r="A180" s="23" t="n"/>
    </row>
    <row r="181">
      <c r="A181" s="23" t="n"/>
    </row>
    <row r="182">
      <c r="A182" s="23" t="n"/>
    </row>
    <row r="183">
      <c r="A183" s="23" t="n"/>
    </row>
    <row r="184">
      <c r="A184" s="23" t="n"/>
    </row>
    <row r="185">
      <c r="A185" s="23" t="n"/>
    </row>
    <row r="186">
      <c r="A186" s="23" t="n"/>
    </row>
    <row r="187">
      <c r="A187" s="23" t="n"/>
    </row>
    <row r="188">
      <c r="A188" s="23" t="n"/>
    </row>
    <row r="189">
      <c r="A189" s="23" t="n"/>
    </row>
    <row r="190">
      <c r="A190" s="23" t="n"/>
    </row>
    <row r="191">
      <c r="A191" s="23" t="n"/>
    </row>
    <row r="192">
      <c r="A192" s="23" t="n"/>
    </row>
    <row r="193">
      <c r="A193" s="23" t="n"/>
    </row>
    <row r="194">
      <c r="A194" s="23" t="n"/>
    </row>
    <row r="195">
      <c r="A195" s="23" t="n"/>
    </row>
    <row r="196">
      <c r="A196" s="23" t="n"/>
    </row>
    <row r="197">
      <c r="A197" s="23" t="n"/>
    </row>
    <row r="198">
      <c r="A198" s="23" t="n"/>
    </row>
    <row r="199">
      <c r="A199" s="23" t="n"/>
    </row>
    <row r="200">
      <c r="A200" s="23" t="n"/>
    </row>
    <row r="201">
      <c r="A201" s="23" t="n"/>
    </row>
    <row r="202">
      <c r="A202" s="23" t="n"/>
    </row>
    <row r="203">
      <c r="A203" s="23" t="n"/>
    </row>
    <row r="204">
      <c r="A204" s="23" t="n"/>
    </row>
    <row r="205">
      <c r="A205" s="23" t="n"/>
    </row>
    <row r="206">
      <c r="A206" s="23" t="n"/>
    </row>
    <row r="207">
      <c r="A207" s="23" t="n"/>
    </row>
    <row r="208">
      <c r="A208" s="23" t="n"/>
    </row>
    <row r="209">
      <c r="A209" s="23" t="n"/>
    </row>
    <row r="210">
      <c r="A210" s="23" t="n"/>
    </row>
    <row r="211">
      <c r="A211" s="23" t="n"/>
    </row>
    <row r="212">
      <c r="A212" s="23" t="n"/>
    </row>
    <row r="213">
      <c r="A213" s="23" t="n"/>
    </row>
    <row r="214">
      <c r="A214" s="23" t="n"/>
    </row>
    <row r="215">
      <c r="A215" s="23" t="n"/>
    </row>
    <row r="216">
      <c r="A216" s="23" t="n"/>
    </row>
    <row r="217">
      <c r="A217" s="23" t="n"/>
    </row>
    <row r="218">
      <c r="A218" s="23" t="n"/>
    </row>
    <row r="219">
      <c r="A219" s="23" t="n"/>
    </row>
    <row r="220">
      <c r="A220" s="23" t="n"/>
    </row>
    <row r="221">
      <c r="A221" s="23" t="n"/>
    </row>
    <row r="222">
      <c r="A222" s="23" t="n"/>
    </row>
    <row r="223">
      <c r="A223" s="23" t="n"/>
    </row>
    <row r="224">
      <c r="A224" s="23" t="n"/>
    </row>
    <row r="225">
      <c r="A225" s="23" t="n"/>
    </row>
    <row r="226">
      <c r="A226" s="23" t="n"/>
    </row>
    <row r="227">
      <c r="A227" s="23" t="n"/>
    </row>
    <row r="228">
      <c r="A228" s="23" t="n"/>
    </row>
    <row r="229">
      <c r="A229" s="23" t="n"/>
    </row>
    <row r="230">
      <c r="A230" s="23" t="n"/>
    </row>
    <row r="231">
      <c r="A231" s="23" t="n"/>
    </row>
    <row r="232">
      <c r="A232" s="23" t="n"/>
    </row>
    <row r="233">
      <c r="A233" s="23" t="n"/>
    </row>
    <row r="234">
      <c r="A234" s="23" t="n"/>
    </row>
    <row r="235">
      <c r="A235" s="23" t="n"/>
    </row>
    <row r="236">
      <c r="A236" s="23" t="n"/>
    </row>
    <row r="237">
      <c r="A237" s="23" t="n"/>
    </row>
    <row r="238">
      <c r="A238" s="23" t="n"/>
    </row>
    <row r="239">
      <c r="A239" s="23" t="n"/>
    </row>
    <row r="240">
      <c r="A240" s="23" t="n"/>
    </row>
    <row r="241">
      <c r="A241" s="23" t="n"/>
    </row>
    <row r="242">
      <c r="A242" s="23" t="n"/>
    </row>
    <row r="243">
      <c r="A243" s="23" t="n"/>
    </row>
    <row r="244">
      <c r="A244" s="23" t="n"/>
    </row>
    <row r="245">
      <c r="A245" s="23" t="n"/>
    </row>
    <row r="246">
      <c r="A246" s="23" t="n"/>
    </row>
    <row r="247">
      <c r="A247" s="23" t="n"/>
    </row>
    <row r="248">
      <c r="A248" s="23" t="n"/>
    </row>
    <row r="249">
      <c r="A249" s="23" t="n"/>
    </row>
    <row r="250">
      <c r="A250" s="23" t="n"/>
    </row>
    <row r="251">
      <c r="A251" s="23" t="n"/>
    </row>
    <row r="252">
      <c r="A252" s="23" t="n"/>
    </row>
    <row r="253">
      <c r="A253" s="23" t="n"/>
    </row>
    <row r="254">
      <c r="A254" s="23" t="n"/>
    </row>
    <row r="255">
      <c r="A255" s="23" t="n"/>
    </row>
    <row r="256">
      <c r="A256" s="23" t="n"/>
    </row>
    <row r="257">
      <c r="A257" s="23" t="n"/>
    </row>
    <row r="258">
      <c r="A258" s="23" t="n"/>
    </row>
    <row r="259">
      <c r="A259" s="23" t="n"/>
    </row>
    <row r="260">
      <c r="A260" s="23" t="n"/>
    </row>
    <row r="261">
      <c r="A261" s="23" t="n"/>
    </row>
    <row r="262">
      <c r="A262" s="23" t="n"/>
    </row>
    <row r="263">
      <c r="A263" s="23" t="n"/>
    </row>
    <row r="264">
      <c r="A264" s="23" t="n"/>
    </row>
    <row r="265">
      <c r="A265" s="23" t="n"/>
    </row>
    <row r="266">
      <c r="A266" s="23" t="n"/>
    </row>
    <row r="267">
      <c r="A267" s="23" t="n"/>
    </row>
    <row r="268">
      <c r="A268" s="23" t="n"/>
    </row>
    <row r="269">
      <c r="A269" s="23" t="n"/>
    </row>
    <row r="270">
      <c r="A270" s="23" t="n"/>
    </row>
    <row r="271">
      <c r="A271" s="23" t="n"/>
    </row>
    <row r="272">
      <c r="A272" s="23" t="n"/>
    </row>
    <row r="273">
      <c r="A273" s="23" t="n"/>
    </row>
    <row r="274">
      <c r="A274" s="23" t="n"/>
    </row>
    <row r="275">
      <c r="A275" s="23" t="n"/>
    </row>
    <row r="276">
      <c r="A276" s="23" t="n"/>
    </row>
    <row r="277">
      <c r="A277" s="23" t="n"/>
    </row>
    <row r="278">
      <c r="A278" s="23" t="n"/>
    </row>
    <row r="279">
      <c r="A279" s="23" t="n"/>
    </row>
    <row r="280">
      <c r="A280" s="23" t="n"/>
    </row>
    <row r="281">
      <c r="A281" s="23" t="n"/>
    </row>
    <row r="282">
      <c r="A282" s="23" t="n"/>
    </row>
    <row r="283">
      <c r="A283" s="23" t="n"/>
    </row>
    <row r="284">
      <c r="A284" s="23" t="n"/>
    </row>
    <row r="285">
      <c r="A285" s="23" t="n"/>
    </row>
    <row r="286">
      <c r="A286" s="23" t="n"/>
    </row>
    <row r="287">
      <c r="A287" s="23" t="n"/>
    </row>
    <row r="288">
      <c r="A288" s="23" t="n"/>
    </row>
    <row r="289">
      <c r="A289" s="23" t="n"/>
    </row>
    <row r="290">
      <c r="A290" s="23" t="n"/>
    </row>
    <row r="291">
      <c r="A291" s="23" t="n"/>
    </row>
    <row r="292">
      <c r="A292" s="23" t="n"/>
    </row>
    <row r="293">
      <c r="A293" s="23" t="n"/>
    </row>
    <row r="294">
      <c r="A294" s="23" t="n"/>
    </row>
    <row r="295">
      <c r="A295" s="23" t="n"/>
    </row>
    <row r="296">
      <c r="A296" s="23" t="n"/>
    </row>
    <row r="297">
      <c r="A297" s="23" t="n"/>
    </row>
    <row r="298">
      <c r="A298" s="23" t="n"/>
    </row>
    <row r="299">
      <c r="A299" s="23" t="n"/>
    </row>
    <row r="300">
      <c r="A300" s="23" t="n"/>
    </row>
    <row r="301">
      <c r="A301" s="23" t="n"/>
    </row>
    <row r="302">
      <c r="A302" s="23" t="n"/>
    </row>
    <row r="303">
      <c r="A303" s="23" t="n"/>
    </row>
    <row r="304">
      <c r="A304" s="23" t="n"/>
    </row>
    <row r="305">
      <c r="A305" s="23" t="n"/>
    </row>
    <row r="306">
      <c r="A306" s="23" t="n"/>
    </row>
    <row r="307">
      <c r="A307" s="23" t="n"/>
    </row>
    <row r="308">
      <c r="A308" s="23" t="n"/>
    </row>
    <row r="309">
      <c r="A309" s="23" t="n"/>
    </row>
    <row r="310">
      <c r="A310" s="23" t="n"/>
    </row>
    <row r="311">
      <c r="A311" s="23" t="n"/>
    </row>
    <row r="312">
      <c r="A312" s="23" t="n"/>
    </row>
    <row r="313">
      <c r="A313" s="23" t="n"/>
    </row>
    <row r="314">
      <c r="A314" s="23" t="n"/>
    </row>
    <row r="315">
      <c r="A315" s="23" t="n"/>
    </row>
    <row r="316">
      <c r="A316" s="23" t="n"/>
    </row>
    <row r="317">
      <c r="A317" s="23" t="n"/>
    </row>
    <row r="318">
      <c r="A318" s="23" t="n"/>
    </row>
    <row r="319">
      <c r="A319" s="23" t="n"/>
    </row>
    <row r="320">
      <c r="A320" s="23" t="n"/>
    </row>
    <row r="321">
      <c r="A321" s="23" t="n"/>
    </row>
    <row r="322">
      <c r="A322" s="23" t="n"/>
    </row>
    <row r="323">
      <c r="A323" s="23" t="n"/>
    </row>
    <row r="324">
      <c r="A324" s="23" t="n"/>
    </row>
    <row r="325">
      <c r="A325" s="23" t="n"/>
    </row>
    <row r="326">
      <c r="A326" s="23" t="n"/>
    </row>
    <row r="327">
      <c r="A327" s="23" t="n"/>
    </row>
    <row r="328">
      <c r="A328" s="23" t="n"/>
    </row>
    <row r="329">
      <c r="A329" s="23" t="n"/>
    </row>
    <row r="330">
      <c r="A330" s="23" t="n"/>
    </row>
    <row r="331">
      <c r="A331" s="23" t="n"/>
    </row>
    <row r="332">
      <c r="A332" s="23" t="n"/>
    </row>
    <row r="333">
      <c r="A333" s="23" t="n"/>
    </row>
    <row r="334">
      <c r="A334" s="23" t="n"/>
    </row>
    <row r="335">
      <c r="A335" s="23" t="n"/>
    </row>
    <row r="336">
      <c r="A336" s="23" t="n"/>
    </row>
    <row r="337">
      <c r="A337" s="23" t="n"/>
    </row>
    <row r="338">
      <c r="A338" s="23" t="n"/>
    </row>
    <row r="339">
      <c r="A339" s="23" t="n"/>
    </row>
    <row r="340">
      <c r="A340" s="23" t="n"/>
    </row>
    <row r="341">
      <c r="A341" s="23" t="n"/>
    </row>
    <row r="342">
      <c r="A342" s="23" t="n"/>
    </row>
    <row r="343">
      <c r="A343" s="23" t="n"/>
    </row>
    <row r="344">
      <c r="A344" s="23" t="n"/>
    </row>
    <row r="345">
      <c r="A345" s="23" t="n"/>
    </row>
    <row r="346">
      <c r="A346" s="23" t="n"/>
    </row>
    <row r="347">
      <c r="A347" s="23" t="n"/>
    </row>
    <row r="348">
      <c r="A348" s="23" t="n"/>
    </row>
    <row r="349">
      <c r="A349" s="23" t="n"/>
    </row>
    <row r="350">
      <c r="A350" s="23" t="n"/>
    </row>
    <row r="351">
      <c r="A351" s="23" t="n"/>
    </row>
    <row r="352">
      <c r="A352" s="23" t="n"/>
    </row>
    <row r="353">
      <c r="A353" s="23" t="n"/>
    </row>
    <row r="354">
      <c r="A354" s="23" t="n"/>
    </row>
    <row r="355">
      <c r="A355" s="23" t="n"/>
    </row>
    <row r="356">
      <c r="A356" s="23" t="n"/>
    </row>
    <row r="357">
      <c r="A357" s="23" t="n"/>
    </row>
    <row r="358">
      <c r="A358" s="23" t="n"/>
    </row>
    <row r="359">
      <c r="A359" s="23" t="n"/>
    </row>
    <row r="360">
      <c r="A360" s="23" t="n"/>
    </row>
    <row r="361">
      <c r="A361" s="23" t="n"/>
    </row>
    <row r="362">
      <c r="A362" s="23" t="n"/>
    </row>
    <row r="363">
      <c r="A363" s="23" t="n"/>
    </row>
    <row r="364">
      <c r="A364" s="23" t="n"/>
    </row>
    <row r="365">
      <c r="A365" s="23" t="n"/>
    </row>
    <row r="366">
      <c r="A366" s="23" t="n"/>
    </row>
    <row r="367">
      <c r="A367" s="23" t="n"/>
    </row>
    <row r="368">
      <c r="A368" s="23" t="n"/>
    </row>
    <row r="369">
      <c r="A369" s="23" t="n"/>
    </row>
    <row r="370">
      <c r="A370" s="23" t="n"/>
    </row>
    <row r="371">
      <c r="A371" s="23" t="n"/>
    </row>
    <row r="372">
      <c r="A372" s="23" t="n"/>
    </row>
    <row r="373">
      <c r="A373" s="23" t="n"/>
    </row>
    <row r="374">
      <c r="A374" s="23" t="n"/>
    </row>
    <row r="375">
      <c r="A375" s="23" t="n"/>
    </row>
    <row r="376">
      <c r="A376" s="23" t="n"/>
    </row>
    <row r="377">
      <c r="A377" s="23" t="n"/>
    </row>
    <row r="378">
      <c r="A378" s="23" t="n"/>
    </row>
    <row r="379">
      <c r="A379" s="23" t="n"/>
    </row>
    <row r="380">
      <c r="A380" s="23" t="n"/>
    </row>
    <row r="381">
      <c r="A381" s="23" t="n"/>
    </row>
    <row r="382">
      <c r="A382" s="23" t="n"/>
    </row>
    <row r="383">
      <c r="A383" s="23" t="n"/>
    </row>
    <row r="384">
      <c r="A384" s="23" t="n"/>
    </row>
    <row r="385">
      <c r="A385" s="23" t="n"/>
    </row>
    <row r="386">
      <c r="A386" s="23" t="n"/>
    </row>
    <row r="387">
      <c r="A387" s="23" t="n"/>
    </row>
    <row r="388">
      <c r="A388" s="23" t="n"/>
    </row>
    <row r="389">
      <c r="A389" s="23" t="n"/>
    </row>
    <row r="390">
      <c r="A390" s="23" t="n"/>
    </row>
    <row r="391">
      <c r="A391" s="23" t="n"/>
    </row>
    <row r="392">
      <c r="A392" s="23" t="n"/>
    </row>
    <row r="393">
      <c r="A393" s="23" t="n"/>
    </row>
    <row r="394">
      <c r="A394" s="23" t="n"/>
    </row>
    <row r="395">
      <c r="A395" s="23" t="n"/>
    </row>
    <row r="396">
      <c r="A396" s="23" t="n"/>
    </row>
    <row r="397">
      <c r="A397" s="23" t="n"/>
    </row>
    <row r="398">
      <c r="A398" s="23" t="n"/>
    </row>
    <row r="399">
      <c r="A399" s="23" t="n"/>
    </row>
    <row r="400">
      <c r="A400" s="23" t="n"/>
    </row>
    <row r="401">
      <c r="A401" s="23" t="n"/>
    </row>
    <row r="402">
      <c r="A402" s="23" t="n"/>
    </row>
    <row r="403">
      <c r="A403" s="23" t="n"/>
    </row>
    <row r="404">
      <c r="A404" s="23" t="n"/>
    </row>
    <row r="405">
      <c r="A405" s="23" t="n"/>
    </row>
    <row r="406">
      <c r="A406" s="23" t="n"/>
    </row>
    <row r="407">
      <c r="A407" s="23" t="n"/>
    </row>
    <row r="408">
      <c r="A408" s="23" t="n"/>
    </row>
    <row r="409">
      <c r="A409" s="23" t="n"/>
    </row>
    <row r="410">
      <c r="A410" s="23" t="n"/>
    </row>
    <row r="411">
      <c r="A411" s="23" t="n"/>
    </row>
    <row r="412">
      <c r="A412" s="23" t="n"/>
    </row>
    <row r="413">
      <c r="A413" s="23" t="n"/>
    </row>
    <row r="414">
      <c r="A414" s="23" t="n"/>
    </row>
    <row r="415">
      <c r="A415" s="23" t="n"/>
    </row>
    <row r="416">
      <c r="A416" s="23" t="n"/>
    </row>
    <row r="417">
      <c r="A417" s="23" t="n"/>
    </row>
    <row r="418">
      <c r="A418" s="23" t="n"/>
    </row>
    <row r="419">
      <c r="A419" s="23" t="n"/>
    </row>
    <row r="420">
      <c r="A420" s="23" t="n"/>
    </row>
    <row r="421">
      <c r="A421" s="23" t="n"/>
    </row>
    <row r="422">
      <c r="A422" s="23" t="n"/>
    </row>
    <row r="423">
      <c r="A423" s="23" t="n"/>
    </row>
    <row r="424">
      <c r="A424" s="23" t="n"/>
    </row>
    <row r="425">
      <c r="A425" s="23" t="n"/>
    </row>
    <row r="426">
      <c r="A426" s="23" t="n"/>
    </row>
    <row r="427">
      <c r="A427" s="23" t="n"/>
    </row>
    <row r="428">
      <c r="A428" s="23" t="n"/>
    </row>
    <row r="429">
      <c r="A429" s="23" t="n"/>
    </row>
    <row r="430">
      <c r="A430" s="23" t="n"/>
    </row>
    <row r="431">
      <c r="A431" s="23" t="n"/>
    </row>
    <row r="432">
      <c r="A432" s="23" t="n"/>
    </row>
    <row r="433">
      <c r="A433" s="23" t="n"/>
    </row>
    <row r="434">
      <c r="A434" s="23" t="n"/>
    </row>
    <row r="435">
      <c r="A435" s="23" t="n"/>
    </row>
    <row r="436">
      <c r="A436" s="23" t="n"/>
    </row>
    <row r="437">
      <c r="A437" s="23" t="n"/>
    </row>
    <row r="438">
      <c r="A438" s="23" t="n"/>
    </row>
    <row r="439">
      <c r="A439" s="23" t="n"/>
    </row>
    <row r="440">
      <c r="A440" s="23" t="n"/>
    </row>
    <row r="441">
      <c r="A441" s="23" t="n"/>
    </row>
    <row r="442">
      <c r="A442" s="23" t="n"/>
    </row>
    <row r="443">
      <c r="A443" s="23" t="n"/>
    </row>
    <row r="444">
      <c r="A444" s="23" t="n"/>
    </row>
    <row r="445">
      <c r="A445" s="23" t="n"/>
    </row>
    <row r="446">
      <c r="A446" s="23" t="n"/>
    </row>
    <row r="447">
      <c r="A447" s="23" t="n"/>
    </row>
    <row r="448">
      <c r="A448" s="23" t="n"/>
    </row>
    <row r="449">
      <c r="A449" s="23" t="n"/>
    </row>
    <row r="450">
      <c r="A450" s="23" t="n"/>
    </row>
    <row r="451">
      <c r="A451" s="23" t="n"/>
    </row>
    <row r="452">
      <c r="A452" s="23" t="n"/>
    </row>
    <row r="453">
      <c r="A453" s="23" t="n"/>
    </row>
    <row r="454">
      <c r="A454" s="23" t="n"/>
    </row>
    <row r="455">
      <c r="A455" s="23" t="n"/>
    </row>
    <row r="456">
      <c r="A456" s="23" t="n"/>
    </row>
    <row r="457">
      <c r="A457" s="23" t="n"/>
    </row>
    <row r="458">
      <c r="A458" s="23" t="n"/>
    </row>
    <row r="459">
      <c r="A459" s="23" t="n"/>
    </row>
    <row r="460">
      <c r="A460" s="23" t="n"/>
    </row>
    <row r="461">
      <c r="A461" s="23" t="n"/>
    </row>
    <row r="462">
      <c r="A462" s="23" t="n"/>
    </row>
    <row r="463">
      <c r="A463" s="23" t="n"/>
    </row>
    <row r="464">
      <c r="A464" s="23" t="n"/>
    </row>
    <row r="465">
      <c r="A465" s="23" t="n"/>
    </row>
    <row r="466">
      <c r="A466" s="23" t="n"/>
    </row>
    <row r="467">
      <c r="A467" s="23" t="n"/>
    </row>
    <row r="468">
      <c r="A468" s="23" t="n"/>
    </row>
    <row r="469">
      <c r="A469" s="23" t="n"/>
    </row>
    <row r="470">
      <c r="A470" s="23" t="n"/>
    </row>
    <row r="471">
      <c r="A471" s="23" t="n"/>
    </row>
    <row r="472">
      <c r="A472" s="23" t="n"/>
    </row>
    <row r="473">
      <c r="A473" s="23" t="n"/>
    </row>
    <row r="474">
      <c r="A474" s="23" t="n"/>
    </row>
    <row r="475">
      <c r="A475" s="23" t="n"/>
    </row>
    <row r="476">
      <c r="A476" s="23" t="n"/>
    </row>
    <row r="477">
      <c r="A477" s="23" t="n"/>
    </row>
    <row r="478">
      <c r="A478" s="23" t="n"/>
    </row>
    <row r="479">
      <c r="A479" s="23" t="n"/>
    </row>
    <row r="480">
      <c r="A480" s="23" t="n"/>
    </row>
    <row r="481">
      <c r="A481" s="23" t="n"/>
    </row>
    <row r="482">
      <c r="A482" s="23" t="n"/>
    </row>
    <row r="483">
      <c r="A483" s="23" t="n"/>
    </row>
    <row r="484">
      <c r="A484" s="23" t="n"/>
    </row>
    <row r="485">
      <c r="A485" s="23" t="n"/>
    </row>
    <row r="486">
      <c r="A486" s="23" t="n"/>
    </row>
    <row r="487">
      <c r="A487" s="23" t="n"/>
    </row>
    <row r="488">
      <c r="A488" s="23" t="n"/>
    </row>
    <row r="489">
      <c r="A489" s="23" t="n"/>
    </row>
    <row r="490">
      <c r="A490" s="23" t="n"/>
    </row>
    <row r="491">
      <c r="A491" s="23" t="n"/>
    </row>
    <row r="492">
      <c r="A492" s="23" t="n"/>
    </row>
    <row r="493">
      <c r="A493" s="23" t="n"/>
    </row>
    <row r="494">
      <c r="A494" s="23" t="n"/>
    </row>
    <row r="495">
      <c r="A495" s="23" t="n"/>
    </row>
    <row r="496">
      <c r="A496" s="23" t="n"/>
    </row>
    <row r="497">
      <c r="A497" s="23" t="n"/>
    </row>
    <row r="498">
      <c r="A498" s="23" t="n"/>
    </row>
    <row r="499">
      <c r="A499" s="23" t="n"/>
    </row>
    <row r="500">
      <c r="A500" s="23" t="n"/>
    </row>
    <row r="501">
      <c r="A501" s="23" t="n"/>
    </row>
    <row r="502">
      <c r="A502" s="23" t="n"/>
    </row>
    <row r="503">
      <c r="A503" s="23" t="n"/>
    </row>
    <row r="504">
      <c r="A504" s="23" t="n"/>
    </row>
    <row r="505">
      <c r="A505" s="23" t="n"/>
    </row>
    <row r="506">
      <c r="A506" s="23" t="n"/>
    </row>
    <row r="507">
      <c r="A507" s="23" t="n"/>
    </row>
    <row r="508">
      <c r="A508" s="23" t="n"/>
    </row>
    <row r="509">
      <c r="A509" s="23" t="n"/>
    </row>
    <row r="510">
      <c r="A510" s="23" t="n"/>
    </row>
    <row r="511">
      <c r="A511" s="23" t="n"/>
    </row>
    <row r="512">
      <c r="A512" s="23" t="n"/>
    </row>
    <row r="513">
      <c r="A513" s="23" t="n"/>
    </row>
    <row r="514">
      <c r="A514" s="23" t="n"/>
    </row>
    <row r="515">
      <c r="A515" s="23" t="n"/>
    </row>
    <row r="516">
      <c r="A516" s="23" t="n"/>
    </row>
    <row r="517">
      <c r="A517" s="23" t="n"/>
    </row>
    <row r="518">
      <c r="A518" s="23" t="n"/>
    </row>
    <row r="519">
      <c r="A519" s="23" t="n"/>
    </row>
    <row r="520">
      <c r="A520" s="23" t="n"/>
    </row>
    <row r="521">
      <c r="A521" s="23" t="n"/>
    </row>
    <row r="522">
      <c r="A522" s="23" t="n"/>
    </row>
    <row r="523">
      <c r="A523" s="23" t="n"/>
    </row>
    <row r="524">
      <c r="A524" s="23" t="n"/>
    </row>
    <row r="525">
      <c r="A525" s="23" t="n"/>
    </row>
    <row r="526">
      <c r="A526" s="23" t="n"/>
    </row>
    <row r="527">
      <c r="A527" s="23" t="n"/>
    </row>
    <row r="528">
      <c r="A528" s="23" t="n"/>
    </row>
    <row r="529">
      <c r="A529" s="23" t="n"/>
    </row>
    <row r="530">
      <c r="A530" s="23" t="n"/>
    </row>
    <row r="531">
      <c r="A531" s="23" t="n"/>
    </row>
    <row r="532">
      <c r="A532" s="23" t="n"/>
    </row>
    <row r="533">
      <c r="A533" s="23" t="n"/>
    </row>
    <row r="534">
      <c r="A534" s="23" t="n"/>
    </row>
    <row r="535">
      <c r="A535" s="23" t="n"/>
    </row>
    <row r="536">
      <c r="A536" s="23" t="n"/>
    </row>
    <row r="537">
      <c r="A537" s="23" t="n"/>
    </row>
    <row r="538">
      <c r="A538" s="23" t="n"/>
    </row>
    <row r="539">
      <c r="A539" s="23" t="n"/>
    </row>
    <row r="540">
      <c r="A540" s="23" t="n"/>
    </row>
    <row r="541">
      <c r="A541" s="23" t="n"/>
    </row>
    <row r="542">
      <c r="A542" s="23" t="n"/>
    </row>
    <row r="543">
      <c r="A543" s="23" t="n"/>
    </row>
    <row r="544">
      <c r="A544" s="23" t="n"/>
    </row>
    <row r="545">
      <c r="A545" s="23" t="n"/>
    </row>
    <row r="546">
      <c r="A546" s="23" t="n"/>
    </row>
    <row r="547">
      <c r="A547" s="23" t="n"/>
    </row>
    <row r="548">
      <c r="A548" s="23" t="n"/>
    </row>
    <row r="549">
      <c r="A549" s="23" t="n"/>
    </row>
    <row r="550">
      <c r="A550" s="23" t="n"/>
    </row>
    <row r="551">
      <c r="A551" s="23" t="n"/>
    </row>
    <row r="552">
      <c r="A552" s="23" t="n"/>
    </row>
    <row r="553">
      <c r="A553" s="23" t="n"/>
    </row>
    <row r="554">
      <c r="A554" s="23" t="n"/>
    </row>
    <row r="555">
      <c r="A555" s="23" t="n"/>
    </row>
    <row r="556">
      <c r="A556" s="23" t="n"/>
    </row>
    <row r="557">
      <c r="A557" s="23" t="n"/>
    </row>
    <row r="558">
      <c r="A558" s="23" t="n"/>
    </row>
    <row r="559">
      <c r="A559" s="23" t="n"/>
    </row>
    <row r="560">
      <c r="A560" s="23" t="n"/>
    </row>
    <row r="561">
      <c r="A561" s="23" t="n"/>
    </row>
    <row r="562">
      <c r="A562" s="23" t="n"/>
    </row>
    <row r="563">
      <c r="A563" s="23" t="n"/>
    </row>
    <row r="564">
      <c r="A564" s="23" t="n"/>
    </row>
    <row r="565">
      <c r="A565" s="23" t="n"/>
    </row>
    <row r="566">
      <c r="A566" s="23" t="n"/>
    </row>
    <row r="567">
      <c r="A567" s="23" t="n"/>
    </row>
    <row r="568">
      <c r="A568" s="23" t="n"/>
    </row>
    <row r="569">
      <c r="A569" s="23" t="n"/>
    </row>
    <row r="570">
      <c r="A570" s="23" t="n"/>
    </row>
    <row r="571">
      <c r="A571" s="23" t="n"/>
    </row>
    <row r="572">
      <c r="A572" s="23" t="n"/>
    </row>
    <row r="573">
      <c r="A573" s="23" t="n"/>
    </row>
    <row r="574">
      <c r="A574" s="23" t="n"/>
    </row>
    <row r="575">
      <c r="A575" s="23" t="n"/>
    </row>
    <row r="576">
      <c r="A576" s="23" t="n"/>
    </row>
    <row r="577">
      <c r="A577" s="23" t="n"/>
    </row>
    <row r="578">
      <c r="A578" s="23" t="n"/>
    </row>
    <row r="579">
      <c r="A579" s="23" t="n"/>
    </row>
    <row r="580">
      <c r="A580" s="23" t="n"/>
    </row>
    <row r="581">
      <c r="A581" s="23" t="n"/>
    </row>
    <row r="582">
      <c r="A582" s="23" t="n"/>
    </row>
    <row r="583">
      <c r="A583" s="23" t="n"/>
    </row>
    <row r="584">
      <c r="A584" s="23" t="n"/>
    </row>
    <row r="585">
      <c r="A585" s="23" t="n"/>
    </row>
    <row r="586">
      <c r="A586" s="23" t="n"/>
    </row>
    <row r="587">
      <c r="A587" s="23" t="n"/>
    </row>
    <row r="588">
      <c r="A588" s="23" t="n"/>
    </row>
    <row r="589">
      <c r="A589" s="23" t="n"/>
    </row>
    <row r="590">
      <c r="A590" s="23" t="n"/>
    </row>
    <row r="591">
      <c r="A591" s="23" t="n"/>
    </row>
    <row r="592">
      <c r="A592" s="23" t="n"/>
    </row>
    <row r="593">
      <c r="A593" s="23" t="n"/>
    </row>
    <row r="594">
      <c r="A594" s="23" t="n"/>
    </row>
    <row r="595">
      <c r="A595" s="23" t="n"/>
    </row>
    <row r="596">
      <c r="A596" s="23" t="n"/>
    </row>
    <row r="597">
      <c r="A597" s="23" t="n"/>
    </row>
    <row r="598">
      <c r="A598" s="23" t="n"/>
    </row>
    <row r="599">
      <c r="A599" s="23" t="n"/>
    </row>
    <row r="600">
      <c r="A600" s="23" t="n"/>
    </row>
    <row r="601">
      <c r="A601" s="23" t="n"/>
    </row>
    <row r="602">
      <c r="A602" s="23" t="n"/>
    </row>
    <row r="603">
      <c r="A603" s="23" t="n"/>
    </row>
    <row r="604">
      <c r="A604" s="23" t="n"/>
    </row>
    <row r="605">
      <c r="A605" s="23" t="n"/>
    </row>
    <row r="606">
      <c r="A606" s="23" t="n"/>
    </row>
    <row r="607">
      <c r="A607" s="23" t="n"/>
    </row>
    <row r="608">
      <c r="A608" s="23" t="n"/>
    </row>
    <row r="609">
      <c r="A609" s="23" t="n"/>
    </row>
    <row r="610">
      <c r="A610" s="23" t="n"/>
    </row>
    <row r="611">
      <c r="A611" s="23" t="n"/>
    </row>
    <row r="612">
      <c r="A612" s="23" t="n"/>
    </row>
    <row r="613">
      <c r="A613" s="23" t="n"/>
    </row>
    <row r="614">
      <c r="A614" s="23" t="n"/>
    </row>
    <row r="615">
      <c r="A615" s="23" t="n"/>
    </row>
    <row r="616">
      <c r="A616" s="23" t="n"/>
    </row>
    <row r="617">
      <c r="A617" s="23" t="n"/>
    </row>
    <row r="618">
      <c r="A618" s="23" t="n"/>
    </row>
    <row r="619">
      <c r="A619" s="23" t="n"/>
    </row>
    <row r="620">
      <c r="A620" s="23" t="n"/>
    </row>
    <row r="621">
      <c r="A621" s="23" t="n"/>
    </row>
    <row r="622">
      <c r="A622" s="23" t="n"/>
    </row>
    <row r="623">
      <c r="A623" s="23" t="n"/>
    </row>
    <row r="624">
      <c r="A624" s="23" t="n"/>
    </row>
    <row r="625">
      <c r="A625" s="23" t="n"/>
    </row>
    <row r="626">
      <c r="A626" s="23" t="n"/>
    </row>
    <row r="627">
      <c r="A627" s="23" t="n"/>
    </row>
    <row r="628">
      <c r="A628" s="23" t="n"/>
    </row>
    <row r="629">
      <c r="A629" s="23" t="n"/>
    </row>
    <row r="630">
      <c r="A630" s="23" t="n"/>
    </row>
    <row r="631">
      <c r="A631" s="23" t="n"/>
    </row>
    <row r="632">
      <c r="A632" s="23" t="n"/>
    </row>
    <row r="633">
      <c r="A633" s="23" t="n"/>
    </row>
    <row r="634">
      <c r="A634" s="23" t="n"/>
    </row>
    <row r="635">
      <c r="A635" s="23" t="n"/>
    </row>
    <row r="636">
      <c r="A636" s="23" t="n"/>
    </row>
    <row r="637">
      <c r="A637" s="23" t="n"/>
    </row>
    <row r="638">
      <c r="A638" s="23" t="n"/>
    </row>
    <row r="639">
      <c r="A639" s="23" t="n"/>
    </row>
    <row r="640">
      <c r="A640" s="23" t="n"/>
    </row>
    <row r="641">
      <c r="A641" s="23" t="n"/>
    </row>
    <row r="642">
      <c r="A642" s="23" t="n"/>
    </row>
    <row r="643">
      <c r="A643" s="23" t="n"/>
    </row>
    <row r="644">
      <c r="A644" s="23" t="n"/>
    </row>
    <row r="645">
      <c r="A645" s="23" t="n"/>
    </row>
    <row r="646">
      <c r="A646" s="23" t="n"/>
    </row>
    <row r="647">
      <c r="A647" s="23" t="n"/>
    </row>
    <row r="648">
      <c r="A648" s="23" t="n"/>
    </row>
    <row r="649">
      <c r="A649" s="23" t="n"/>
    </row>
    <row r="650">
      <c r="A650" s="23" t="n"/>
    </row>
    <row r="651">
      <c r="A651" s="23" t="n"/>
    </row>
    <row r="652">
      <c r="A652" s="23" t="n"/>
    </row>
    <row r="653">
      <c r="A653" s="23" t="n"/>
    </row>
    <row r="654">
      <c r="A654" s="23" t="n"/>
    </row>
    <row r="655">
      <c r="A655" s="23" t="n"/>
    </row>
    <row r="656">
      <c r="A656" s="23" t="n"/>
    </row>
    <row r="657">
      <c r="A657" s="23" t="n"/>
    </row>
    <row r="658">
      <c r="A658" s="23" t="n"/>
    </row>
    <row r="659">
      <c r="A659" s="23" t="n"/>
    </row>
    <row r="660">
      <c r="A660" s="23" t="n"/>
    </row>
    <row r="661">
      <c r="A661" s="23" t="n"/>
    </row>
    <row r="662">
      <c r="A662" s="23" t="n"/>
    </row>
    <row r="663">
      <c r="A663" s="23" t="n"/>
    </row>
    <row r="664">
      <c r="A664" s="23" t="n"/>
    </row>
    <row r="665">
      <c r="A665" s="23" t="n"/>
    </row>
    <row r="666">
      <c r="A666" s="23" t="n"/>
    </row>
    <row r="667">
      <c r="A667" s="23" t="n"/>
    </row>
    <row r="668">
      <c r="A668" s="23" t="n"/>
    </row>
    <row r="669">
      <c r="A669" s="23" t="n"/>
    </row>
    <row r="670">
      <c r="A670" s="23" t="n"/>
    </row>
    <row r="671">
      <c r="A671" s="23" t="n"/>
    </row>
    <row r="672">
      <c r="A672" s="23" t="n"/>
    </row>
    <row r="673">
      <c r="A673" s="23" t="n"/>
    </row>
    <row r="674">
      <c r="A674" s="23" t="n"/>
    </row>
    <row r="675">
      <c r="A675" s="23" t="n"/>
    </row>
    <row r="676">
      <c r="A676" s="23" t="n"/>
    </row>
    <row r="677">
      <c r="A677" s="23" t="n"/>
    </row>
    <row r="678">
      <c r="A678" s="23" t="n"/>
    </row>
    <row r="679">
      <c r="A679" s="23" t="n"/>
    </row>
    <row r="680">
      <c r="A680" s="23" t="n"/>
    </row>
    <row r="681">
      <c r="A681" s="23" t="n"/>
    </row>
    <row r="682">
      <c r="A682" s="23" t="n"/>
    </row>
    <row r="683">
      <c r="A683" s="23" t="n"/>
    </row>
    <row r="684">
      <c r="A684" s="23" t="n"/>
    </row>
    <row r="685">
      <c r="A685" s="23" t="n"/>
    </row>
    <row r="686">
      <c r="A686" s="23" t="n"/>
    </row>
    <row r="687">
      <c r="A687" s="23" t="n"/>
    </row>
    <row r="688">
      <c r="A688" s="23" t="n"/>
    </row>
    <row r="689">
      <c r="A689" s="23" t="n"/>
    </row>
    <row r="690">
      <c r="A690" s="23" t="n"/>
    </row>
    <row r="691">
      <c r="A691" s="23" t="n"/>
    </row>
    <row r="692">
      <c r="A692" s="23" t="n"/>
    </row>
    <row r="693">
      <c r="A693" s="23" t="n"/>
    </row>
    <row r="694">
      <c r="A694" s="23" t="n"/>
    </row>
    <row r="695">
      <c r="A695" s="23" t="n"/>
    </row>
    <row r="696">
      <c r="A696" s="23" t="n"/>
    </row>
    <row r="697">
      <c r="A697" s="23" t="n"/>
    </row>
    <row r="698">
      <c r="A698" s="23" t="n"/>
    </row>
    <row r="699">
      <c r="A699" s="23" t="n"/>
    </row>
    <row r="700">
      <c r="A700" s="23" t="n"/>
    </row>
    <row r="701">
      <c r="A701" s="23" t="n"/>
    </row>
    <row r="702">
      <c r="A702" s="23" t="n"/>
    </row>
    <row r="703">
      <c r="A703" s="23" t="n"/>
    </row>
    <row r="704">
      <c r="A704" s="23" t="n"/>
    </row>
    <row r="705">
      <c r="A705" s="23" t="n"/>
    </row>
    <row r="706">
      <c r="A706" s="23" t="n"/>
    </row>
    <row r="707">
      <c r="A707" s="23" t="n"/>
    </row>
    <row r="708">
      <c r="A708" s="23" t="n"/>
    </row>
    <row r="709">
      <c r="A709" s="23" t="n"/>
    </row>
    <row r="710">
      <c r="A710" s="23" t="n"/>
    </row>
    <row r="711">
      <c r="A711" s="23" t="n"/>
    </row>
    <row r="712">
      <c r="A712" s="23" t="n"/>
    </row>
    <row r="713">
      <c r="A713" s="23" t="n"/>
    </row>
    <row r="714">
      <c r="A714" s="23" t="n"/>
    </row>
    <row r="715">
      <c r="A715" s="23" t="n"/>
    </row>
    <row r="716">
      <c r="A716" s="23" t="n"/>
    </row>
    <row r="717">
      <c r="A717" s="23" t="n"/>
    </row>
    <row r="718">
      <c r="A718" s="23" t="n"/>
    </row>
    <row r="719">
      <c r="A719" s="23" t="n"/>
    </row>
    <row r="720">
      <c r="A720" s="23" t="n"/>
    </row>
    <row r="721">
      <c r="A721" s="23" t="n"/>
    </row>
    <row r="722">
      <c r="A722" s="23" t="n"/>
    </row>
    <row r="723">
      <c r="A723" s="23" t="n"/>
    </row>
    <row r="724">
      <c r="A724" s="23" t="n"/>
    </row>
    <row r="725">
      <c r="A725" s="23" t="n"/>
    </row>
    <row r="726">
      <c r="A726" s="23" t="n"/>
    </row>
    <row r="727">
      <c r="A727" s="23" t="n"/>
    </row>
    <row r="728">
      <c r="A728" s="23" t="n"/>
    </row>
    <row r="729">
      <c r="A729" s="23" t="n"/>
    </row>
    <row r="730">
      <c r="A730" s="23" t="n"/>
    </row>
    <row r="731">
      <c r="A731" s="23" t="n"/>
    </row>
    <row r="732">
      <c r="A732" s="23" t="n"/>
    </row>
    <row r="733">
      <c r="A733" s="23" t="n"/>
    </row>
    <row r="734">
      <c r="A734" s="23" t="n"/>
    </row>
    <row r="735">
      <c r="A735" s="23" t="n"/>
    </row>
    <row r="736">
      <c r="A736" s="23" t="n"/>
    </row>
    <row r="737">
      <c r="A737" s="23" t="n"/>
    </row>
    <row r="738">
      <c r="A738" s="23" t="n"/>
    </row>
    <row r="739">
      <c r="A739" s="23" t="n"/>
    </row>
    <row r="740">
      <c r="A740" s="23" t="n"/>
    </row>
    <row r="741">
      <c r="A741" s="23" t="n"/>
    </row>
    <row r="742">
      <c r="A742" s="23" t="n"/>
    </row>
    <row r="743">
      <c r="A743" s="23" t="n"/>
    </row>
    <row r="744">
      <c r="A744" s="23" t="n"/>
    </row>
    <row r="745">
      <c r="A745" s="23" t="n"/>
    </row>
    <row r="746">
      <c r="A746" s="23" t="n"/>
    </row>
    <row r="747">
      <c r="A747" s="23" t="n"/>
    </row>
    <row r="748">
      <c r="A748" s="23" t="n"/>
    </row>
    <row r="749">
      <c r="A749" s="23" t="n"/>
    </row>
    <row r="750">
      <c r="A750" s="23" t="n"/>
    </row>
    <row r="751">
      <c r="A751" s="23" t="n"/>
    </row>
    <row r="752">
      <c r="A752" s="23" t="n"/>
    </row>
    <row r="753">
      <c r="A753" s="23" t="n"/>
    </row>
    <row r="754">
      <c r="A754" s="23" t="n"/>
    </row>
    <row r="755">
      <c r="A755" s="23" t="n"/>
    </row>
    <row r="756">
      <c r="A756" s="23" t="n"/>
    </row>
    <row r="757">
      <c r="A757" s="23" t="n"/>
    </row>
    <row r="758">
      <c r="A758" s="23" t="n"/>
    </row>
    <row r="759">
      <c r="A759" s="23" t="n"/>
    </row>
    <row r="760">
      <c r="A760" s="23" t="n"/>
    </row>
    <row r="761">
      <c r="A761" s="23" t="n"/>
    </row>
    <row r="762">
      <c r="A762" s="23" t="n"/>
    </row>
    <row r="763">
      <c r="A763" s="23" t="n"/>
    </row>
    <row r="764">
      <c r="A764" s="23" t="n"/>
    </row>
    <row r="765">
      <c r="A765" s="23" t="n"/>
    </row>
    <row r="766">
      <c r="A766" s="23" t="n"/>
    </row>
    <row r="767">
      <c r="A767" s="23" t="n"/>
    </row>
    <row r="768">
      <c r="A768" s="23" t="n"/>
    </row>
    <row r="769">
      <c r="A769" s="23" t="n"/>
    </row>
    <row r="770">
      <c r="A770" s="23" t="n"/>
    </row>
    <row r="771">
      <c r="A771" s="23" t="n"/>
    </row>
    <row r="772">
      <c r="A772" s="23" t="n"/>
    </row>
    <row r="773">
      <c r="A773" s="23" t="n"/>
    </row>
    <row r="774">
      <c r="A774" s="23" t="n"/>
    </row>
    <row r="775">
      <c r="A775" s="23" t="n"/>
    </row>
    <row r="776">
      <c r="A776" s="23" t="n"/>
    </row>
    <row r="777">
      <c r="A777" s="23" t="n"/>
    </row>
    <row r="778">
      <c r="A778" s="23" t="n"/>
    </row>
    <row r="779">
      <c r="A779" s="23" t="n"/>
    </row>
    <row r="780">
      <c r="A780" s="23" t="n"/>
    </row>
    <row r="781">
      <c r="A781" s="23" t="n"/>
    </row>
    <row r="782">
      <c r="A782" s="23" t="n"/>
    </row>
    <row r="783">
      <c r="A783" s="23" t="n"/>
    </row>
    <row r="784">
      <c r="A784" s="23" t="n"/>
    </row>
    <row r="785">
      <c r="A785" s="23" t="n"/>
    </row>
    <row r="786">
      <c r="A786" s="23" t="n"/>
    </row>
    <row r="787">
      <c r="A787" s="23" t="n"/>
    </row>
    <row r="788">
      <c r="A788" s="23" t="n"/>
    </row>
    <row r="789">
      <c r="A789" s="23" t="n"/>
    </row>
    <row r="790">
      <c r="A790" s="23" t="n"/>
    </row>
    <row r="791">
      <c r="A791" s="23" t="n"/>
    </row>
    <row r="792">
      <c r="A792" s="23" t="n"/>
    </row>
    <row r="793">
      <c r="A793" s="23" t="n"/>
    </row>
    <row r="794">
      <c r="A794" s="23" t="n"/>
    </row>
    <row r="795">
      <c r="A795" s="23" t="n"/>
    </row>
    <row r="796">
      <c r="A796" s="23" t="n"/>
    </row>
    <row r="797">
      <c r="A797" s="23" t="n"/>
    </row>
    <row r="798">
      <c r="A798" s="23" t="n"/>
    </row>
    <row r="799">
      <c r="A799" s="23" t="n"/>
    </row>
    <row r="800">
      <c r="A800" s="23" t="n"/>
    </row>
    <row r="801">
      <c r="A801" s="23" t="n"/>
    </row>
    <row r="802">
      <c r="A802" s="23" t="n"/>
    </row>
    <row r="803">
      <c r="A803" s="23" t="n"/>
    </row>
    <row r="804">
      <c r="A804" s="23" t="n"/>
    </row>
    <row r="805">
      <c r="A805" s="23" t="n"/>
    </row>
    <row r="806">
      <c r="A806" s="23" t="n"/>
    </row>
    <row r="807">
      <c r="A807" s="23" t="n"/>
    </row>
    <row r="808">
      <c r="A808" s="23" t="n"/>
    </row>
    <row r="809">
      <c r="A809" s="23" t="n"/>
    </row>
    <row r="810">
      <c r="A810" s="23" t="n"/>
    </row>
    <row r="811">
      <c r="A811" s="23" t="n"/>
    </row>
    <row r="812">
      <c r="A812" s="23" t="n"/>
    </row>
    <row r="813">
      <c r="A813" s="23" t="n"/>
    </row>
    <row r="814">
      <c r="A814" s="23" t="n"/>
    </row>
    <row r="815">
      <c r="A815" s="23" t="n"/>
    </row>
    <row r="816">
      <c r="A816" s="23" t="n"/>
    </row>
    <row r="817">
      <c r="A817" s="23" t="n"/>
    </row>
    <row r="818">
      <c r="A818" s="23" t="n"/>
    </row>
    <row r="819">
      <c r="A819" s="23" t="n"/>
    </row>
    <row r="820">
      <c r="A820" s="23" t="n"/>
    </row>
    <row r="821">
      <c r="A821" s="23" t="n"/>
    </row>
    <row r="822">
      <c r="A822" s="23" t="n"/>
    </row>
    <row r="823">
      <c r="A823" s="23" t="n"/>
    </row>
  </sheetData>
  <pageMargins left="0.75" right="0.75" top="1" bottom="1" header="0.5" footer="0.5"/>
  <drawing xmlns:r="http://schemas.openxmlformats.org/officeDocument/2006/relationships" r:id="rId1"/>
</worksheet>
</file>

<file path=xl/worksheets/sheet9.xml><?xml version="1.0" encoding="utf-8"?>
<worksheet xmlns="http://schemas.openxmlformats.org/spreadsheetml/2006/main">
  <sheetPr>
    <outlinePr summaryBelow="1" summaryRight="1"/>
    <pageSetUpPr/>
  </sheetPr>
  <dimension ref="A1:V805"/>
  <sheetViews>
    <sheetView showGridLines="0" workbookViewId="0">
      <pane ySplit="4" topLeftCell="A5" activePane="bottomLeft" state="frozen"/>
      <selection pane="bottomLeft" activeCell="A1" sqref="A1"/>
    </sheetView>
  </sheetViews>
  <sheetFormatPr baseColWidth="8" defaultRowHeight="15"/>
  <cols>
    <col width="12" customWidth="1" min="1" max="1"/>
    <col width="13" customWidth="1" min="2" max="2"/>
    <col width="20" customWidth="1" min="3" max="3"/>
    <col width="14" customWidth="1" min="4" max="4"/>
    <col width="14" customWidth="1" min="5" max="5"/>
  </cols>
  <sheetData>
    <row r="1">
      <c r="A1" s="1" t="inlineStr">
        <is>
          <t>Earnings breadth and concentration — §5.1 Lens 2</t>
        </is>
      </c>
    </row>
    <row r="2">
      <c r="A2" s="2" t="inlineStr">
        <is>
          <t>Cap-weighted against equal-weighted is the simplest breadth chart there is; the concentration numbers come from BQL on the next tab.</t>
        </is>
      </c>
      <c r="R2" s="12" t="inlineStr">
        <is>
          <t>Staging — one BQL call per security. Each spills DATE and value; the working columns on the left look them up by date. Blocks: R = S&amp;P 500 · V = S&amp;P 500 equal weight.  If a block comes back with an extra ID column, shift that block's value column by one — nothing else needs to change.</t>
        </is>
      </c>
    </row>
    <row r="3" ht="4" customHeight="1">
      <c r="A3" s="3" t="n"/>
      <c r="B3" s="3" t="n"/>
      <c r="C3" s="3" t="n"/>
      <c r="D3" s="3" t="n"/>
      <c r="E3" s="3" t="n"/>
      <c r="F3" s="3" t="n"/>
      <c r="G3" s="3" t="n"/>
      <c r="H3" s="3" t="n"/>
    </row>
    <row r="4">
      <c r="A4" s="9" t="inlineStr">
        <is>
          <t>Date alignment check</t>
        </is>
      </c>
      <c r="C4" s="9">
        <f>IFERROR(SUMPRODUCT(--($R$6:$R$806&lt;&gt;"")*($V$6:$V$806&lt;&gt;"")*($R$6:$R$806&lt;&gt;$V$6:$V$806)),"")</f>
        <v/>
      </c>
      <c r="D4" s="2">
        <f>IF(C4="","",IF(C4=0,"OK — blocks are row-aligned","MISALIGNED: "&amp;C4&amp;" rows differ. Do not use these numbers; switch the value columns to INDEX/MATCH on the date."))</f>
        <v/>
      </c>
    </row>
    <row r="5" ht="18" customHeight="1">
      <c r="A5" s="4" t="inlineStr">
        <is>
          <t>Date</t>
        </is>
      </c>
      <c r="B5" s="4" t="inlineStr">
        <is>
          <t>S&amp;P 500</t>
        </is>
      </c>
      <c r="C5" s="4" t="inlineStr">
        <is>
          <t>S&amp;P 500 equal weight</t>
        </is>
      </c>
      <c r="D5" s="4" t="inlineStr">
        <is>
          <t>SPX indexed</t>
        </is>
      </c>
      <c r="E5" s="4" t="inlineStr">
        <is>
          <t>SPW indexed</t>
        </is>
      </c>
      <c r="R5" s="10">
        <f>BQL("SPX Index","px_last(dates=range("&amp;TEXT(StartYTD,"yyyy-mm-dd")&amp;","&amp;TEXT(AsOf,"yyyy-mm-dd")&amp;"), fill=prev)")</f>
        <v/>
      </c>
      <c r="V5" s="10">
        <f>BQL("SPW Index","px_last(dates=range("&amp;TEXT(StartYTD,"yyyy-mm-dd")&amp;","&amp;TEXT(AsOf,"yyyy-mm-dd")&amp;"), fill=prev)")</f>
        <v/>
      </c>
    </row>
    <row r="6">
      <c r="A6" s="23">
        <f>IFERROR(INDEX($R$6:$R$806,ROW()-5),"")</f>
        <v/>
      </c>
      <c r="B6">
        <f>IFERROR(INDEX($S$6:$S$806,ROW()-5),"")</f>
        <v/>
      </c>
      <c r="C6">
        <f>IFERROR(INDEX($W$6:$W$806,ROW()-5),"")</f>
        <v/>
      </c>
      <c r="D6" s="36">
        <f>IFERROR(B6/$B$6*100,"")</f>
        <v/>
      </c>
      <c r="E6" s="36">
        <f>IFERROR(C6/$C$6*100,"")</f>
        <v/>
      </c>
    </row>
    <row r="7">
      <c r="A7" s="23">
        <f>IFERROR(INDEX($R$6:$R$806,ROW()-5),"")</f>
        <v/>
      </c>
      <c r="B7">
        <f>IFERROR(INDEX($S$6:$S$806,ROW()-5),"")</f>
        <v/>
      </c>
      <c r="C7">
        <f>IFERROR(INDEX($W$6:$W$806,ROW()-5),"")</f>
        <v/>
      </c>
      <c r="D7" s="36">
        <f>IFERROR(B7/$B$6*100,"")</f>
        <v/>
      </c>
      <c r="E7" s="36">
        <f>IFERROR(C7/$C$6*100,"")</f>
        <v/>
      </c>
    </row>
    <row r="8">
      <c r="A8" s="23">
        <f>IFERROR(INDEX($R$6:$R$806,ROW()-5),"")</f>
        <v/>
      </c>
      <c r="B8">
        <f>IFERROR(INDEX($S$6:$S$806,ROW()-5),"")</f>
        <v/>
      </c>
      <c r="C8">
        <f>IFERROR(INDEX($W$6:$W$806,ROW()-5),"")</f>
        <v/>
      </c>
      <c r="D8" s="36">
        <f>IFERROR(B8/$B$6*100,"")</f>
        <v/>
      </c>
      <c r="E8" s="36">
        <f>IFERROR(C8/$C$6*100,"")</f>
        <v/>
      </c>
    </row>
    <row r="9">
      <c r="A9" s="23">
        <f>IFERROR(INDEX($R$6:$R$806,ROW()-5),"")</f>
        <v/>
      </c>
      <c r="B9">
        <f>IFERROR(INDEX($S$6:$S$806,ROW()-5),"")</f>
        <v/>
      </c>
      <c r="C9">
        <f>IFERROR(INDEX($W$6:$W$806,ROW()-5),"")</f>
        <v/>
      </c>
      <c r="D9" s="36">
        <f>IFERROR(B9/$B$6*100,"")</f>
        <v/>
      </c>
      <c r="E9" s="36">
        <f>IFERROR(C9/$C$6*100,"")</f>
        <v/>
      </c>
    </row>
    <row r="10">
      <c r="A10" s="23">
        <f>IFERROR(INDEX($R$6:$R$806,ROW()-5),"")</f>
        <v/>
      </c>
      <c r="B10">
        <f>IFERROR(INDEX($S$6:$S$806,ROW()-5),"")</f>
        <v/>
      </c>
      <c r="C10">
        <f>IFERROR(INDEX($W$6:$W$806,ROW()-5),"")</f>
        <v/>
      </c>
      <c r="D10" s="36">
        <f>IFERROR(B10/$B$6*100,"")</f>
        <v/>
      </c>
      <c r="E10" s="36">
        <f>IFERROR(C10/$C$6*100,"")</f>
        <v/>
      </c>
    </row>
    <row r="11">
      <c r="A11" s="23">
        <f>IFERROR(INDEX($R$6:$R$806,ROW()-5),"")</f>
        <v/>
      </c>
      <c r="B11">
        <f>IFERROR(INDEX($S$6:$S$806,ROW()-5),"")</f>
        <v/>
      </c>
      <c r="C11">
        <f>IFERROR(INDEX($W$6:$W$806,ROW()-5),"")</f>
        <v/>
      </c>
      <c r="D11" s="36">
        <f>IFERROR(B11/$B$6*100,"")</f>
        <v/>
      </c>
      <c r="E11" s="36">
        <f>IFERROR(C11/$C$6*100,"")</f>
        <v/>
      </c>
    </row>
    <row r="12">
      <c r="A12" s="23">
        <f>IFERROR(INDEX($R$6:$R$806,ROW()-5),"")</f>
        <v/>
      </c>
      <c r="B12">
        <f>IFERROR(INDEX($S$6:$S$806,ROW()-5),"")</f>
        <v/>
      </c>
      <c r="C12">
        <f>IFERROR(INDEX($W$6:$W$806,ROW()-5),"")</f>
        <v/>
      </c>
      <c r="D12" s="36">
        <f>IFERROR(B12/$B$6*100,"")</f>
        <v/>
      </c>
      <c r="E12" s="36">
        <f>IFERROR(C12/$C$6*100,"")</f>
        <v/>
      </c>
    </row>
    <row r="13">
      <c r="A13" s="23">
        <f>IFERROR(INDEX($R$6:$R$806,ROW()-5),"")</f>
        <v/>
      </c>
      <c r="B13">
        <f>IFERROR(INDEX($S$6:$S$806,ROW()-5),"")</f>
        <v/>
      </c>
      <c r="C13">
        <f>IFERROR(INDEX($W$6:$W$806,ROW()-5),"")</f>
        <v/>
      </c>
      <c r="D13" s="36">
        <f>IFERROR(B13/$B$6*100,"")</f>
        <v/>
      </c>
      <c r="E13" s="36">
        <f>IFERROR(C13/$C$6*100,"")</f>
        <v/>
      </c>
    </row>
    <row r="14">
      <c r="A14" s="23">
        <f>IFERROR(INDEX($R$6:$R$806,ROW()-5),"")</f>
        <v/>
      </c>
      <c r="B14">
        <f>IFERROR(INDEX($S$6:$S$806,ROW()-5),"")</f>
        <v/>
      </c>
      <c r="C14">
        <f>IFERROR(INDEX($W$6:$W$806,ROW()-5),"")</f>
        <v/>
      </c>
      <c r="D14" s="36">
        <f>IFERROR(B14/$B$6*100,"")</f>
        <v/>
      </c>
      <c r="E14" s="36">
        <f>IFERROR(C14/$C$6*100,"")</f>
        <v/>
      </c>
    </row>
    <row r="15">
      <c r="A15" s="23">
        <f>IFERROR(INDEX($R$6:$R$806,ROW()-5),"")</f>
        <v/>
      </c>
      <c r="B15">
        <f>IFERROR(INDEX($S$6:$S$806,ROW()-5),"")</f>
        <v/>
      </c>
      <c r="C15">
        <f>IFERROR(INDEX($W$6:$W$806,ROW()-5),"")</f>
        <v/>
      </c>
      <c r="D15" s="36">
        <f>IFERROR(B15/$B$6*100,"")</f>
        <v/>
      </c>
      <c r="E15" s="36">
        <f>IFERROR(C15/$C$6*100,"")</f>
        <v/>
      </c>
    </row>
    <row r="16">
      <c r="A16" s="23">
        <f>IFERROR(INDEX($R$6:$R$806,ROW()-5),"")</f>
        <v/>
      </c>
      <c r="B16">
        <f>IFERROR(INDEX($S$6:$S$806,ROW()-5),"")</f>
        <v/>
      </c>
      <c r="C16">
        <f>IFERROR(INDEX($W$6:$W$806,ROW()-5),"")</f>
        <v/>
      </c>
      <c r="D16" s="36">
        <f>IFERROR(B16/$B$6*100,"")</f>
        <v/>
      </c>
      <c r="E16" s="36">
        <f>IFERROR(C16/$C$6*100,"")</f>
        <v/>
      </c>
    </row>
    <row r="17">
      <c r="A17" s="23">
        <f>IFERROR(INDEX($R$6:$R$806,ROW()-5),"")</f>
        <v/>
      </c>
      <c r="B17">
        <f>IFERROR(INDEX($S$6:$S$806,ROW()-5),"")</f>
        <v/>
      </c>
      <c r="C17">
        <f>IFERROR(INDEX($W$6:$W$806,ROW()-5),"")</f>
        <v/>
      </c>
      <c r="D17" s="36">
        <f>IFERROR(B17/$B$6*100,"")</f>
        <v/>
      </c>
      <c r="E17" s="36">
        <f>IFERROR(C17/$C$6*100,"")</f>
        <v/>
      </c>
    </row>
    <row r="18">
      <c r="A18" s="23">
        <f>IFERROR(INDEX($R$6:$R$806,ROW()-5),"")</f>
        <v/>
      </c>
      <c r="B18">
        <f>IFERROR(INDEX($S$6:$S$806,ROW()-5),"")</f>
        <v/>
      </c>
      <c r="C18">
        <f>IFERROR(INDEX($W$6:$W$806,ROW()-5),"")</f>
        <v/>
      </c>
      <c r="D18" s="36">
        <f>IFERROR(B18/$B$6*100,"")</f>
        <v/>
      </c>
      <c r="E18" s="36">
        <f>IFERROR(C18/$C$6*100,"")</f>
        <v/>
      </c>
    </row>
    <row r="19">
      <c r="A19" s="23">
        <f>IFERROR(INDEX($R$6:$R$806,ROW()-5),"")</f>
        <v/>
      </c>
      <c r="B19">
        <f>IFERROR(INDEX($S$6:$S$806,ROW()-5),"")</f>
        <v/>
      </c>
      <c r="C19">
        <f>IFERROR(INDEX($W$6:$W$806,ROW()-5),"")</f>
        <v/>
      </c>
      <c r="D19" s="36">
        <f>IFERROR(B19/$B$6*100,"")</f>
        <v/>
      </c>
      <c r="E19" s="36">
        <f>IFERROR(C19/$C$6*100,"")</f>
        <v/>
      </c>
    </row>
    <row r="20">
      <c r="A20" s="23">
        <f>IFERROR(INDEX($R$6:$R$806,ROW()-5),"")</f>
        <v/>
      </c>
      <c r="B20">
        <f>IFERROR(INDEX($S$6:$S$806,ROW()-5),"")</f>
        <v/>
      </c>
      <c r="C20">
        <f>IFERROR(INDEX($W$6:$W$806,ROW()-5),"")</f>
        <v/>
      </c>
      <c r="D20" s="36">
        <f>IFERROR(B20/$B$6*100,"")</f>
        <v/>
      </c>
      <c r="E20" s="36">
        <f>IFERROR(C20/$C$6*100,"")</f>
        <v/>
      </c>
    </row>
    <row r="21">
      <c r="A21" s="23">
        <f>IFERROR(INDEX($R$6:$R$806,ROW()-5),"")</f>
        <v/>
      </c>
      <c r="B21">
        <f>IFERROR(INDEX($S$6:$S$806,ROW()-5),"")</f>
        <v/>
      </c>
      <c r="C21">
        <f>IFERROR(INDEX($W$6:$W$806,ROW()-5),"")</f>
        <v/>
      </c>
      <c r="D21" s="36">
        <f>IFERROR(B21/$B$6*100,"")</f>
        <v/>
      </c>
      <c r="E21" s="36">
        <f>IFERROR(C21/$C$6*100,"")</f>
        <v/>
      </c>
    </row>
    <row r="22">
      <c r="A22" s="23">
        <f>IFERROR(INDEX($R$6:$R$806,ROW()-5),"")</f>
        <v/>
      </c>
      <c r="B22">
        <f>IFERROR(INDEX($S$6:$S$806,ROW()-5),"")</f>
        <v/>
      </c>
      <c r="C22">
        <f>IFERROR(INDEX($W$6:$W$806,ROW()-5),"")</f>
        <v/>
      </c>
      <c r="D22" s="36">
        <f>IFERROR(B22/$B$6*100,"")</f>
        <v/>
      </c>
      <c r="E22" s="36">
        <f>IFERROR(C22/$C$6*100,"")</f>
        <v/>
      </c>
    </row>
    <row r="23">
      <c r="A23" s="23">
        <f>IFERROR(INDEX($R$6:$R$806,ROW()-5),"")</f>
        <v/>
      </c>
      <c r="B23">
        <f>IFERROR(INDEX($S$6:$S$806,ROW()-5),"")</f>
        <v/>
      </c>
      <c r="C23">
        <f>IFERROR(INDEX($W$6:$W$806,ROW()-5),"")</f>
        <v/>
      </c>
      <c r="D23" s="36">
        <f>IFERROR(B23/$B$6*100,"")</f>
        <v/>
      </c>
      <c r="E23" s="36">
        <f>IFERROR(C23/$C$6*100,"")</f>
        <v/>
      </c>
    </row>
    <row r="24">
      <c r="A24" s="23">
        <f>IFERROR(INDEX($R$6:$R$806,ROW()-5),"")</f>
        <v/>
      </c>
      <c r="B24">
        <f>IFERROR(INDEX($S$6:$S$806,ROW()-5),"")</f>
        <v/>
      </c>
      <c r="C24">
        <f>IFERROR(INDEX($W$6:$W$806,ROW()-5),"")</f>
        <v/>
      </c>
      <c r="D24" s="36">
        <f>IFERROR(B24/$B$6*100,"")</f>
        <v/>
      </c>
      <c r="E24" s="36">
        <f>IFERROR(C24/$C$6*100,"")</f>
        <v/>
      </c>
    </row>
    <row r="25">
      <c r="A25" s="23">
        <f>IFERROR(INDEX($R$6:$R$806,ROW()-5),"")</f>
        <v/>
      </c>
      <c r="B25">
        <f>IFERROR(INDEX($S$6:$S$806,ROW()-5),"")</f>
        <v/>
      </c>
      <c r="C25">
        <f>IFERROR(INDEX($W$6:$W$806,ROW()-5),"")</f>
        <v/>
      </c>
      <c r="D25" s="36">
        <f>IFERROR(B25/$B$6*100,"")</f>
        <v/>
      </c>
      <c r="E25" s="36">
        <f>IFERROR(C25/$C$6*100,"")</f>
        <v/>
      </c>
    </row>
    <row r="26">
      <c r="A26" s="23">
        <f>IFERROR(INDEX($R$6:$R$806,ROW()-5),"")</f>
        <v/>
      </c>
      <c r="B26">
        <f>IFERROR(INDEX($S$6:$S$806,ROW()-5),"")</f>
        <v/>
      </c>
      <c r="C26">
        <f>IFERROR(INDEX($W$6:$W$806,ROW()-5),"")</f>
        <v/>
      </c>
      <c r="D26" s="36">
        <f>IFERROR(B26/$B$6*100,"")</f>
        <v/>
      </c>
      <c r="E26" s="36">
        <f>IFERROR(C26/$C$6*100,"")</f>
        <v/>
      </c>
    </row>
    <row r="27">
      <c r="A27" s="23">
        <f>IFERROR(INDEX($R$6:$R$806,ROW()-5),"")</f>
        <v/>
      </c>
      <c r="B27">
        <f>IFERROR(INDEX($S$6:$S$806,ROW()-5),"")</f>
        <v/>
      </c>
      <c r="C27">
        <f>IFERROR(INDEX($W$6:$W$806,ROW()-5),"")</f>
        <v/>
      </c>
      <c r="D27" s="36">
        <f>IFERROR(B27/$B$6*100,"")</f>
        <v/>
      </c>
      <c r="E27" s="36">
        <f>IFERROR(C27/$C$6*100,"")</f>
        <v/>
      </c>
    </row>
    <row r="28">
      <c r="A28" s="23">
        <f>IFERROR(INDEX($R$6:$R$806,ROW()-5),"")</f>
        <v/>
      </c>
      <c r="B28">
        <f>IFERROR(INDEX($S$6:$S$806,ROW()-5),"")</f>
        <v/>
      </c>
      <c r="C28">
        <f>IFERROR(INDEX($W$6:$W$806,ROW()-5),"")</f>
        <v/>
      </c>
      <c r="D28" s="36">
        <f>IFERROR(B28/$B$6*100,"")</f>
        <v/>
      </c>
      <c r="E28" s="36">
        <f>IFERROR(C28/$C$6*100,"")</f>
        <v/>
      </c>
    </row>
    <row r="29">
      <c r="A29" s="23">
        <f>IFERROR(INDEX($R$6:$R$806,ROW()-5),"")</f>
        <v/>
      </c>
      <c r="B29">
        <f>IFERROR(INDEX($S$6:$S$806,ROW()-5),"")</f>
        <v/>
      </c>
      <c r="C29">
        <f>IFERROR(INDEX($W$6:$W$806,ROW()-5),"")</f>
        <v/>
      </c>
      <c r="D29" s="36">
        <f>IFERROR(B29/$B$6*100,"")</f>
        <v/>
      </c>
      <c r="E29" s="36">
        <f>IFERROR(C29/$C$6*100,"")</f>
        <v/>
      </c>
    </row>
    <row r="30">
      <c r="A30" s="23">
        <f>IFERROR(INDEX($R$6:$R$806,ROW()-5),"")</f>
        <v/>
      </c>
      <c r="B30">
        <f>IFERROR(INDEX($S$6:$S$806,ROW()-5),"")</f>
        <v/>
      </c>
      <c r="C30">
        <f>IFERROR(INDEX($W$6:$W$806,ROW()-5),"")</f>
        <v/>
      </c>
      <c r="D30" s="36">
        <f>IFERROR(B30/$B$6*100,"")</f>
        <v/>
      </c>
      <c r="E30" s="36">
        <f>IFERROR(C30/$C$6*100,"")</f>
        <v/>
      </c>
    </row>
    <row r="31">
      <c r="A31" s="23">
        <f>IFERROR(INDEX($R$6:$R$806,ROW()-5),"")</f>
        <v/>
      </c>
      <c r="B31">
        <f>IFERROR(INDEX($S$6:$S$806,ROW()-5),"")</f>
        <v/>
      </c>
      <c r="C31">
        <f>IFERROR(INDEX($W$6:$W$806,ROW()-5),"")</f>
        <v/>
      </c>
      <c r="D31" s="36">
        <f>IFERROR(B31/$B$6*100,"")</f>
        <v/>
      </c>
      <c r="E31" s="36">
        <f>IFERROR(C31/$C$6*100,"")</f>
        <v/>
      </c>
    </row>
    <row r="32">
      <c r="A32" s="23">
        <f>IFERROR(INDEX($R$6:$R$806,ROW()-5),"")</f>
        <v/>
      </c>
      <c r="B32">
        <f>IFERROR(INDEX($S$6:$S$806,ROW()-5),"")</f>
        <v/>
      </c>
      <c r="C32">
        <f>IFERROR(INDEX($W$6:$W$806,ROW()-5),"")</f>
        <v/>
      </c>
      <c r="D32" s="36">
        <f>IFERROR(B32/$B$6*100,"")</f>
        <v/>
      </c>
      <c r="E32" s="36">
        <f>IFERROR(C32/$C$6*100,"")</f>
        <v/>
      </c>
    </row>
    <row r="33">
      <c r="A33" s="23">
        <f>IFERROR(INDEX($R$6:$R$806,ROW()-5),"")</f>
        <v/>
      </c>
      <c r="B33">
        <f>IFERROR(INDEX($S$6:$S$806,ROW()-5),"")</f>
        <v/>
      </c>
      <c r="C33">
        <f>IFERROR(INDEX($W$6:$W$806,ROW()-5),"")</f>
        <v/>
      </c>
      <c r="D33" s="36">
        <f>IFERROR(B33/$B$6*100,"")</f>
        <v/>
      </c>
      <c r="E33" s="36">
        <f>IFERROR(C33/$C$6*100,"")</f>
        <v/>
      </c>
    </row>
    <row r="34">
      <c r="A34" s="23">
        <f>IFERROR(INDEX($R$6:$R$806,ROW()-5),"")</f>
        <v/>
      </c>
      <c r="B34">
        <f>IFERROR(INDEX($S$6:$S$806,ROW()-5),"")</f>
        <v/>
      </c>
      <c r="C34">
        <f>IFERROR(INDEX($W$6:$W$806,ROW()-5),"")</f>
        <v/>
      </c>
      <c r="D34" s="36">
        <f>IFERROR(B34/$B$6*100,"")</f>
        <v/>
      </c>
      <c r="E34" s="36">
        <f>IFERROR(C34/$C$6*100,"")</f>
        <v/>
      </c>
    </row>
    <row r="35">
      <c r="A35" s="23">
        <f>IFERROR(INDEX($R$6:$R$806,ROW()-5),"")</f>
        <v/>
      </c>
      <c r="B35">
        <f>IFERROR(INDEX($S$6:$S$806,ROW()-5),"")</f>
        <v/>
      </c>
      <c r="C35">
        <f>IFERROR(INDEX($W$6:$W$806,ROW()-5),"")</f>
        <v/>
      </c>
      <c r="D35" s="36">
        <f>IFERROR(B35/$B$6*100,"")</f>
        <v/>
      </c>
      <c r="E35" s="36">
        <f>IFERROR(C35/$C$6*100,"")</f>
        <v/>
      </c>
    </row>
    <row r="36">
      <c r="A36" s="23">
        <f>IFERROR(INDEX($R$6:$R$806,ROW()-5),"")</f>
        <v/>
      </c>
      <c r="B36">
        <f>IFERROR(INDEX($S$6:$S$806,ROW()-5),"")</f>
        <v/>
      </c>
      <c r="C36">
        <f>IFERROR(INDEX($W$6:$W$806,ROW()-5),"")</f>
        <v/>
      </c>
      <c r="D36" s="36">
        <f>IFERROR(B36/$B$6*100,"")</f>
        <v/>
      </c>
      <c r="E36" s="36">
        <f>IFERROR(C36/$C$6*100,"")</f>
        <v/>
      </c>
    </row>
    <row r="37">
      <c r="A37" s="23">
        <f>IFERROR(INDEX($R$6:$R$806,ROW()-5),"")</f>
        <v/>
      </c>
      <c r="B37">
        <f>IFERROR(INDEX($S$6:$S$806,ROW()-5),"")</f>
        <v/>
      </c>
      <c r="C37">
        <f>IFERROR(INDEX($W$6:$W$806,ROW()-5),"")</f>
        <v/>
      </c>
      <c r="D37" s="36">
        <f>IFERROR(B37/$B$6*100,"")</f>
        <v/>
      </c>
      <c r="E37" s="36">
        <f>IFERROR(C37/$C$6*100,"")</f>
        <v/>
      </c>
    </row>
    <row r="38">
      <c r="A38" s="23">
        <f>IFERROR(INDEX($R$6:$R$806,ROW()-5),"")</f>
        <v/>
      </c>
      <c r="B38">
        <f>IFERROR(INDEX($S$6:$S$806,ROW()-5),"")</f>
        <v/>
      </c>
      <c r="C38">
        <f>IFERROR(INDEX($W$6:$W$806,ROW()-5),"")</f>
        <v/>
      </c>
      <c r="D38" s="36">
        <f>IFERROR(B38/$B$6*100,"")</f>
        <v/>
      </c>
      <c r="E38" s="36">
        <f>IFERROR(C38/$C$6*100,"")</f>
        <v/>
      </c>
    </row>
    <row r="39">
      <c r="A39" s="23">
        <f>IFERROR(INDEX($R$6:$R$806,ROW()-5),"")</f>
        <v/>
      </c>
      <c r="B39">
        <f>IFERROR(INDEX($S$6:$S$806,ROW()-5),"")</f>
        <v/>
      </c>
      <c r="C39">
        <f>IFERROR(INDEX($W$6:$W$806,ROW()-5),"")</f>
        <v/>
      </c>
      <c r="D39" s="36">
        <f>IFERROR(B39/$B$6*100,"")</f>
        <v/>
      </c>
      <c r="E39" s="36">
        <f>IFERROR(C39/$C$6*100,"")</f>
        <v/>
      </c>
    </row>
    <row r="40">
      <c r="A40" s="23">
        <f>IFERROR(INDEX($R$6:$R$806,ROW()-5),"")</f>
        <v/>
      </c>
      <c r="B40">
        <f>IFERROR(INDEX($S$6:$S$806,ROW()-5),"")</f>
        <v/>
      </c>
      <c r="C40">
        <f>IFERROR(INDEX($W$6:$W$806,ROW()-5),"")</f>
        <v/>
      </c>
      <c r="D40" s="36">
        <f>IFERROR(B40/$B$6*100,"")</f>
        <v/>
      </c>
      <c r="E40" s="36">
        <f>IFERROR(C40/$C$6*100,"")</f>
        <v/>
      </c>
    </row>
    <row r="41">
      <c r="A41" s="23">
        <f>IFERROR(INDEX($R$6:$R$806,ROW()-5),"")</f>
        <v/>
      </c>
      <c r="B41">
        <f>IFERROR(INDEX($S$6:$S$806,ROW()-5),"")</f>
        <v/>
      </c>
      <c r="C41">
        <f>IFERROR(INDEX($W$6:$W$806,ROW()-5),"")</f>
        <v/>
      </c>
      <c r="D41" s="36">
        <f>IFERROR(B41/$B$6*100,"")</f>
        <v/>
      </c>
      <c r="E41" s="36">
        <f>IFERROR(C41/$C$6*100,"")</f>
        <v/>
      </c>
    </row>
    <row r="42">
      <c r="A42" s="23">
        <f>IFERROR(INDEX($R$6:$R$806,ROW()-5),"")</f>
        <v/>
      </c>
      <c r="B42">
        <f>IFERROR(INDEX($S$6:$S$806,ROW()-5),"")</f>
        <v/>
      </c>
      <c r="C42">
        <f>IFERROR(INDEX($W$6:$W$806,ROW()-5),"")</f>
        <v/>
      </c>
      <c r="D42" s="36">
        <f>IFERROR(B42/$B$6*100,"")</f>
        <v/>
      </c>
      <c r="E42" s="36">
        <f>IFERROR(C42/$C$6*100,"")</f>
        <v/>
      </c>
    </row>
    <row r="43">
      <c r="A43" s="23">
        <f>IFERROR(INDEX($R$6:$R$806,ROW()-5),"")</f>
        <v/>
      </c>
      <c r="B43">
        <f>IFERROR(INDEX($S$6:$S$806,ROW()-5),"")</f>
        <v/>
      </c>
      <c r="C43">
        <f>IFERROR(INDEX($W$6:$W$806,ROW()-5),"")</f>
        <v/>
      </c>
      <c r="D43" s="36">
        <f>IFERROR(B43/$B$6*100,"")</f>
        <v/>
      </c>
      <c r="E43" s="36">
        <f>IFERROR(C43/$C$6*100,"")</f>
        <v/>
      </c>
    </row>
    <row r="44">
      <c r="A44" s="23">
        <f>IFERROR(INDEX($R$6:$R$806,ROW()-5),"")</f>
        <v/>
      </c>
      <c r="B44">
        <f>IFERROR(INDEX($S$6:$S$806,ROW()-5),"")</f>
        <v/>
      </c>
      <c r="C44">
        <f>IFERROR(INDEX($W$6:$W$806,ROW()-5),"")</f>
        <v/>
      </c>
      <c r="D44" s="36">
        <f>IFERROR(B44/$B$6*100,"")</f>
        <v/>
      </c>
      <c r="E44" s="36">
        <f>IFERROR(C44/$C$6*100,"")</f>
        <v/>
      </c>
    </row>
    <row r="45">
      <c r="A45" s="23">
        <f>IFERROR(INDEX($R$6:$R$806,ROW()-5),"")</f>
        <v/>
      </c>
      <c r="B45">
        <f>IFERROR(INDEX($S$6:$S$806,ROW()-5),"")</f>
        <v/>
      </c>
      <c r="C45">
        <f>IFERROR(INDEX($W$6:$W$806,ROW()-5),"")</f>
        <v/>
      </c>
      <c r="D45" s="36">
        <f>IFERROR(B45/$B$6*100,"")</f>
        <v/>
      </c>
      <c r="E45" s="36">
        <f>IFERROR(C45/$C$6*100,"")</f>
        <v/>
      </c>
    </row>
    <row r="46">
      <c r="A46" s="23">
        <f>IFERROR(INDEX($R$6:$R$806,ROW()-5),"")</f>
        <v/>
      </c>
      <c r="B46">
        <f>IFERROR(INDEX($S$6:$S$806,ROW()-5),"")</f>
        <v/>
      </c>
      <c r="C46">
        <f>IFERROR(INDEX($W$6:$W$806,ROW()-5),"")</f>
        <v/>
      </c>
      <c r="D46" s="36">
        <f>IFERROR(B46/$B$6*100,"")</f>
        <v/>
      </c>
      <c r="E46" s="36">
        <f>IFERROR(C46/$C$6*100,"")</f>
        <v/>
      </c>
    </row>
    <row r="47">
      <c r="A47" s="23">
        <f>IFERROR(INDEX($R$6:$R$806,ROW()-5),"")</f>
        <v/>
      </c>
      <c r="B47">
        <f>IFERROR(INDEX($S$6:$S$806,ROW()-5),"")</f>
        <v/>
      </c>
      <c r="C47">
        <f>IFERROR(INDEX($W$6:$W$806,ROW()-5),"")</f>
        <v/>
      </c>
      <c r="D47" s="36">
        <f>IFERROR(B47/$B$6*100,"")</f>
        <v/>
      </c>
      <c r="E47" s="36">
        <f>IFERROR(C47/$C$6*100,"")</f>
        <v/>
      </c>
    </row>
    <row r="48">
      <c r="A48" s="23">
        <f>IFERROR(INDEX($R$6:$R$806,ROW()-5),"")</f>
        <v/>
      </c>
      <c r="B48">
        <f>IFERROR(INDEX($S$6:$S$806,ROW()-5),"")</f>
        <v/>
      </c>
      <c r="C48">
        <f>IFERROR(INDEX($W$6:$W$806,ROW()-5),"")</f>
        <v/>
      </c>
      <c r="D48" s="36">
        <f>IFERROR(B48/$B$6*100,"")</f>
        <v/>
      </c>
      <c r="E48" s="36">
        <f>IFERROR(C48/$C$6*100,"")</f>
        <v/>
      </c>
    </row>
    <row r="49">
      <c r="A49" s="23">
        <f>IFERROR(INDEX($R$6:$R$806,ROW()-5),"")</f>
        <v/>
      </c>
      <c r="B49">
        <f>IFERROR(INDEX($S$6:$S$806,ROW()-5),"")</f>
        <v/>
      </c>
      <c r="C49">
        <f>IFERROR(INDEX($W$6:$W$806,ROW()-5),"")</f>
        <v/>
      </c>
      <c r="D49" s="36">
        <f>IFERROR(B49/$B$6*100,"")</f>
        <v/>
      </c>
      <c r="E49" s="36">
        <f>IFERROR(C49/$C$6*100,"")</f>
        <v/>
      </c>
    </row>
    <row r="50">
      <c r="A50" s="23">
        <f>IFERROR(INDEX($R$6:$R$806,ROW()-5),"")</f>
        <v/>
      </c>
      <c r="B50">
        <f>IFERROR(INDEX($S$6:$S$806,ROW()-5),"")</f>
        <v/>
      </c>
      <c r="C50">
        <f>IFERROR(INDEX($W$6:$W$806,ROW()-5),"")</f>
        <v/>
      </c>
      <c r="D50" s="36">
        <f>IFERROR(B50/$B$6*100,"")</f>
        <v/>
      </c>
      <c r="E50" s="36">
        <f>IFERROR(C50/$C$6*100,"")</f>
        <v/>
      </c>
    </row>
    <row r="51">
      <c r="A51" s="23">
        <f>IFERROR(INDEX($R$6:$R$806,ROW()-5),"")</f>
        <v/>
      </c>
      <c r="B51">
        <f>IFERROR(INDEX($S$6:$S$806,ROW()-5),"")</f>
        <v/>
      </c>
      <c r="C51">
        <f>IFERROR(INDEX($W$6:$W$806,ROW()-5),"")</f>
        <v/>
      </c>
      <c r="D51" s="36">
        <f>IFERROR(B51/$B$6*100,"")</f>
        <v/>
      </c>
      <c r="E51" s="36">
        <f>IFERROR(C51/$C$6*100,"")</f>
        <v/>
      </c>
    </row>
    <row r="52">
      <c r="A52" s="23">
        <f>IFERROR(INDEX($R$6:$R$806,ROW()-5),"")</f>
        <v/>
      </c>
      <c r="B52">
        <f>IFERROR(INDEX($S$6:$S$806,ROW()-5),"")</f>
        <v/>
      </c>
      <c r="C52">
        <f>IFERROR(INDEX($W$6:$W$806,ROW()-5),"")</f>
        <v/>
      </c>
      <c r="D52" s="36">
        <f>IFERROR(B52/$B$6*100,"")</f>
        <v/>
      </c>
      <c r="E52" s="36">
        <f>IFERROR(C52/$C$6*100,"")</f>
        <v/>
      </c>
    </row>
    <row r="53">
      <c r="A53" s="23">
        <f>IFERROR(INDEX($R$6:$R$806,ROW()-5),"")</f>
        <v/>
      </c>
      <c r="B53">
        <f>IFERROR(INDEX($S$6:$S$806,ROW()-5),"")</f>
        <v/>
      </c>
      <c r="C53">
        <f>IFERROR(INDEX($W$6:$W$806,ROW()-5),"")</f>
        <v/>
      </c>
      <c r="D53" s="36">
        <f>IFERROR(B53/$B$6*100,"")</f>
        <v/>
      </c>
      <c r="E53" s="36">
        <f>IFERROR(C53/$C$6*100,"")</f>
        <v/>
      </c>
    </row>
    <row r="54">
      <c r="A54" s="23">
        <f>IFERROR(INDEX($R$6:$R$806,ROW()-5),"")</f>
        <v/>
      </c>
      <c r="B54">
        <f>IFERROR(INDEX($S$6:$S$806,ROW()-5),"")</f>
        <v/>
      </c>
      <c r="C54">
        <f>IFERROR(INDEX($W$6:$W$806,ROW()-5),"")</f>
        <v/>
      </c>
      <c r="D54" s="36">
        <f>IFERROR(B54/$B$6*100,"")</f>
        <v/>
      </c>
      <c r="E54" s="36">
        <f>IFERROR(C54/$C$6*100,"")</f>
        <v/>
      </c>
    </row>
    <row r="55">
      <c r="A55" s="23">
        <f>IFERROR(INDEX($R$6:$R$806,ROW()-5),"")</f>
        <v/>
      </c>
      <c r="B55">
        <f>IFERROR(INDEX($S$6:$S$806,ROW()-5),"")</f>
        <v/>
      </c>
      <c r="C55">
        <f>IFERROR(INDEX($W$6:$W$806,ROW()-5),"")</f>
        <v/>
      </c>
      <c r="D55" s="36">
        <f>IFERROR(B55/$B$6*100,"")</f>
        <v/>
      </c>
      <c r="E55" s="36">
        <f>IFERROR(C55/$C$6*100,"")</f>
        <v/>
      </c>
    </row>
    <row r="56">
      <c r="A56" s="23">
        <f>IFERROR(INDEX($R$6:$R$806,ROW()-5),"")</f>
        <v/>
      </c>
      <c r="B56">
        <f>IFERROR(INDEX($S$6:$S$806,ROW()-5),"")</f>
        <v/>
      </c>
      <c r="C56">
        <f>IFERROR(INDEX($W$6:$W$806,ROW()-5),"")</f>
        <v/>
      </c>
      <c r="D56" s="36">
        <f>IFERROR(B56/$B$6*100,"")</f>
        <v/>
      </c>
      <c r="E56" s="36">
        <f>IFERROR(C56/$C$6*100,"")</f>
        <v/>
      </c>
    </row>
    <row r="57">
      <c r="A57" s="23">
        <f>IFERROR(INDEX($R$6:$R$806,ROW()-5),"")</f>
        <v/>
      </c>
      <c r="B57">
        <f>IFERROR(INDEX($S$6:$S$806,ROW()-5),"")</f>
        <v/>
      </c>
      <c r="C57">
        <f>IFERROR(INDEX($W$6:$W$806,ROW()-5),"")</f>
        <v/>
      </c>
      <c r="D57" s="36">
        <f>IFERROR(B57/$B$6*100,"")</f>
        <v/>
      </c>
      <c r="E57" s="36">
        <f>IFERROR(C57/$C$6*100,"")</f>
        <v/>
      </c>
    </row>
    <row r="58">
      <c r="A58" s="23">
        <f>IFERROR(INDEX($R$6:$R$806,ROW()-5),"")</f>
        <v/>
      </c>
      <c r="B58">
        <f>IFERROR(INDEX($S$6:$S$806,ROW()-5),"")</f>
        <v/>
      </c>
      <c r="C58">
        <f>IFERROR(INDEX($W$6:$W$806,ROW()-5),"")</f>
        <v/>
      </c>
      <c r="D58" s="36">
        <f>IFERROR(B58/$B$6*100,"")</f>
        <v/>
      </c>
      <c r="E58" s="36">
        <f>IFERROR(C58/$C$6*100,"")</f>
        <v/>
      </c>
    </row>
    <row r="59">
      <c r="A59" s="23">
        <f>IFERROR(INDEX($R$6:$R$806,ROW()-5),"")</f>
        <v/>
      </c>
      <c r="B59">
        <f>IFERROR(INDEX($S$6:$S$806,ROW()-5),"")</f>
        <v/>
      </c>
      <c r="C59">
        <f>IFERROR(INDEX($W$6:$W$806,ROW()-5),"")</f>
        <v/>
      </c>
      <c r="D59" s="36">
        <f>IFERROR(B59/$B$6*100,"")</f>
        <v/>
      </c>
      <c r="E59" s="36">
        <f>IFERROR(C59/$C$6*100,"")</f>
        <v/>
      </c>
    </row>
    <row r="60">
      <c r="A60" s="23">
        <f>IFERROR(INDEX($R$6:$R$806,ROW()-5),"")</f>
        <v/>
      </c>
      <c r="B60">
        <f>IFERROR(INDEX($S$6:$S$806,ROW()-5),"")</f>
        <v/>
      </c>
      <c r="C60">
        <f>IFERROR(INDEX($W$6:$W$806,ROW()-5),"")</f>
        <v/>
      </c>
      <c r="D60" s="36">
        <f>IFERROR(B60/$B$6*100,"")</f>
        <v/>
      </c>
      <c r="E60" s="36">
        <f>IFERROR(C60/$C$6*100,"")</f>
        <v/>
      </c>
    </row>
    <row r="61">
      <c r="A61" s="23">
        <f>IFERROR(INDEX($R$6:$R$806,ROW()-5),"")</f>
        <v/>
      </c>
      <c r="B61">
        <f>IFERROR(INDEX($S$6:$S$806,ROW()-5),"")</f>
        <v/>
      </c>
      <c r="C61">
        <f>IFERROR(INDEX($W$6:$W$806,ROW()-5),"")</f>
        <v/>
      </c>
      <c r="D61" s="36">
        <f>IFERROR(B61/$B$6*100,"")</f>
        <v/>
      </c>
      <c r="E61" s="36">
        <f>IFERROR(C61/$C$6*100,"")</f>
        <v/>
      </c>
    </row>
    <row r="62">
      <c r="A62" s="23">
        <f>IFERROR(INDEX($R$6:$R$806,ROW()-5),"")</f>
        <v/>
      </c>
      <c r="B62">
        <f>IFERROR(INDEX($S$6:$S$806,ROW()-5),"")</f>
        <v/>
      </c>
      <c r="C62">
        <f>IFERROR(INDEX($W$6:$W$806,ROW()-5),"")</f>
        <v/>
      </c>
      <c r="D62" s="36">
        <f>IFERROR(B62/$B$6*100,"")</f>
        <v/>
      </c>
      <c r="E62" s="36">
        <f>IFERROR(C62/$C$6*100,"")</f>
        <v/>
      </c>
    </row>
    <row r="63">
      <c r="A63" s="23">
        <f>IFERROR(INDEX($R$6:$R$806,ROW()-5),"")</f>
        <v/>
      </c>
      <c r="B63">
        <f>IFERROR(INDEX($S$6:$S$806,ROW()-5),"")</f>
        <v/>
      </c>
      <c r="C63">
        <f>IFERROR(INDEX($W$6:$W$806,ROW()-5),"")</f>
        <v/>
      </c>
      <c r="D63" s="36">
        <f>IFERROR(B63/$B$6*100,"")</f>
        <v/>
      </c>
      <c r="E63" s="36">
        <f>IFERROR(C63/$C$6*100,"")</f>
        <v/>
      </c>
    </row>
    <row r="64">
      <c r="A64" s="23">
        <f>IFERROR(INDEX($R$6:$R$806,ROW()-5),"")</f>
        <v/>
      </c>
      <c r="B64">
        <f>IFERROR(INDEX($S$6:$S$806,ROW()-5),"")</f>
        <v/>
      </c>
      <c r="C64">
        <f>IFERROR(INDEX($W$6:$W$806,ROW()-5),"")</f>
        <v/>
      </c>
      <c r="D64" s="36">
        <f>IFERROR(B64/$B$6*100,"")</f>
        <v/>
      </c>
      <c r="E64" s="36">
        <f>IFERROR(C64/$C$6*100,"")</f>
        <v/>
      </c>
    </row>
    <row r="65">
      <c r="A65" s="23">
        <f>IFERROR(INDEX($R$6:$R$806,ROW()-5),"")</f>
        <v/>
      </c>
      <c r="B65">
        <f>IFERROR(INDEX($S$6:$S$806,ROW()-5),"")</f>
        <v/>
      </c>
      <c r="C65">
        <f>IFERROR(INDEX($W$6:$W$806,ROW()-5),"")</f>
        <v/>
      </c>
      <c r="D65" s="36">
        <f>IFERROR(B65/$B$6*100,"")</f>
        <v/>
      </c>
      <c r="E65" s="36">
        <f>IFERROR(C65/$C$6*100,"")</f>
        <v/>
      </c>
    </row>
    <row r="66">
      <c r="A66" s="23">
        <f>IFERROR(INDEX($R$6:$R$806,ROW()-5),"")</f>
        <v/>
      </c>
      <c r="B66">
        <f>IFERROR(INDEX($S$6:$S$806,ROW()-5),"")</f>
        <v/>
      </c>
      <c r="C66">
        <f>IFERROR(INDEX($W$6:$W$806,ROW()-5),"")</f>
        <v/>
      </c>
      <c r="D66" s="36">
        <f>IFERROR(B66/$B$6*100,"")</f>
        <v/>
      </c>
      <c r="E66" s="36">
        <f>IFERROR(C66/$C$6*100,"")</f>
        <v/>
      </c>
    </row>
    <row r="67">
      <c r="A67" s="23">
        <f>IFERROR(INDEX($R$6:$R$806,ROW()-5),"")</f>
        <v/>
      </c>
      <c r="B67">
        <f>IFERROR(INDEX($S$6:$S$806,ROW()-5),"")</f>
        <v/>
      </c>
      <c r="C67">
        <f>IFERROR(INDEX($W$6:$W$806,ROW()-5),"")</f>
        <v/>
      </c>
      <c r="D67" s="36">
        <f>IFERROR(B67/$B$6*100,"")</f>
        <v/>
      </c>
      <c r="E67" s="36">
        <f>IFERROR(C67/$C$6*100,"")</f>
        <v/>
      </c>
    </row>
    <row r="68">
      <c r="A68" s="23">
        <f>IFERROR(INDEX($R$6:$R$806,ROW()-5),"")</f>
        <v/>
      </c>
      <c r="B68">
        <f>IFERROR(INDEX($S$6:$S$806,ROW()-5),"")</f>
        <v/>
      </c>
      <c r="C68">
        <f>IFERROR(INDEX($W$6:$W$806,ROW()-5),"")</f>
        <v/>
      </c>
      <c r="D68" s="36">
        <f>IFERROR(B68/$B$6*100,"")</f>
        <v/>
      </c>
      <c r="E68" s="36">
        <f>IFERROR(C68/$C$6*100,"")</f>
        <v/>
      </c>
    </row>
    <row r="69">
      <c r="A69" s="23">
        <f>IFERROR(INDEX($R$6:$R$806,ROW()-5),"")</f>
        <v/>
      </c>
      <c r="B69">
        <f>IFERROR(INDEX($S$6:$S$806,ROW()-5),"")</f>
        <v/>
      </c>
      <c r="C69">
        <f>IFERROR(INDEX($W$6:$W$806,ROW()-5),"")</f>
        <v/>
      </c>
      <c r="D69" s="36">
        <f>IFERROR(B69/$B$6*100,"")</f>
        <v/>
      </c>
      <c r="E69" s="36">
        <f>IFERROR(C69/$C$6*100,"")</f>
        <v/>
      </c>
    </row>
    <row r="70">
      <c r="A70" s="23">
        <f>IFERROR(INDEX($R$6:$R$806,ROW()-5),"")</f>
        <v/>
      </c>
      <c r="B70">
        <f>IFERROR(INDEX($S$6:$S$806,ROW()-5),"")</f>
        <v/>
      </c>
      <c r="C70">
        <f>IFERROR(INDEX($W$6:$W$806,ROW()-5),"")</f>
        <v/>
      </c>
      <c r="D70" s="36">
        <f>IFERROR(B70/$B$6*100,"")</f>
        <v/>
      </c>
      <c r="E70" s="36">
        <f>IFERROR(C70/$C$6*100,"")</f>
        <v/>
      </c>
    </row>
    <row r="71">
      <c r="A71" s="23">
        <f>IFERROR(INDEX($R$6:$R$806,ROW()-5),"")</f>
        <v/>
      </c>
      <c r="B71">
        <f>IFERROR(INDEX($S$6:$S$806,ROW()-5),"")</f>
        <v/>
      </c>
      <c r="C71">
        <f>IFERROR(INDEX($W$6:$W$806,ROW()-5),"")</f>
        <v/>
      </c>
      <c r="D71" s="36">
        <f>IFERROR(B71/$B$6*100,"")</f>
        <v/>
      </c>
      <c r="E71" s="36">
        <f>IFERROR(C71/$C$6*100,"")</f>
        <v/>
      </c>
    </row>
    <row r="72">
      <c r="A72" s="23">
        <f>IFERROR(INDEX($R$6:$R$806,ROW()-5),"")</f>
        <v/>
      </c>
      <c r="B72">
        <f>IFERROR(INDEX($S$6:$S$806,ROW()-5),"")</f>
        <v/>
      </c>
      <c r="C72">
        <f>IFERROR(INDEX($W$6:$W$806,ROW()-5),"")</f>
        <v/>
      </c>
      <c r="D72" s="36">
        <f>IFERROR(B72/$B$6*100,"")</f>
        <v/>
      </c>
      <c r="E72" s="36">
        <f>IFERROR(C72/$C$6*100,"")</f>
        <v/>
      </c>
    </row>
    <row r="73">
      <c r="A73" s="23">
        <f>IFERROR(INDEX($R$6:$R$806,ROW()-5),"")</f>
        <v/>
      </c>
      <c r="B73">
        <f>IFERROR(INDEX($S$6:$S$806,ROW()-5),"")</f>
        <v/>
      </c>
      <c r="C73">
        <f>IFERROR(INDEX($W$6:$W$806,ROW()-5),"")</f>
        <v/>
      </c>
      <c r="D73" s="36">
        <f>IFERROR(B73/$B$6*100,"")</f>
        <v/>
      </c>
      <c r="E73" s="36">
        <f>IFERROR(C73/$C$6*100,"")</f>
        <v/>
      </c>
    </row>
    <row r="74">
      <c r="A74" s="23">
        <f>IFERROR(INDEX($R$6:$R$806,ROW()-5),"")</f>
        <v/>
      </c>
      <c r="B74">
        <f>IFERROR(INDEX($S$6:$S$806,ROW()-5),"")</f>
        <v/>
      </c>
      <c r="C74">
        <f>IFERROR(INDEX($W$6:$W$806,ROW()-5),"")</f>
        <v/>
      </c>
      <c r="D74" s="36">
        <f>IFERROR(B74/$B$6*100,"")</f>
        <v/>
      </c>
      <c r="E74" s="36">
        <f>IFERROR(C74/$C$6*100,"")</f>
        <v/>
      </c>
    </row>
    <row r="75">
      <c r="A75" s="23">
        <f>IFERROR(INDEX($R$6:$R$806,ROW()-5),"")</f>
        <v/>
      </c>
      <c r="B75">
        <f>IFERROR(INDEX($S$6:$S$806,ROW()-5),"")</f>
        <v/>
      </c>
      <c r="C75">
        <f>IFERROR(INDEX($W$6:$W$806,ROW()-5),"")</f>
        <v/>
      </c>
      <c r="D75" s="36">
        <f>IFERROR(B75/$B$6*100,"")</f>
        <v/>
      </c>
      <c r="E75" s="36">
        <f>IFERROR(C75/$C$6*100,"")</f>
        <v/>
      </c>
    </row>
    <row r="76">
      <c r="A76" s="23">
        <f>IFERROR(INDEX($R$6:$R$806,ROW()-5),"")</f>
        <v/>
      </c>
      <c r="B76">
        <f>IFERROR(INDEX($S$6:$S$806,ROW()-5),"")</f>
        <v/>
      </c>
      <c r="C76">
        <f>IFERROR(INDEX($W$6:$W$806,ROW()-5),"")</f>
        <v/>
      </c>
      <c r="D76" s="36">
        <f>IFERROR(B76/$B$6*100,"")</f>
        <v/>
      </c>
      <c r="E76" s="36">
        <f>IFERROR(C76/$C$6*100,"")</f>
        <v/>
      </c>
    </row>
    <row r="77">
      <c r="A77" s="23">
        <f>IFERROR(INDEX($R$6:$R$806,ROW()-5),"")</f>
        <v/>
      </c>
      <c r="B77">
        <f>IFERROR(INDEX($S$6:$S$806,ROW()-5),"")</f>
        <v/>
      </c>
      <c r="C77">
        <f>IFERROR(INDEX($W$6:$W$806,ROW()-5),"")</f>
        <v/>
      </c>
      <c r="D77" s="36">
        <f>IFERROR(B77/$B$6*100,"")</f>
        <v/>
      </c>
      <c r="E77" s="36">
        <f>IFERROR(C77/$C$6*100,"")</f>
        <v/>
      </c>
    </row>
    <row r="78">
      <c r="A78" s="23">
        <f>IFERROR(INDEX($R$6:$R$806,ROW()-5),"")</f>
        <v/>
      </c>
      <c r="B78">
        <f>IFERROR(INDEX($S$6:$S$806,ROW()-5),"")</f>
        <v/>
      </c>
      <c r="C78">
        <f>IFERROR(INDEX($W$6:$W$806,ROW()-5),"")</f>
        <v/>
      </c>
      <c r="D78" s="36">
        <f>IFERROR(B78/$B$6*100,"")</f>
        <v/>
      </c>
      <c r="E78" s="36">
        <f>IFERROR(C78/$C$6*100,"")</f>
        <v/>
      </c>
    </row>
    <row r="79">
      <c r="A79" s="23">
        <f>IFERROR(INDEX($R$6:$R$806,ROW()-5),"")</f>
        <v/>
      </c>
      <c r="B79">
        <f>IFERROR(INDEX($S$6:$S$806,ROW()-5),"")</f>
        <v/>
      </c>
      <c r="C79">
        <f>IFERROR(INDEX($W$6:$W$806,ROW()-5),"")</f>
        <v/>
      </c>
      <c r="D79" s="36">
        <f>IFERROR(B79/$B$6*100,"")</f>
        <v/>
      </c>
      <c r="E79" s="36">
        <f>IFERROR(C79/$C$6*100,"")</f>
        <v/>
      </c>
    </row>
    <row r="80">
      <c r="A80" s="23">
        <f>IFERROR(INDEX($R$6:$R$806,ROW()-5),"")</f>
        <v/>
      </c>
      <c r="B80">
        <f>IFERROR(INDEX($S$6:$S$806,ROW()-5),"")</f>
        <v/>
      </c>
      <c r="C80">
        <f>IFERROR(INDEX($W$6:$W$806,ROW()-5),"")</f>
        <v/>
      </c>
      <c r="D80" s="36">
        <f>IFERROR(B80/$B$6*100,"")</f>
        <v/>
      </c>
      <c r="E80" s="36">
        <f>IFERROR(C80/$C$6*100,"")</f>
        <v/>
      </c>
    </row>
    <row r="81">
      <c r="A81" s="23">
        <f>IFERROR(INDEX($R$6:$R$806,ROW()-5),"")</f>
        <v/>
      </c>
      <c r="B81">
        <f>IFERROR(INDEX($S$6:$S$806,ROW()-5),"")</f>
        <v/>
      </c>
      <c r="C81">
        <f>IFERROR(INDEX($W$6:$W$806,ROW()-5),"")</f>
        <v/>
      </c>
      <c r="D81" s="36">
        <f>IFERROR(B81/$B$6*100,"")</f>
        <v/>
      </c>
      <c r="E81" s="36">
        <f>IFERROR(C81/$C$6*100,"")</f>
        <v/>
      </c>
    </row>
    <row r="82">
      <c r="A82" s="23">
        <f>IFERROR(INDEX($R$6:$R$806,ROW()-5),"")</f>
        <v/>
      </c>
      <c r="B82">
        <f>IFERROR(INDEX($S$6:$S$806,ROW()-5),"")</f>
        <v/>
      </c>
      <c r="C82">
        <f>IFERROR(INDEX($W$6:$W$806,ROW()-5),"")</f>
        <v/>
      </c>
      <c r="D82" s="36">
        <f>IFERROR(B82/$B$6*100,"")</f>
        <v/>
      </c>
      <c r="E82" s="36">
        <f>IFERROR(C82/$C$6*100,"")</f>
        <v/>
      </c>
    </row>
    <row r="83">
      <c r="A83" s="23">
        <f>IFERROR(INDEX($R$6:$R$806,ROW()-5),"")</f>
        <v/>
      </c>
      <c r="B83">
        <f>IFERROR(INDEX($S$6:$S$806,ROW()-5),"")</f>
        <v/>
      </c>
      <c r="C83">
        <f>IFERROR(INDEX($W$6:$W$806,ROW()-5),"")</f>
        <v/>
      </c>
      <c r="D83" s="36">
        <f>IFERROR(B83/$B$6*100,"")</f>
        <v/>
      </c>
      <c r="E83" s="36">
        <f>IFERROR(C83/$C$6*100,"")</f>
        <v/>
      </c>
    </row>
    <row r="84">
      <c r="A84" s="23">
        <f>IFERROR(INDEX($R$6:$R$806,ROW()-5),"")</f>
        <v/>
      </c>
      <c r="B84">
        <f>IFERROR(INDEX($S$6:$S$806,ROW()-5),"")</f>
        <v/>
      </c>
      <c r="C84">
        <f>IFERROR(INDEX($W$6:$W$806,ROW()-5),"")</f>
        <v/>
      </c>
      <c r="D84" s="36">
        <f>IFERROR(B84/$B$6*100,"")</f>
        <v/>
      </c>
      <c r="E84" s="36">
        <f>IFERROR(C84/$C$6*100,"")</f>
        <v/>
      </c>
    </row>
    <row r="85">
      <c r="A85" s="23">
        <f>IFERROR(INDEX($R$6:$R$806,ROW()-5),"")</f>
        <v/>
      </c>
      <c r="B85">
        <f>IFERROR(INDEX($S$6:$S$806,ROW()-5),"")</f>
        <v/>
      </c>
      <c r="C85">
        <f>IFERROR(INDEX($W$6:$W$806,ROW()-5),"")</f>
        <v/>
      </c>
      <c r="D85" s="36">
        <f>IFERROR(B85/$B$6*100,"")</f>
        <v/>
      </c>
      <c r="E85" s="36">
        <f>IFERROR(C85/$C$6*100,"")</f>
        <v/>
      </c>
    </row>
    <row r="86">
      <c r="A86" s="23">
        <f>IFERROR(INDEX($R$6:$R$806,ROW()-5),"")</f>
        <v/>
      </c>
      <c r="B86">
        <f>IFERROR(INDEX($S$6:$S$806,ROW()-5),"")</f>
        <v/>
      </c>
      <c r="C86">
        <f>IFERROR(INDEX($W$6:$W$806,ROW()-5),"")</f>
        <v/>
      </c>
      <c r="D86" s="36">
        <f>IFERROR(B86/$B$6*100,"")</f>
        <v/>
      </c>
      <c r="E86" s="36">
        <f>IFERROR(C86/$C$6*100,"")</f>
        <v/>
      </c>
    </row>
    <row r="87">
      <c r="A87" s="23">
        <f>IFERROR(INDEX($R$6:$R$806,ROW()-5),"")</f>
        <v/>
      </c>
      <c r="B87">
        <f>IFERROR(INDEX($S$6:$S$806,ROW()-5),"")</f>
        <v/>
      </c>
      <c r="C87">
        <f>IFERROR(INDEX($W$6:$W$806,ROW()-5),"")</f>
        <v/>
      </c>
      <c r="D87" s="36">
        <f>IFERROR(B87/$B$6*100,"")</f>
        <v/>
      </c>
      <c r="E87" s="36">
        <f>IFERROR(C87/$C$6*100,"")</f>
        <v/>
      </c>
    </row>
    <row r="88">
      <c r="A88" s="23">
        <f>IFERROR(INDEX($R$6:$R$806,ROW()-5),"")</f>
        <v/>
      </c>
      <c r="B88">
        <f>IFERROR(INDEX($S$6:$S$806,ROW()-5),"")</f>
        <v/>
      </c>
      <c r="C88">
        <f>IFERROR(INDEX($W$6:$W$806,ROW()-5),"")</f>
        <v/>
      </c>
      <c r="D88" s="36">
        <f>IFERROR(B88/$B$6*100,"")</f>
        <v/>
      </c>
      <c r="E88" s="36">
        <f>IFERROR(C88/$C$6*100,"")</f>
        <v/>
      </c>
    </row>
    <row r="89">
      <c r="A89" s="23">
        <f>IFERROR(INDEX($R$6:$R$806,ROW()-5),"")</f>
        <v/>
      </c>
      <c r="B89">
        <f>IFERROR(INDEX($S$6:$S$806,ROW()-5),"")</f>
        <v/>
      </c>
      <c r="C89">
        <f>IFERROR(INDEX($W$6:$W$806,ROW()-5),"")</f>
        <v/>
      </c>
      <c r="D89" s="36">
        <f>IFERROR(B89/$B$6*100,"")</f>
        <v/>
      </c>
      <c r="E89" s="36">
        <f>IFERROR(C89/$C$6*100,"")</f>
        <v/>
      </c>
    </row>
    <row r="90">
      <c r="A90" s="23">
        <f>IFERROR(INDEX($R$6:$R$806,ROW()-5),"")</f>
        <v/>
      </c>
      <c r="B90">
        <f>IFERROR(INDEX($S$6:$S$806,ROW()-5),"")</f>
        <v/>
      </c>
      <c r="C90">
        <f>IFERROR(INDEX($W$6:$W$806,ROW()-5),"")</f>
        <v/>
      </c>
      <c r="D90" s="36">
        <f>IFERROR(B90/$B$6*100,"")</f>
        <v/>
      </c>
      <c r="E90" s="36">
        <f>IFERROR(C90/$C$6*100,"")</f>
        <v/>
      </c>
    </row>
    <row r="91">
      <c r="A91" s="23">
        <f>IFERROR(INDEX($R$6:$R$806,ROW()-5),"")</f>
        <v/>
      </c>
      <c r="B91">
        <f>IFERROR(INDEX($S$6:$S$806,ROW()-5),"")</f>
        <v/>
      </c>
      <c r="C91">
        <f>IFERROR(INDEX($W$6:$W$806,ROW()-5),"")</f>
        <v/>
      </c>
      <c r="D91" s="36">
        <f>IFERROR(B91/$B$6*100,"")</f>
        <v/>
      </c>
      <c r="E91" s="36">
        <f>IFERROR(C91/$C$6*100,"")</f>
        <v/>
      </c>
    </row>
    <row r="92">
      <c r="A92" s="23">
        <f>IFERROR(INDEX($R$6:$R$806,ROW()-5),"")</f>
        <v/>
      </c>
      <c r="B92">
        <f>IFERROR(INDEX($S$6:$S$806,ROW()-5),"")</f>
        <v/>
      </c>
      <c r="C92">
        <f>IFERROR(INDEX($W$6:$W$806,ROW()-5),"")</f>
        <v/>
      </c>
      <c r="D92" s="36">
        <f>IFERROR(B92/$B$6*100,"")</f>
        <v/>
      </c>
      <c r="E92" s="36">
        <f>IFERROR(C92/$C$6*100,"")</f>
        <v/>
      </c>
    </row>
    <row r="93">
      <c r="A93" s="23">
        <f>IFERROR(INDEX($R$6:$R$806,ROW()-5),"")</f>
        <v/>
      </c>
      <c r="B93">
        <f>IFERROR(INDEX($S$6:$S$806,ROW()-5),"")</f>
        <v/>
      </c>
      <c r="C93">
        <f>IFERROR(INDEX($W$6:$W$806,ROW()-5),"")</f>
        <v/>
      </c>
      <c r="D93" s="36">
        <f>IFERROR(B93/$B$6*100,"")</f>
        <v/>
      </c>
      <c r="E93" s="36">
        <f>IFERROR(C93/$C$6*100,"")</f>
        <v/>
      </c>
    </row>
    <row r="94">
      <c r="A94" s="23">
        <f>IFERROR(INDEX($R$6:$R$806,ROW()-5),"")</f>
        <v/>
      </c>
      <c r="B94">
        <f>IFERROR(INDEX($S$6:$S$806,ROW()-5),"")</f>
        <v/>
      </c>
      <c r="C94">
        <f>IFERROR(INDEX($W$6:$W$806,ROW()-5),"")</f>
        <v/>
      </c>
      <c r="D94" s="36">
        <f>IFERROR(B94/$B$6*100,"")</f>
        <v/>
      </c>
      <c r="E94" s="36">
        <f>IFERROR(C94/$C$6*100,"")</f>
        <v/>
      </c>
    </row>
    <row r="95">
      <c r="A95" s="23">
        <f>IFERROR(INDEX($R$6:$R$806,ROW()-5),"")</f>
        <v/>
      </c>
      <c r="B95">
        <f>IFERROR(INDEX($S$6:$S$806,ROW()-5),"")</f>
        <v/>
      </c>
      <c r="C95">
        <f>IFERROR(INDEX($W$6:$W$806,ROW()-5),"")</f>
        <v/>
      </c>
      <c r="D95" s="36">
        <f>IFERROR(B95/$B$6*100,"")</f>
        <v/>
      </c>
      <c r="E95" s="36">
        <f>IFERROR(C95/$C$6*100,"")</f>
        <v/>
      </c>
    </row>
    <row r="96">
      <c r="A96" s="23">
        <f>IFERROR(INDEX($R$6:$R$806,ROW()-5),"")</f>
        <v/>
      </c>
      <c r="B96">
        <f>IFERROR(INDEX($S$6:$S$806,ROW()-5),"")</f>
        <v/>
      </c>
      <c r="C96">
        <f>IFERROR(INDEX($W$6:$W$806,ROW()-5),"")</f>
        <v/>
      </c>
      <c r="D96" s="36">
        <f>IFERROR(B96/$B$6*100,"")</f>
        <v/>
      </c>
      <c r="E96" s="36">
        <f>IFERROR(C96/$C$6*100,"")</f>
        <v/>
      </c>
    </row>
    <row r="97">
      <c r="A97" s="23">
        <f>IFERROR(INDEX($R$6:$R$806,ROW()-5),"")</f>
        <v/>
      </c>
      <c r="B97">
        <f>IFERROR(INDEX($S$6:$S$806,ROW()-5),"")</f>
        <v/>
      </c>
      <c r="C97">
        <f>IFERROR(INDEX($W$6:$W$806,ROW()-5),"")</f>
        <v/>
      </c>
      <c r="D97" s="36">
        <f>IFERROR(B97/$B$6*100,"")</f>
        <v/>
      </c>
      <c r="E97" s="36">
        <f>IFERROR(C97/$C$6*100,"")</f>
        <v/>
      </c>
    </row>
    <row r="98">
      <c r="A98" s="23">
        <f>IFERROR(INDEX($R$6:$R$806,ROW()-5),"")</f>
        <v/>
      </c>
      <c r="B98">
        <f>IFERROR(INDEX($S$6:$S$806,ROW()-5),"")</f>
        <v/>
      </c>
      <c r="C98">
        <f>IFERROR(INDEX($W$6:$W$806,ROW()-5),"")</f>
        <v/>
      </c>
      <c r="D98" s="36">
        <f>IFERROR(B98/$B$6*100,"")</f>
        <v/>
      </c>
      <c r="E98" s="36">
        <f>IFERROR(C98/$C$6*100,"")</f>
        <v/>
      </c>
    </row>
    <row r="99">
      <c r="A99" s="23">
        <f>IFERROR(INDEX($R$6:$R$806,ROW()-5),"")</f>
        <v/>
      </c>
      <c r="B99">
        <f>IFERROR(INDEX($S$6:$S$806,ROW()-5),"")</f>
        <v/>
      </c>
      <c r="C99">
        <f>IFERROR(INDEX($W$6:$W$806,ROW()-5),"")</f>
        <v/>
      </c>
      <c r="D99" s="36">
        <f>IFERROR(B99/$B$6*100,"")</f>
        <v/>
      </c>
      <c r="E99" s="36">
        <f>IFERROR(C99/$C$6*100,"")</f>
        <v/>
      </c>
    </row>
    <row r="100">
      <c r="A100" s="23">
        <f>IFERROR(INDEX($R$6:$R$806,ROW()-5),"")</f>
        <v/>
      </c>
      <c r="B100">
        <f>IFERROR(INDEX($S$6:$S$806,ROW()-5),"")</f>
        <v/>
      </c>
      <c r="C100">
        <f>IFERROR(INDEX($W$6:$W$806,ROW()-5),"")</f>
        <v/>
      </c>
      <c r="D100" s="36">
        <f>IFERROR(B100/$B$6*100,"")</f>
        <v/>
      </c>
      <c r="E100" s="36">
        <f>IFERROR(C100/$C$6*100,"")</f>
        <v/>
      </c>
    </row>
    <row r="101">
      <c r="A101" s="23">
        <f>IFERROR(INDEX($R$6:$R$806,ROW()-5),"")</f>
        <v/>
      </c>
      <c r="B101">
        <f>IFERROR(INDEX($S$6:$S$806,ROW()-5),"")</f>
        <v/>
      </c>
      <c r="C101">
        <f>IFERROR(INDEX($W$6:$W$806,ROW()-5),"")</f>
        <v/>
      </c>
      <c r="D101" s="36">
        <f>IFERROR(B101/$B$6*100,"")</f>
        <v/>
      </c>
      <c r="E101" s="36">
        <f>IFERROR(C101/$C$6*100,"")</f>
        <v/>
      </c>
    </row>
    <row r="102">
      <c r="A102" s="23">
        <f>IFERROR(INDEX($R$6:$R$806,ROW()-5),"")</f>
        <v/>
      </c>
      <c r="B102">
        <f>IFERROR(INDEX($S$6:$S$806,ROW()-5),"")</f>
        <v/>
      </c>
      <c r="C102">
        <f>IFERROR(INDEX($W$6:$W$806,ROW()-5),"")</f>
        <v/>
      </c>
      <c r="D102" s="36">
        <f>IFERROR(B102/$B$6*100,"")</f>
        <v/>
      </c>
      <c r="E102" s="36">
        <f>IFERROR(C102/$C$6*100,"")</f>
        <v/>
      </c>
    </row>
    <row r="103">
      <c r="A103" s="23">
        <f>IFERROR(INDEX($R$6:$R$806,ROW()-5),"")</f>
        <v/>
      </c>
      <c r="B103">
        <f>IFERROR(INDEX($S$6:$S$806,ROW()-5),"")</f>
        <v/>
      </c>
      <c r="C103">
        <f>IFERROR(INDEX($W$6:$W$806,ROW()-5),"")</f>
        <v/>
      </c>
      <c r="D103" s="36">
        <f>IFERROR(B103/$B$6*100,"")</f>
        <v/>
      </c>
      <c r="E103" s="36">
        <f>IFERROR(C103/$C$6*100,"")</f>
        <v/>
      </c>
    </row>
    <row r="104">
      <c r="A104" s="23">
        <f>IFERROR(INDEX($R$6:$R$806,ROW()-5),"")</f>
        <v/>
      </c>
      <c r="B104">
        <f>IFERROR(INDEX($S$6:$S$806,ROW()-5),"")</f>
        <v/>
      </c>
      <c r="C104">
        <f>IFERROR(INDEX($W$6:$W$806,ROW()-5),"")</f>
        <v/>
      </c>
      <c r="D104" s="36">
        <f>IFERROR(B104/$B$6*100,"")</f>
        <v/>
      </c>
      <c r="E104" s="36">
        <f>IFERROR(C104/$C$6*100,"")</f>
        <v/>
      </c>
    </row>
    <row r="105">
      <c r="A105" s="23">
        <f>IFERROR(INDEX($R$6:$R$806,ROW()-5),"")</f>
        <v/>
      </c>
      <c r="B105">
        <f>IFERROR(INDEX($S$6:$S$806,ROW()-5),"")</f>
        <v/>
      </c>
      <c r="C105">
        <f>IFERROR(INDEX($W$6:$W$806,ROW()-5),"")</f>
        <v/>
      </c>
      <c r="D105" s="36">
        <f>IFERROR(B105/$B$6*100,"")</f>
        <v/>
      </c>
      <c r="E105" s="36">
        <f>IFERROR(C105/$C$6*100,"")</f>
        <v/>
      </c>
    </row>
    <row r="106">
      <c r="A106" s="23">
        <f>IFERROR(INDEX($R$6:$R$806,ROW()-5),"")</f>
        <v/>
      </c>
      <c r="B106">
        <f>IFERROR(INDEX($S$6:$S$806,ROW()-5),"")</f>
        <v/>
      </c>
      <c r="C106">
        <f>IFERROR(INDEX($W$6:$W$806,ROW()-5),"")</f>
        <v/>
      </c>
      <c r="D106" s="36">
        <f>IFERROR(B106/$B$6*100,"")</f>
        <v/>
      </c>
      <c r="E106" s="36">
        <f>IFERROR(C106/$C$6*100,"")</f>
        <v/>
      </c>
    </row>
    <row r="107">
      <c r="A107" s="23">
        <f>IFERROR(INDEX($R$6:$R$806,ROW()-5),"")</f>
        <v/>
      </c>
      <c r="B107">
        <f>IFERROR(INDEX($S$6:$S$806,ROW()-5),"")</f>
        <v/>
      </c>
      <c r="C107">
        <f>IFERROR(INDEX($W$6:$W$806,ROW()-5),"")</f>
        <v/>
      </c>
      <c r="D107" s="36">
        <f>IFERROR(B107/$B$6*100,"")</f>
        <v/>
      </c>
      <c r="E107" s="36">
        <f>IFERROR(C107/$C$6*100,"")</f>
        <v/>
      </c>
    </row>
    <row r="108">
      <c r="A108" s="23">
        <f>IFERROR(INDEX($R$6:$R$806,ROW()-5),"")</f>
        <v/>
      </c>
      <c r="B108">
        <f>IFERROR(INDEX($S$6:$S$806,ROW()-5),"")</f>
        <v/>
      </c>
      <c r="C108">
        <f>IFERROR(INDEX($W$6:$W$806,ROW()-5),"")</f>
        <v/>
      </c>
      <c r="D108" s="36">
        <f>IFERROR(B108/$B$6*100,"")</f>
        <v/>
      </c>
      <c r="E108" s="36">
        <f>IFERROR(C108/$C$6*100,"")</f>
        <v/>
      </c>
    </row>
    <row r="109">
      <c r="A109" s="23">
        <f>IFERROR(INDEX($R$6:$R$806,ROW()-5),"")</f>
        <v/>
      </c>
      <c r="B109">
        <f>IFERROR(INDEX($S$6:$S$806,ROW()-5),"")</f>
        <v/>
      </c>
      <c r="C109">
        <f>IFERROR(INDEX($W$6:$W$806,ROW()-5),"")</f>
        <v/>
      </c>
      <c r="D109" s="36">
        <f>IFERROR(B109/$B$6*100,"")</f>
        <v/>
      </c>
      <c r="E109" s="36">
        <f>IFERROR(C109/$C$6*100,"")</f>
        <v/>
      </c>
    </row>
    <row r="110">
      <c r="A110" s="23">
        <f>IFERROR(INDEX($R$6:$R$806,ROW()-5),"")</f>
        <v/>
      </c>
      <c r="B110">
        <f>IFERROR(INDEX($S$6:$S$806,ROW()-5),"")</f>
        <v/>
      </c>
      <c r="C110">
        <f>IFERROR(INDEX($W$6:$W$806,ROW()-5),"")</f>
        <v/>
      </c>
      <c r="D110" s="36">
        <f>IFERROR(B110/$B$6*100,"")</f>
        <v/>
      </c>
      <c r="E110" s="36">
        <f>IFERROR(C110/$C$6*100,"")</f>
        <v/>
      </c>
    </row>
    <row r="111">
      <c r="A111" s="23">
        <f>IFERROR(INDEX($R$6:$R$806,ROW()-5),"")</f>
        <v/>
      </c>
      <c r="B111">
        <f>IFERROR(INDEX($S$6:$S$806,ROW()-5),"")</f>
        <v/>
      </c>
      <c r="C111">
        <f>IFERROR(INDEX($W$6:$W$806,ROW()-5),"")</f>
        <v/>
      </c>
      <c r="D111" s="36">
        <f>IFERROR(B111/$B$6*100,"")</f>
        <v/>
      </c>
      <c r="E111" s="36">
        <f>IFERROR(C111/$C$6*100,"")</f>
        <v/>
      </c>
    </row>
    <row r="112">
      <c r="A112" s="23">
        <f>IFERROR(INDEX($R$6:$R$806,ROW()-5),"")</f>
        <v/>
      </c>
      <c r="B112">
        <f>IFERROR(INDEX($S$6:$S$806,ROW()-5),"")</f>
        <v/>
      </c>
      <c r="C112">
        <f>IFERROR(INDEX($W$6:$W$806,ROW()-5),"")</f>
        <v/>
      </c>
      <c r="D112" s="36">
        <f>IFERROR(B112/$B$6*100,"")</f>
        <v/>
      </c>
      <c r="E112" s="36">
        <f>IFERROR(C112/$C$6*100,"")</f>
        <v/>
      </c>
    </row>
    <row r="113">
      <c r="A113" s="23">
        <f>IFERROR(INDEX($R$6:$R$806,ROW()-5),"")</f>
        <v/>
      </c>
      <c r="B113">
        <f>IFERROR(INDEX($S$6:$S$806,ROW()-5),"")</f>
        <v/>
      </c>
      <c r="C113">
        <f>IFERROR(INDEX($W$6:$W$806,ROW()-5),"")</f>
        <v/>
      </c>
      <c r="D113" s="36">
        <f>IFERROR(B113/$B$6*100,"")</f>
        <v/>
      </c>
      <c r="E113" s="36">
        <f>IFERROR(C113/$C$6*100,"")</f>
        <v/>
      </c>
    </row>
    <row r="114">
      <c r="A114" s="23">
        <f>IFERROR(INDEX($R$6:$R$806,ROW()-5),"")</f>
        <v/>
      </c>
      <c r="B114">
        <f>IFERROR(INDEX($S$6:$S$806,ROW()-5),"")</f>
        <v/>
      </c>
      <c r="C114">
        <f>IFERROR(INDEX($W$6:$W$806,ROW()-5),"")</f>
        <v/>
      </c>
      <c r="D114" s="36">
        <f>IFERROR(B114/$B$6*100,"")</f>
        <v/>
      </c>
      <c r="E114" s="36">
        <f>IFERROR(C114/$C$6*100,"")</f>
        <v/>
      </c>
    </row>
    <row r="115">
      <c r="A115" s="23">
        <f>IFERROR(INDEX($R$6:$R$806,ROW()-5),"")</f>
        <v/>
      </c>
      <c r="B115">
        <f>IFERROR(INDEX($S$6:$S$806,ROW()-5),"")</f>
        <v/>
      </c>
      <c r="C115">
        <f>IFERROR(INDEX($W$6:$W$806,ROW()-5),"")</f>
        <v/>
      </c>
      <c r="D115" s="36">
        <f>IFERROR(B115/$B$6*100,"")</f>
        <v/>
      </c>
      <c r="E115" s="36">
        <f>IFERROR(C115/$C$6*100,"")</f>
        <v/>
      </c>
    </row>
    <row r="116">
      <c r="A116" s="23">
        <f>IFERROR(INDEX($R$6:$R$806,ROW()-5),"")</f>
        <v/>
      </c>
      <c r="B116">
        <f>IFERROR(INDEX($S$6:$S$806,ROW()-5),"")</f>
        <v/>
      </c>
      <c r="C116">
        <f>IFERROR(INDEX($W$6:$W$806,ROW()-5),"")</f>
        <v/>
      </c>
      <c r="D116" s="36">
        <f>IFERROR(B116/$B$6*100,"")</f>
        <v/>
      </c>
      <c r="E116" s="36">
        <f>IFERROR(C116/$C$6*100,"")</f>
        <v/>
      </c>
    </row>
    <row r="117">
      <c r="A117" s="23">
        <f>IFERROR(INDEX($R$6:$R$806,ROW()-5),"")</f>
        <v/>
      </c>
      <c r="B117">
        <f>IFERROR(INDEX($S$6:$S$806,ROW()-5),"")</f>
        <v/>
      </c>
      <c r="C117">
        <f>IFERROR(INDEX($W$6:$W$806,ROW()-5),"")</f>
        <v/>
      </c>
      <c r="D117" s="36">
        <f>IFERROR(B117/$B$6*100,"")</f>
        <v/>
      </c>
      <c r="E117" s="36">
        <f>IFERROR(C117/$C$6*100,"")</f>
        <v/>
      </c>
    </row>
    <row r="118">
      <c r="A118" s="23">
        <f>IFERROR(INDEX($R$6:$R$806,ROW()-5),"")</f>
        <v/>
      </c>
      <c r="B118">
        <f>IFERROR(INDEX($S$6:$S$806,ROW()-5),"")</f>
        <v/>
      </c>
      <c r="C118">
        <f>IFERROR(INDEX($W$6:$W$806,ROW()-5),"")</f>
        <v/>
      </c>
      <c r="D118" s="36">
        <f>IFERROR(B118/$B$6*100,"")</f>
        <v/>
      </c>
      <c r="E118" s="36">
        <f>IFERROR(C118/$C$6*100,"")</f>
        <v/>
      </c>
    </row>
    <row r="119">
      <c r="A119" s="23">
        <f>IFERROR(INDEX($R$6:$R$806,ROW()-5),"")</f>
        <v/>
      </c>
      <c r="B119">
        <f>IFERROR(INDEX($S$6:$S$806,ROW()-5),"")</f>
        <v/>
      </c>
      <c r="C119">
        <f>IFERROR(INDEX($W$6:$W$806,ROW()-5),"")</f>
        <v/>
      </c>
      <c r="D119" s="36">
        <f>IFERROR(B119/$B$6*100,"")</f>
        <v/>
      </c>
      <c r="E119" s="36">
        <f>IFERROR(C119/$C$6*100,"")</f>
        <v/>
      </c>
    </row>
    <row r="120">
      <c r="A120" s="23">
        <f>IFERROR(INDEX($R$6:$R$806,ROW()-5),"")</f>
        <v/>
      </c>
      <c r="B120">
        <f>IFERROR(INDEX($S$6:$S$806,ROW()-5),"")</f>
        <v/>
      </c>
      <c r="C120">
        <f>IFERROR(INDEX($W$6:$W$806,ROW()-5),"")</f>
        <v/>
      </c>
      <c r="D120" s="36">
        <f>IFERROR(B120/$B$6*100,"")</f>
        <v/>
      </c>
      <c r="E120" s="36">
        <f>IFERROR(C120/$C$6*100,"")</f>
        <v/>
      </c>
    </row>
    <row r="121">
      <c r="A121" s="23">
        <f>IFERROR(INDEX($R$6:$R$806,ROW()-5),"")</f>
        <v/>
      </c>
      <c r="B121">
        <f>IFERROR(INDEX($S$6:$S$806,ROW()-5),"")</f>
        <v/>
      </c>
      <c r="C121">
        <f>IFERROR(INDEX($W$6:$W$806,ROW()-5),"")</f>
        <v/>
      </c>
      <c r="D121" s="36">
        <f>IFERROR(B121/$B$6*100,"")</f>
        <v/>
      </c>
      <c r="E121" s="36">
        <f>IFERROR(C121/$C$6*100,"")</f>
        <v/>
      </c>
    </row>
    <row r="122">
      <c r="A122" s="23">
        <f>IFERROR(INDEX($R$6:$R$806,ROW()-5),"")</f>
        <v/>
      </c>
      <c r="B122">
        <f>IFERROR(INDEX($S$6:$S$806,ROW()-5),"")</f>
        <v/>
      </c>
      <c r="C122">
        <f>IFERROR(INDEX($W$6:$W$806,ROW()-5),"")</f>
        <v/>
      </c>
      <c r="D122" s="36">
        <f>IFERROR(B122/$B$6*100,"")</f>
        <v/>
      </c>
      <c r="E122" s="36">
        <f>IFERROR(C122/$C$6*100,"")</f>
        <v/>
      </c>
    </row>
    <row r="123">
      <c r="A123" s="23">
        <f>IFERROR(INDEX($R$6:$R$806,ROW()-5),"")</f>
        <v/>
      </c>
      <c r="B123">
        <f>IFERROR(INDEX($S$6:$S$806,ROW()-5),"")</f>
        <v/>
      </c>
      <c r="C123">
        <f>IFERROR(INDEX($W$6:$W$806,ROW()-5),"")</f>
        <v/>
      </c>
      <c r="D123" s="36">
        <f>IFERROR(B123/$B$6*100,"")</f>
        <v/>
      </c>
      <c r="E123" s="36">
        <f>IFERROR(C123/$C$6*100,"")</f>
        <v/>
      </c>
    </row>
    <row r="124">
      <c r="A124" s="23">
        <f>IFERROR(INDEX($R$6:$R$806,ROW()-5),"")</f>
        <v/>
      </c>
      <c r="B124">
        <f>IFERROR(INDEX($S$6:$S$806,ROW()-5),"")</f>
        <v/>
      </c>
      <c r="C124">
        <f>IFERROR(INDEX($W$6:$W$806,ROW()-5),"")</f>
        <v/>
      </c>
      <c r="D124" s="36">
        <f>IFERROR(B124/$B$6*100,"")</f>
        <v/>
      </c>
      <c r="E124" s="36">
        <f>IFERROR(C124/$C$6*100,"")</f>
        <v/>
      </c>
    </row>
    <row r="125">
      <c r="A125" s="23">
        <f>IFERROR(INDEX($R$6:$R$806,ROW()-5),"")</f>
        <v/>
      </c>
      <c r="B125">
        <f>IFERROR(INDEX($S$6:$S$806,ROW()-5),"")</f>
        <v/>
      </c>
      <c r="C125">
        <f>IFERROR(INDEX($W$6:$W$806,ROW()-5),"")</f>
        <v/>
      </c>
      <c r="D125" s="36">
        <f>IFERROR(B125/$B$6*100,"")</f>
        <v/>
      </c>
      <c r="E125" s="36">
        <f>IFERROR(C125/$C$6*100,"")</f>
        <v/>
      </c>
    </row>
    <row r="126">
      <c r="A126" s="23">
        <f>IFERROR(INDEX($R$6:$R$806,ROW()-5),"")</f>
        <v/>
      </c>
      <c r="B126">
        <f>IFERROR(INDEX($S$6:$S$806,ROW()-5),"")</f>
        <v/>
      </c>
      <c r="C126">
        <f>IFERROR(INDEX($W$6:$W$806,ROW()-5),"")</f>
        <v/>
      </c>
      <c r="D126" s="36">
        <f>IFERROR(B126/$B$6*100,"")</f>
        <v/>
      </c>
      <c r="E126" s="36">
        <f>IFERROR(C126/$C$6*100,"")</f>
        <v/>
      </c>
    </row>
    <row r="127">
      <c r="A127" s="23">
        <f>IFERROR(INDEX($R$6:$R$806,ROW()-5),"")</f>
        <v/>
      </c>
      <c r="B127">
        <f>IFERROR(INDEX($S$6:$S$806,ROW()-5),"")</f>
        <v/>
      </c>
      <c r="C127">
        <f>IFERROR(INDEX($W$6:$W$806,ROW()-5),"")</f>
        <v/>
      </c>
      <c r="D127" s="36">
        <f>IFERROR(B127/$B$6*100,"")</f>
        <v/>
      </c>
      <c r="E127" s="36">
        <f>IFERROR(C127/$C$6*100,"")</f>
        <v/>
      </c>
    </row>
    <row r="128">
      <c r="A128" s="23">
        <f>IFERROR(INDEX($R$6:$R$806,ROW()-5),"")</f>
        <v/>
      </c>
      <c r="B128">
        <f>IFERROR(INDEX($S$6:$S$806,ROW()-5),"")</f>
        <v/>
      </c>
      <c r="C128">
        <f>IFERROR(INDEX($W$6:$W$806,ROW()-5),"")</f>
        <v/>
      </c>
      <c r="D128" s="36">
        <f>IFERROR(B128/$B$6*100,"")</f>
        <v/>
      </c>
      <c r="E128" s="36">
        <f>IFERROR(C128/$C$6*100,"")</f>
        <v/>
      </c>
    </row>
    <row r="129">
      <c r="A129" s="23">
        <f>IFERROR(INDEX($R$6:$R$806,ROW()-5),"")</f>
        <v/>
      </c>
      <c r="B129">
        <f>IFERROR(INDEX($S$6:$S$806,ROW()-5),"")</f>
        <v/>
      </c>
      <c r="C129">
        <f>IFERROR(INDEX($W$6:$W$806,ROW()-5),"")</f>
        <v/>
      </c>
      <c r="D129" s="36">
        <f>IFERROR(B129/$B$6*100,"")</f>
        <v/>
      </c>
      <c r="E129" s="36">
        <f>IFERROR(C129/$C$6*100,"")</f>
        <v/>
      </c>
    </row>
    <row r="130">
      <c r="A130" s="23">
        <f>IFERROR(INDEX($R$6:$R$806,ROW()-5),"")</f>
        <v/>
      </c>
      <c r="B130">
        <f>IFERROR(INDEX($S$6:$S$806,ROW()-5),"")</f>
        <v/>
      </c>
      <c r="C130">
        <f>IFERROR(INDEX($W$6:$W$806,ROW()-5),"")</f>
        <v/>
      </c>
      <c r="D130" s="36">
        <f>IFERROR(B130/$B$6*100,"")</f>
        <v/>
      </c>
      <c r="E130" s="36">
        <f>IFERROR(C130/$C$6*100,"")</f>
        <v/>
      </c>
    </row>
    <row r="131">
      <c r="A131" s="23">
        <f>IFERROR(INDEX($R$6:$R$806,ROW()-5),"")</f>
        <v/>
      </c>
      <c r="B131">
        <f>IFERROR(INDEX($S$6:$S$806,ROW()-5),"")</f>
        <v/>
      </c>
      <c r="C131">
        <f>IFERROR(INDEX($W$6:$W$806,ROW()-5),"")</f>
        <v/>
      </c>
      <c r="D131" s="36">
        <f>IFERROR(B131/$B$6*100,"")</f>
        <v/>
      </c>
      <c r="E131" s="36">
        <f>IFERROR(C131/$C$6*100,"")</f>
        <v/>
      </c>
    </row>
    <row r="132">
      <c r="A132" s="23">
        <f>IFERROR(INDEX($R$6:$R$806,ROW()-5),"")</f>
        <v/>
      </c>
      <c r="B132">
        <f>IFERROR(INDEX($S$6:$S$806,ROW()-5),"")</f>
        <v/>
      </c>
      <c r="C132">
        <f>IFERROR(INDEX($W$6:$W$806,ROW()-5),"")</f>
        <v/>
      </c>
      <c r="D132" s="36">
        <f>IFERROR(B132/$B$6*100,"")</f>
        <v/>
      </c>
      <c r="E132" s="36">
        <f>IFERROR(C132/$C$6*100,"")</f>
        <v/>
      </c>
    </row>
    <row r="133">
      <c r="A133" s="23">
        <f>IFERROR(INDEX($R$6:$R$806,ROW()-5),"")</f>
        <v/>
      </c>
      <c r="B133">
        <f>IFERROR(INDEX($S$6:$S$806,ROW()-5),"")</f>
        <v/>
      </c>
      <c r="C133">
        <f>IFERROR(INDEX($W$6:$W$806,ROW()-5),"")</f>
        <v/>
      </c>
      <c r="D133" s="36">
        <f>IFERROR(B133/$B$6*100,"")</f>
        <v/>
      </c>
      <c r="E133" s="36">
        <f>IFERROR(C133/$C$6*100,"")</f>
        <v/>
      </c>
    </row>
    <row r="134">
      <c r="A134" s="23">
        <f>IFERROR(INDEX($R$6:$R$806,ROW()-5),"")</f>
        <v/>
      </c>
      <c r="B134">
        <f>IFERROR(INDEX($S$6:$S$806,ROW()-5),"")</f>
        <v/>
      </c>
      <c r="C134">
        <f>IFERROR(INDEX($W$6:$W$806,ROW()-5),"")</f>
        <v/>
      </c>
      <c r="D134" s="36">
        <f>IFERROR(B134/$B$6*100,"")</f>
        <v/>
      </c>
      <c r="E134" s="36">
        <f>IFERROR(C134/$C$6*100,"")</f>
        <v/>
      </c>
    </row>
    <row r="135">
      <c r="A135" s="23">
        <f>IFERROR(INDEX($R$6:$R$806,ROW()-5),"")</f>
        <v/>
      </c>
      <c r="B135">
        <f>IFERROR(INDEX($S$6:$S$806,ROW()-5),"")</f>
        <v/>
      </c>
      <c r="C135">
        <f>IFERROR(INDEX($W$6:$W$806,ROW()-5),"")</f>
        <v/>
      </c>
      <c r="D135" s="36">
        <f>IFERROR(B135/$B$6*100,"")</f>
        <v/>
      </c>
      <c r="E135" s="36">
        <f>IFERROR(C135/$C$6*100,"")</f>
        <v/>
      </c>
    </row>
    <row r="136">
      <c r="A136" s="23">
        <f>IFERROR(INDEX($R$6:$R$806,ROW()-5),"")</f>
        <v/>
      </c>
      <c r="B136">
        <f>IFERROR(INDEX($S$6:$S$806,ROW()-5),"")</f>
        <v/>
      </c>
      <c r="C136">
        <f>IFERROR(INDEX($W$6:$W$806,ROW()-5),"")</f>
        <v/>
      </c>
      <c r="D136" s="36">
        <f>IFERROR(B136/$B$6*100,"")</f>
        <v/>
      </c>
      <c r="E136" s="36">
        <f>IFERROR(C136/$C$6*100,"")</f>
        <v/>
      </c>
    </row>
    <row r="137">
      <c r="A137" s="23">
        <f>IFERROR(INDEX($R$6:$R$806,ROW()-5),"")</f>
        <v/>
      </c>
      <c r="B137">
        <f>IFERROR(INDEX($S$6:$S$806,ROW()-5),"")</f>
        <v/>
      </c>
      <c r="C137">
        <f>IFERROR(INDEX($W$6:$W$806,ROW()-5),"")</f>
        <v/>
      </c>
      <c r="D137" s="36">
        <f>IFERROR(B137/$B$6*100,"")</f>
        <v/>
      </c>
      <c r="E137" s="36">
        <f>IFERROR(C137/$C$6*100,"")</f>
        <v/>
      </c>
    </row>
    <row r="138">
      <c r="A138" s="23">
        <f>IFERROR(INDEX($R$6:$R$806,ROW()-5),"")</f>
        <v/>
      </c>
      <c r="B138">
        <f>IFERROR(INDEX($S$6:$S$806,ROW()-5),"")</f>
        <v/>
      </c>
      <c r="C138">
        <f>IFERROR(INDEX($W$6:$W$806,ROW()-5),"")</f>
        <v/>
      </c>
      <c r="D138" s="36">
        <f>IFERROR(B138/$B$6*100,"")</f>
        <v/>
      </c>
      <c r="E138" s="36">
        <f>IFERROR(C138/$C$6*100,"")</f>
        <v/>
      </c>
    </row>
    <row r="139">
      <c r="A139" s="23">
        <f>IFERROR(INDEX($R$6:$R$806,ROW()-5),"")</f>
        <v/>
      </c>
      <c r="B139">
        <f>IFERROR(INDEX($S$6:$S$806,ROW()-5),"")</f>
        <v/>
      </c>
      <c r="C139">
        <f>IFERROR(INDEX($W$6:$W$806,ROW()-5),"")</f>
        <v/>
      </c>
      <c r="D139" s="36">
        <f>IFERROR(B139/$B$6*100,"")</f>
        <v/>
      </c>
      <c r="E139" s="36">
        <f>IFERROR(C139/$C$6*100,"")</f>
        <v/>
      </c>
    </row>
    <row r="140">
      <c r="A140" s="23">
        <f>IFERROR(INDEX($R$6:$R$806,ROW()-5),"")</f>
        <v/>
      </c>
      <c r="B140">
        <f>IFERROR(INDEX($S$6:$S$806,ROW()-5),"")</f>
        <v/>
      </c>
      <c r="C140">
        <f>IFERROR(INDEX($W$6:$W$806,ROW()-5),"")</f>
        <v/>
      </c>
      <c r="D140" s="36">
        <f>IFERROR(B140/$B$6*100,"")</f>
        <v/>
      </c>
      <c r="E140" s="36">
        <f>IFERROR(C140/$C$6*100,"")</f>
        <v/>
      </c>
    </row>
    <row r="141">
      <c r="A141" s="23">
        <f>IFERROR(INDEX($R$6:$R$806,ROW()-5),"")</f>
        <v/>
      </c>
      <c r="B141">
        <f>IFERROR(INDEX($S$6:$S$806,ROW()-5),"")</f>
        <v/>
      </c>
      <c r="C141">
        <f>IFERROR(INDEX($W$6:$W$806,ROW()-5),"")</f>
        <v/>
      </c>
      <c r="D141" s="36">
        <f>IFERROR(B141/$B$6*100,"")</f>
        <v/>
      </c>
      <c r="E141" s="36">
        <f>IFERROR(C141/$C$6*100,"")</f>
        <v/>
      </c>
    </row>
    <row r="142">
      <c r="A142" s="23">
        <f>IFERROR(INDEX($R$6:$R$806,ROW()-5),"")</f>
        <v/>
      </c>
      <c r="B142">
        <f>IFERROR(INDEX($S$6:$S$806,ROW()-5),"")</f>
        <v/>
      </c>
      <c r="C142">
        <f>IFERROR(INDEX($W$6:$W$806,ROW()-5),"")</f>
        <v/>
      </c>
      <c r="D142" s="36">
        <f>IFERROR(B142/$B$6*100,"")</f>
        <v/>
      </c>
      <c r="E142" s="36">
        <f>IFERROR(C142/$C$6*100,"")</f>
        <v/>
      </c>
    </row>
    <row r="143">
      <c r="A143" s="23">
        <f>IFERROR(INDEX($R$6:$R$806,ROW()-5),"")</f>
        <v/>
      </c>
      <c r="B143">
        <f>IFERROR(INDEX($S$6:$S$806,ROW()-5),"")</f>
        <v/>
      </c>
      <c r="C143">
        <f>IFERROR(INDEX($W$6:$W$806,ROW()-5),"")</f>
        <v/>
      </c>
      <c r="D143" s="36">
        <f>IFERROR(B143/$B$6*100,"")</f>
        <v/>
      </c>
      <c r="E143" s="36">
        <f>IFERROR(C143/$C$6*100,"")</f>
        <v/>
      </c>
    </row>
    <row r="144">
      <c r="A144" s="23">
        <f>IFERROR(INDEX($R$6:$R$806,ROW()-5),"")</f>
        <v/>
      </c>
      <c r="B144">
        <f>IFERROR(INDEX($S$6:$S$806,ROW()-5),"")</f>
        <v/>
      </c>
      <c r="C144">
        <f>IFERROR(INDEX($W$6:$W$806,ROW()-5),"")</f>
        <v/>
      </c>
      <c r="D144" s="36">
        <f>IFERROR(B144/$B$6*100,"")</f>
        <v/>
      </c>
      <c r="E144" s="36">
        <f>IFERROR(C144/$C$6*100,"")</f>
        <v/>
      </c>
    </row>
    <row r="145">
      <c r="A145" s="23">
        <f>IFERROR(INDEX($R$6:$R$806,ROW()-5),"")</f>
        <v/>
      </c>
      <c r="B145">
        <f>IFERROR(INDEX($S$6:$S$806,ROW()-5),"")</f>
        <v/>
      </c>
      <c r="C145">
        <f>IFERROR(INDEX($W$6:$W$806,ROW()-5),"")</f>
        <v/>
      </c>
      <c r="D145" s="36">
        <f>IFERROR(B145/$B$6*100,"")</f>
        <v/>
      </c>
      <c r="E145" s="36">
        <f>IFERROR(C145/$C$6*100,"")</f>
        <v/>
      </c>
    </row>
    <row r="146">
      <c r="A146" s="23">
        <f>IFERROR(INDEX($R$6:$R$806,ROW()-5),"")</f>
        <v/>
      </c>
      <c r="B146">
        <f>IFERROR(INDEX($S$6:$S$806,ROW()-5),"")</f>
        <v/>
      </c>
      <c r="C146">
        <f>IFERROR(INDEX($W$6:$W$806,ROW()-5),"")</f>
        <v/>
      </c>
      <c r="D146" s="36">
        <f>IFERROR(B146/$B$6*100,"")</f>
        <v/>
      </c>
      <c r="E146" s="36">
        <f>IFERROR(C146/$C$6*100,"")</f>
        <v/>
      </c>
    </row>
    <row r="147">
      <c r="A147" s="23">
        <f>IFERROR(INDEX($R$6:$R$806,ROW()-5),"")</f>
        <v/>
      </c>
      <c r="B147">
        <f>IFERROR(INDEX($S$6:$S$806,ROW()-5),"")</f>
        <v/>
      </c>
      <c r="C147">
        <f>IFERROR(INDEX($W$6:$W$806,ROW()-5),"")</f>
        <v/>
      </c>
      <c r="D147" s="36">
        <f>IFERROR(B147/$B$6*100,"")</f>
        <v/>
      </c>
      <c r="E147" s="36">
        <f>IFERROR(C147/$C$6*100,"")</f>
        <v/>
      </c>
    </row>
    <row r="148">
      <c r="A148" s="23">
        <f>IFERROR(INDEX($R$6:$R$806,ROW()-5),"")</f>
        <v/>
      </c>
      <c r="B148">
        <f>IFERROR(INDEX($S$6:$S$806,ROW()-5),"")</f>
        <v/>
      </c>
      <c r="C148">
        <f>IFERROR(INDEX($W$6:$W$806,ROW()-5),"")</f>
        <v/>
      </c>
      <c r="D148" s="36">
        <f>IFERROR(B148/$B$6*100,"")</f>
        <v/>
      </c>
      <c r="E148" s="36">
        <f>IFERROR(C148/$C$6*100,"")</f>
        <v/>
      </c>
    </row>
    <row r="149">
      <c r="A149" s="23">
        <f>IFERROR(INDEX($R$6:$R$806,ROW()-5),"")</f>
        <v/>
      </c>
      <c r="B149">
        <f>IFERROR(INDEX($S$6:$S$806,ROW()-5),"")</f>
        <v/>
      </c>
      <c r="C149">
        <f>IFERROR(INDEX($W$6:$W$806,ROW()-5),"")</f>
        <v/>
      </c>
      <c r="D149" s="36">
        <f>IFERROR(B149/$B$6*100,"")</f>
        <v/>
      </c>
      <c r="E149" s="36">
        <f>IFERROR(C149/$C$6*100,"")</f>
        <v/>
      </c>
    </row>
    <row r="150">
      <c r="A150" s="23">
        <f>IFERROR(INDEX($R$6:$R$806,ROW()-5),"")</f>
        <v/>
      </c>
      <c r="B150">
        <f>IFERROR(INDEX($S$6:$S$806,ROW()-5),"")</f>
        <v/>
      </c>
      <c r="C150">
        <f>IFERROR(INDEX($W$6:$W$806,ROW()-5),"")</f>
        <v/>
      </c>
      <c r="D150" s="36">
        <f>IFERROR(B150/$B$6*100,"")</f>
        <v/>
      </c>
      <c r="E150" s="36">
        <f>IFERROR(C150/$C$6*100,"")</f>
        <v/>
      </c>
    </row>
    <row r="151">
      <c r="A151" s="23">
        <f>IFERROR(INDEX($R$6:$R$806,ROW()-5),"")</f>
        <v/>
      </c>
      <c r="B151">
        <f>IFERROR(INDEX($S$6:$S$806,ROW()-5),"")</f>
        <v/>
      </c>
      <c r="C151">
        <f>IFERROR(INDEX($W$6:$W$806,ROW()-5),"")</f>
        <v/>
      </c>
      <c r="D151" s="36">
        <f>IFERROR(B151/$B$6*100,"")</f>
        <v/>
      </c>
      <c r="E151" s="36">
        <f>IFERROR(C151/$C$6*100,"")</f>
        <v/>
      </c>
    </row>
    <row r="152">
      <c r="A152" s="23">
        <f>IFERROR(INDEX($R$6:$R$806,ROW()-5),"")</f>
        <v/>
      </c>
      <c r="B152">
        <f>IFERROR(INDEX($S$6:$S$806,ROW()-5),"")</f>
        <v/>
      </c>
      <c r="C152">
        <f>IFERROR(INDEX($W$6:$W$806,ROW()-5),"")</f>
        <v/>
      </c>
      <c r="D152" s="36">
        <f>IFERROR(B152/$B$6*100,"")</f>
        <v/>
      </c>
      <c r="E152" s="36">
        <f>IFERROR(C152/$C$6*100,"")</f>
        <v/>
      </c>
    </row>
    <row r="153">
      <c r="A153" s="23">
        <f>IFERROR(INDEX($R$6:$R$806,ROW()-5),"")</f>
        <v/>
      </c>
      <c r="B153">
        <f>IFERROR(INDEX($S$6:$S$806,ROW()-5),"")</f>
        <v/>
      </c>
      <c r="C153">
        <f>IFERROR(INDEX($W$6:$W$806,ROW()-5),"")</f>
        <v/>
      </c>
      <c r="D153" s="36">
        <f>IFERROR(B153/$B$6*100,"")</f>
        <v/>
      </c>
      <c r="E153" s="36">
        <f>IFERROR(C153/$C$6*100,"")</f>
        <v/>
      </c>
    </row>
    <row r="154">
      <c r="A154" s="23">
        <f>IFERROR(INDEX($R$6:$R$806,ROW()-5),"")</f>
        <v/>
      </c>
      <c r="B154">
        <f>IFERROR(INDEX($S$6:$S$806,ROW()-5),"")</f>
        <v/>
      </c>
      <c r="C154">
        <f>IFERROR(INDEX($W$6:$W$806,ROW()-5),"")</f>
        <v/>
      </c>
      <c r="D154" s="36">
        <f>IFERROR(B154/$B$6*100,"")</f>
        <v/>
      </c>
      <c r="E154" s="36">
        <f>IFERROR(C154/$C$6*100,"")</f>
        <v/>
      </c>
    </row>
    <row r="155">
      <c r="A155" s="23">
        <f>IFERROR(INDEX($R$6:$R$806,ROW()-5),"")</f>
        <v/>
      </c>
      <c r="B155">
        <f>IFERROR(INDEX($S$6:$S$806,ROW()-5),"")</f>
        <v/>
      </c>
      <c r="C155">
        <f>IFERROR(INDEX($W$6:$W$806,ROW()-5),"")</f>
        <v/>
      </c>
      <c r="D155" s="36">
        <f>IFERROR(B155/$B$6*100,"")</f>
        <v/>
      </c>
      <c r="E155" s="36">
        <f>IFERROR(C155/$C$6*100,"")</f>
        <v/>
      </c>
    </row>
    <row r="156">
      <c r="A156" s="23">
        <f>IFERROR(INDEX($R$6:$R$806,ROW()-5),"")</f>
        <v/>
      </c>
      <c r="B156">
        <f>IFERROR(INDEX($S$6:$S$806,ROW()-5),"")</f>
        <v/>
      </c>
      <c r="C156">
        <f>IFERROR(INDEX($W$6:$W$806,ROW()-5),"")</f>
        <v/>
      </c>
      <c r="D156" s="36">
        <f>IFERROR(B156/$B$6*100,"")</f>
        <v/>
      </c>
      <c r="E156" s="36">
        <f>IFERROR(C156/$C$6*100,"")</f>
        <v/>
      </c>
    </row>
    <row r="157">
      <c r="A157" s="23">
        <f>IFERROR(INDEX($R$6:$R$806,ROW()-5),"")</f>
        <v/>
      </c>
      <c r="B157">
        <f>IFERROR(INDEX($S$6:$S$806,ROW()-5),"")</f>
        <v/>
      </c>
      <c r="C157">
        <f>IFERROR(INDEX($W$6:$W$806,ROW()-5),"")</f>
        <v/>
      </c>
      <c r="D157" s="36">
        <f>IFERROR(B157/$B$6*100,"")</f>
        <v/>
      </c>
      <c r="E157" s="36">
        <f>IFERROR(C157/$C$6*100,"")</f>
        <v/>
      </c>
    </row>
    <row r="158">
      <c r="A158" s="23">
        <f>IFERROR(INDEX($R$6:$R$806,ROW()-5),"")</f>
        <v/>
      </c>
      <c r="B158">
        <f>IFERROR(INDEX($S$6:$S$806,ROW()-5),"")</f>
        <v/>
      </c>
      <c r="C158">
        <f>IFERROR(INDEX($W$6:$W$806,ROW()-5),"")</f>
        <v/>
      </c>
      <c r="D158" s="36">
        <f>IFERROR(B158/$B$6*100,"")</f>
        <v/>
      </c>
      <c r="E158" s="36">
        <f>IFERROR(C158/$C$6*100,"")</f>
        <v/>
      </c>
    </row>
    <row r="159">
      <c r="A159" s="23">
        <f>IFERROR(INDEX($R$6:$R$806,ROW()-5),"")</f>
        <v/>
      </c>
      <c r="B159">
        <f>IFERROR(INDEX($S$6:$S$806,ROW()-5),"")</f>
        <v/>
      </c>
      <c r="C159">
        <f>IFERROR(INDEX($W$6:$W$806,ROW()-5),"")</f>
        <v/>
      </c>
      <c r="D159" s="36">
        <f>IFERROR(B159/$B$6*100,"")</f>
        <v/>
      </c>
      <c r="E159" s="36">
        <f>IFERROR(C159/$C$6*100,"")</f>
        <v/>
      </c>
    </row>
    <row r="160">
      <c r="A160" s="23">
        <f>IFERROR(INDEX($R$6:$R$806,ROW()-5),"")</f>
        <v/>
      </c>
      <c r="B160">
        <f>IFERROR(INDEX($S$6:$S$806,ROW()-5),"")</f>
        <v/>
      </c>
      <c r="C160">
        <f>IFERROR(INDEX($W$6:$W$806,ROW()-5),"")</f>
        <v/>
      </c>
      <c r="D160" s="36">
        <f>IFERROR(B160/$B$6*100,"")</f>
        <v/>
      </c>
      <c r="E160" s="36">
        <f>IFERROR(C160/$C$6*100,"")</f>
        <v/>
      </c>
    </row>
    <row r="161">
      <c r="A161" s="23">
        <f>IFERROR(INDEX($R$6:$R$806,ROW()-5),"")</f>
        <v/>
      </c>
      <c r="B161">
        <f>IFERROR(INDEX($S$6:$S$806,ROW()-5),"")</f>
        <v/>
      </c>
      <c r="C161">
        <f>IFERROR(INDEX($W$6:$W$806,ROW()-5),"")</f>
        <v/>
      </c>
      <c r="D161" s="36">
        <f>IFERROR(B161/$B$6*100,"")</f>
        <v/>
      </c>
      <c r="E161" s="36">
        <f>IFERROR(C161/$C$6*100,"")</f>
        <v/>
      </c>
    </row>
    <row r="162">
      <c r="A162" s="23">
        <f>IFERROR(INDEX($R$6:$R$806,ROW()-5),"")</f>
        <v/>
      </c>
      <c r="B162">
        <f>IFERROR(INDEX($S$6:$S$806,ROW()-5),"")</f>
        <v/>
      </c>
      <c r="C162">
        <f>IFERROR(INDEX($W$6:$W$806,ROW()-5),"")</f>
        <v/>
      </c>
      <c r="D162" s="36">
        <f>IFERROR(B162/$B$6*100,"")</f>
        <v/>
      </c>
      <c r="E162" s="36">
        <f>IFERROR(C162/$C$6*100,"")</f>
        <v/>
      </c>
    </row>
    <row r="163">
      <c r="A163" s="23">
        <f>IFERROR(INDEX($R$6:$R$806,ROW()-5),"")</f>
        <v/>
      </c>
      <c r="B163">
        <f>IFERROR(INDEX($S$6:$S$806,ROW()-5),"")</f>
        <v/>
      </c>
      <c r="C163">
        <f>IFERROR(INDEX($W$6:$W$806,ROW()-5),"")</f>
        <v/>
      </c>
      <c r="D163" s="36">
        <f>IFERROR(B163/$B$6*100,"")</f>
        <v/>
      </c>
      <c r="E163" s="36">
        <f>IFERROR(C163/$C$6*100,"")</f>
        <v/>
      </c>
    </row>
    <row r="164">
      <c r="A164" s="23">
        <f>IFERROR(INDEX($R$6:$R$806,ROW()-5),"")</f>
        <v/>
      </c>
      <c r="B164">
        <f>IFERROR(INDEX($S$6:$S$806,ROW()-5),"")</f>
        <v/>
      </c>
      <c r="C164">
        <f>IFERROR(INDEX($W$6:$W$806,ROW()-5),"")</f>
        <v/>
      </c>
      <c r="D164" s="36">
        <f>IFERROR(B164/$B$6*100,"")</f>
        <v/>
      </c>
      <c r="E164" s="36">
        <f>IFERROR(C164/$C$6*100,"")</f>
        <v/>
      </c>
    </row>
    <row r="165">
      <c r="A165" s="23">
        <f>IFERROR(INDEX($R$6:$R$806,ROW()-5),"")</f>
        <v/>
      </c>
      <c r="B165">
        <f>IFERROR(INDEX($S$6:$S$806,ROW()-5),"")</f>
        <v/>
      </c>
      <c r="C165">
        <f>IFERROR(INDEX($W$6:$W$806,ROW()-5),"")</f>
        <v/>
      </c>
      <c r="D165" s="36">
        <f>IFERROR(B165/$B$6*100,"")</f>
        <v/>
      </c>
      <c r="E165" s="36">
        <f>IFERROR(C165/$C$6*100,"")</f>
        <v/>
      </c>
    </row>
    <row r="166">
      <c r="A166" s="23">
        <f>IFERROR(INDEX($R$6:$R$806,ROW()-5),"")</f>
        <v/>
      </c>
      <c r="B166">
        <f>IFERROR(INDEX($S$6:$S$806,ROW()-5),"")</f>
        <v/>
      </c>
      <c r="C166">
        <f>IFERROR(INDEX($W$6:$W$806,ROW()-5),"")</f>
        <v/>
      </c>
      <c r="D166" s="36">
        <f>IFERROR(B166/$B$6*100,"")</f>
        <v/>
      </c>
      <c r="E166" s="36">
        <f>IFERROR(C166/$C$6*100,"")</f>
        <v/>
      </c>
    </row>
    <row r="167">
      <c r="A167" s="23">
        <f>IFERROR(INDEX($R$6:$R$806,ROW()-5),"")</f>
        <v/>
      </c>
      <c r="B167">
        <f>IFERROR(INDEX($S$6:$S$806,ROW()-5),"")</f>
        <v/>
      </c>
      <c r="C167">
        <f>IFERROR(INDEX($W$6:$W$806,ROW()-5),"")</f>
        <v/>
      </c>
      <c r="D167" s="36">
        <f>IFERROR(B167/$B$6*100,"")</f>
        <v/>
      </c>
      <c r="E167" s="36">
        <f>IFERROR(C167/$C$6*100,"")</f>
        <v/>
      </c>
    </row>
    <row r="168">
      <c r="A168" s="23">
        <f>IFERROR(INDEX($R$6:$R$806,ROW()-5),"")</f>
        <v/>
      </c>
      <c r="B168">
        <f>IFERROR(INDEX($S$6:$S$806,ROW()-5),"")</f>
        <v/>
      </c>
      <c r="C168">
        <f>IFERROR(INDEX($W$6:$W$806,ROW()-5),"")</f>
        <v/>
      </c>
      <c r="D168" s="36">
        <f>IFERROR(B168/$B$6*100,"")</f>
        <v/>
      </c>
      <c r="E168" s="36">
        <f>IFERROR(C168/$C$6*100,"")</f>
        <v/>
      </c>
    </row>
    <row r="169">
      <c r="A169" s="23">
        <f>IFERROR(INDEX($R$6:$R$806,ROW()-5),"")</f>
        <v/>
      </c>
      <c r="B169">
        <f>IFERROR(INDEX($S$6:$S$806,ROW()-5),"")</f>
        <v/>
      </c>
      <c r="C169">
        <f>IFERROR(INDEX($W$6:$W$806,ROW()-5),"")</f>
        <v/>
      </c>
      <c r="D169" s="36">
        <f>IFERROR(B169/$B$6*100,"")</f>
        <v/>
      </c>
      <c r="E169" s="36">
        <f>IFERROR(C169/$C$6*100,"")</f>
        <v/>
      </c>
    </row>
    <row r="170">
      <c r="A170" s="23">
        <f>IFERROR(INDEX($R$6:$R$806,ROW()-5),"")</f>
        <v/>
      </c>
      <c r="B170">
        <f>IFERROR(INDEX($S$6:$S$806,ROW()-5),"")</f>
        <v/>
      </c>
      <c r="C170">
        <f>IFERROR(INDEX($W$6:$W$806,ROW()-5),"")</f>
        <v/>
      </c>
      <c r="D170" s="36">
        <f>IFERROR(B170/$B$6*100,"")</f>
        <v/>
      </c>
      <c r="E170" s="36">
        <f>IFERROR(C170/$C$6*100,"")</f>
        <v/>
      </c>
    </row>
    <row r="171">
      <c r="A171" s="23">
        <f>IFERROR(INDEX($R$6:$R$806,ROW()-5),"")</f>
        <v/>
      </c>
      <c r="B171">
        <f>IFERROR(INDEX($S$6:$S$806,ROW()-5),"")</f>
        <v/>
      </c>
      <c r="C171">
        <f>IFERROR(INDEX($W$6:$W$806,ROW()-5),"")</f>
        <v/>
      </c>
      <c r="D171" s="36">
        <f>IFERROR(B171/$B$6*100,"")</f>
        <v/>
      </c>
      <c r="E171" s="36">
        <f>IFERROR(C171/$C$6*100,"")</f>
        <v/>
      </c>
    </row>
    <row r="172">
      <c r="A172" s="23">
        <f>IFERROR(INDEX($R$6:$R$806,ROW()-5),"")</f>
        <v/>
      </c>
      <c r="B172">
        <f>IFERROR(INDEX($S$6:$S$806,ROW()-5),"")</f>
        <v/>
      </c>
      <c r="C172">
        <f>IFERROR(INDEX($W$6:$W$806,ROW()-5),"")</f>
        <v/>
      </c>
      <c r="D172" s="36">
        <f>IFERROR(B172/$B$6*100,"")</f>
        <v/>
      </c>
      <c r="E172" s="36">
        <f>IFERROR(C172/$C$6*100,"")</f>
        <v/>
      </c>
    </row>
    <row r="173">
      <c r="A173" s="23">
        <f>IFERROR(INDEX($R$6:$R$806,ROW()-5),"")</f>
        <v/>
      </c>
      <c r="B173">
        <f>IFERROR(INDEX($S$6:$S$806,ROW()-5),"")</f>
        <v/>
      </c>
      <c r="C173">
        <f>IFERROR(INDEX($W$6:$W$806,ROW()-5),"")</f>
        <v/>
      </c>
      <c r="D173" s="36">
        <f>IFERROR(B173/$B$6*100,"")</f>
        <v/>
      </c>
      <c r="E173" s="36">
        <f>IFERROR(C173/$C$6*100,"")</f>
        <v/>
      </c>
    </row>
    <row r="174">
      <c r="A174" s="23">
        <f>IFERROR(INDEX($R$6:$R$806,ROW()-5),"")</f>
        <v/>
      </c>
      <c r="B174">
        <f>IFERROR(INDEX($S$6:$S$806,ROW()-5),"")</f>
        <v/>
      </c>
      <c r="C174">
        <f>IFERROR(INDEX($W$6:$W$806,ROW()-5),"")</f>
        <v/>
      </c>
      <c r="D174" s="36">
        <f>IFERROR(B174/$B$6*100,"")</f>
        <v/>
      </c>
      <c r="E174" s="36">
        <f>IFERROR(C174/$C$6*100,"")</f>
        <v/>
      </c>
    </row>
    <row r="175">
      <c r="A175" s="23">
        <f>IFERROR(INDEX($R$6:$R$806,ROW()-5),"")</f>
        <v/>
      </c>
      <c r="B175">
        <f>IFERROR(INDEX($S$6:$S$806,ROW()-5),"")</f>
        <v/>
      </c>
      <c r="C175">
        <f>IFERROR(INDEX($W$6:$W$806,ROW()-5),"")</f>
        <v/>
      </c>
      <c r="D175" s="36">
        <f>IFERROR(B175/$B$6*100,"")</f>
        <v/>
      </c>
      <c r="E175" s="36">
        <f>IFERROR(C175/$C$6*100,"")</f>
        <v/>
      </c>
    </row>
    <row r="176">
      <c r="A176" s="23">
        <f>IFERROR(INDEX($R$6:$R$806,ROW()-5),"")</f>
        <v/>
      </c>
      <c r="B176">
        <f>IFERROR(INDEX($S$6:$S$806,ROW()-5),"")</f>
        <v/>
      </c>
      <c r="C176">
        <f>IFERROR(INDEX($W$6:$W$806,ROW()-5),"")</f>
        <v/>
      </c>
      <c r="D176" s="36">
        <f>IFERROR(B176/$B$6*100,"")</f>
        <v/>
      </c>
      <c r="E176" s="36">
        <f>IFERROR(C176/$C$6*100,"")</f>
        <v/>
      </c>
    </row>
    <row r="177">
      <c r="A177" s="23">
        <f>IFERROR(INDEX($R$6:$R$806,ROW()-5),"")</f>
        <v/>
      </c>
      <c r="B177">
        <f>IFERROR(INDEX($S$6:$S$806,ROW()-5),"")</f>
        <v/>
      </c>
      <c r="C177">
        <f>IFERROR(INDEX($W$6:$W$806,ROW()-5),"")</f>
        <v/>
      </c>
      <c r="D177" s="36">
        <f>IFERROR(B177/$B$6*100,"")</f>
        <v/>
      </c>
      <c r="E177" s="36">
        <f>IFERROR(C177/$C$6*100,"")</f>
        <v/>
      </c>
    </row>
    <row r="178">
      <c r="A178" s="23">
        <f>IFERROR(INDEX($R$6:$R$806,ROW()-5),"")</f>
        <v/>
      </c>
      <c r="B178">
        <f>IFERROR(INDEX($S$6:$S$806,ROW()-5),"")</f>
        <v/>
      </c>
      <c r="C178">
        <f>IFERROR(INDEX($W$6:$W$806,ROW()-5),"")</f>
        <v/>
      </c>
      <c r="D178" s="36">
        <f>IFERROR(B178/$B$6*100,"")</f>
        <v/>
      </c>
      <c r="E178" s="36">
        <f>IFERROR(C178/$C$6*100,"")</f>
        <v/>
      </c>
    </row>
    <row r="179">
      <c r="A179" s="23">
        <f>IFERROR(INDEX($R$6:$R$806,ROW()-5),"")</f>
        <v/>
      </c>
      <c r="B179">
        <f>IFERROR(INDEX($S$6:$S$806,ROW()-5),"")</f>
        <v/>
      </c>
      <c r="C179">
        <f>IFERROR(INDEX($W$6:$W$806,ROW()-5),"")</f>
        <v/>
      </c>
      <c r="D179" s="36">
        <f>IFERROR(B179/$B$6*100,"")</f>
        <v/>
      </c>
      <c r="E179" s="36">
        <f>IFERROR(C179/$C$6*100,"")</f>
        <v/>
      </c>
    </row>
    <row r="180">
      <c r="A180" s="23">
        <f>IFERROR(INDEX($R$6:$R$806,ROW()-5),"")</f>
        <v/>
      </c>
      <c r="B180">
        <f>IFERROR(INDEX($S$6:$S$806,ROW()-5),"")</f>
        <v/>
      </c>
      <c r="C180">
        <f>IFERROR(INDEX($W$6:$W$806,ROW()-5),"")</f>
        <v/>
      </c>
      <c r="D180" s="36">
        <f>IFERROR(B180/$B$6*100,"")</f>
        <v/>
      </c>
      <c r="E180" s="36">
        <f>IFERROR(C180/$C$6*100,"")</f>
        <v/>
      </c>
    </row>
    <row r="181">
      <c r="A181" s="23">
        <f>IFERROR(INDEX($R$6:$R$806,ROW()-5),"")</f>
        <v/>
      </c>
      <c r="B181">
        <f>IFERROR(INDEX($S$6:$S$806,ROW()-5),"")</f>
        <v/>
      </c>
      <c r="C181">
        <f>IFERROR(INDEX($W$6:$W$806,ROW()-5),"")</f>
        <v/>
      </c>
      <c r="D181" s="36">
        <f>IFERROR(B181/$B$6*100,"")</f>
        <v/>
      </c>
      <c r="E181" s="36">
        <f>IFERROR(C181/$C$6*100,"")</f>
        <v/>
      </c>
    </row>
    <row r="182">
      <c r="A182" s="23">
        <f>IFERROR(INDEX($R$6:$R$806,ROW()-5),"")</f>
        <v/>
      </c>
      <c r="B182">
        <f>IFERROR(INDEX($S$6:$S$806,ROW()-5),"")</f>
        <v/>
      </c>
      <c r="C182">
        <f>IFERROR(INDEX($W$6:$W$806,ROW()-5),"")</f>
        <v/>
      </c>
      <c r="D182" s="36">
        <f>IFERROR(B182/$B$6*100,"")</f>
        <v/>
      </c>
      <c r="E182" s="36">
        <f>IFERROR(C182/$C$6*100,"")</f>
        <v/>
      </c>
    </row>
    <row r="183">
      <c r="A183" s="23">
        <f>IFERROR(INDEX($R$6:$R$806,ROW()-5),"")</f>
        <v/>
      </c>
      <c r="B183">
        <f>IFERROR(INDEX($S$6:$S$806,ROW()-5),"")</f>
        <v/>
      </c>
      <c r="C183">
        <f>IFERROR(INDEX($W$6:$W$806,ROW()-5),"")</f>
        <v/>
      </c>
      <c r="D183" s="36">
        <f>IFERROR(B183/$B$6*100,"")</f>
        <v/>
      </c>
      <c r="E183" s="36">
        <f>IFERROR(C183/$C$6*100,"")</f>
        <v/>
      </c>
    </row>
    <row r="184">
      <c r="A184" s="23">
        <f>IFERROR(INDEX($R$6:$R$806,ROW()-5),"")</f>
        <v/>
      </c>
      <c r="B184">
        <f>IFERROR(INDEX($S$6:$S$806,ROW()-5),"")</f>
        <v/>
      </c>
      <c r="C184">
        <f>IFERROR(INDEX($W$6:$W$806,ROW()-5),"")</f>
        <v/>
      </c>
      <c r="D184" s="36">
        <f>IFERROR(B184/$B$6*100,"")</f>
        <v/>
      </c>
      <c r="E184" s="36">
        <f>IFERROR(C184/$C$6*100,"")</f>
        <v/>
      </c>
    </row>
    <row r="185">
      <c r="A185" s="23">
        <f>IFERROR(INDEX($R$6:$R$806,ROW()-5),"")</f>
        <v/>
      </c>
      <c r="B185">
        <f>IFERROR(INDEX($S$6:$S$806,ROW()-5),"")</f>
        <v/>
      </c>
      <c r="C185">
        <f>IFERROR(INDEX($W$6:$W$806,ROW()-5),"")</f>
        <v/>
      </c>
      <c r="D185" s="36">
        <f>IFERROR(B185/$B$6*100,"")</f>
        <v/>
      </c>
      <c r="E185" s="36">
        <f>IFERROR(C185/$C$6*100,"")</f>
        <v/>
      </c>
    </row>
    <row r="186">
      <c r="A186" s="23">
        <f>IFERROR(INDEX($R$6:$R$806,ROW()-5),"")</f>
        <v/>
      </c>
      <c r="B186">
        <f>IFERROR(INDEX($S$6:$S$806,ROW()-5),"")</f>
        <v/>
      </c>
      <c r="C186">
        <f>IFERROR(INDEX($W$6:$W$806,ROW()-5),"")</f>
        <v/>
      </c>
      <c r="D186" s="36">
        <f>IFERROR(B186/$B$6*100,"")</f>
        <v/>
      </c>
      <c r="E186" s="36">
        <f>IFERROR(C186/$C$6*100,"")</f>
        <v/>
      </c>
    </row>
    <row r="187">
      <c r="A187" s="23">
        <f>IFERROR(INDEX($R$6:$R$806,ROW()-5),"")</f>
        <v/>
      </c>
      <c r="B187">
        <f>IFERROR(INDEX($S$6:$S$806,ROW()-5),"")</f>
        <v/>
      </c>
      <c r="C187">
        <f>IFERROR(INDEX($W$6:$W$806,ROW()-5),"")</f>
        <v/>
      </c>
      <c r="D187" s="36">
        <f>IFERROR(B187/$B$6*100,"")</f>
        <v/>
      </c>
      <c r="E187" s="36">
        <f>IFERROR(C187/$C$6*100,"")</f>
        <v/>
      </c>
    </row>
    <row r="188">
      <c r="A188" s="23">
        <f>IFERROR(INDEX($R$6:$R$806,ROW()-5),"")</f>
        <v/>
      </c>
      <c r="B188">
        <f>IFERROR(INDEX($S$6:$S$806,ROW()-5),"")</f>
        <v/>
      </c>
      <c r="C188">
        <f>IFERROR(INDEX($W$6:$W$806,ROW()-5),"")</f>
        <v/>
      </c>
      <c r="D188" s="36">
        <f>IFERROR(B188/$B$6*100,"")</f>
        <v/>
      </c>
      <c r="E188" s="36">
        <f>IFERROR(C188/$C$6*100,"")</f>
        <v/>
      </c>
    </row>
    <row r="189">
      <c r="A189" s="23">
        <f>IFERROR(INDEX($R$6:$R$806,ROW()-5),"")</f>
        <v/>
      </c>
      <c r="B189">
        <f>IFERROR(INDEX($S$6:$S$806,ROW()-5),"")</f>
        <v/>
      </c>
      <c r="C189">
        <f>IFERROR(INDEX($W$6:$W$806,ROW()-5),"")</f>
        <v/>
      </c>
      <c r="D189" s="36">
        <f>IFERROR(B189/$B$6*100,"")</f>
        <v/>
      </c>
      <c r="E189" s="36">
        <f>IFERROR(C189/$C$6*100,"")</f>
        <v/>
      </c>
    </row>
    <row r="190">
      <c r="A190" s="23">
        <f>IFERROR(INDEX($R$6:$R$806,ROW()-5),"")</f>
        <v/>
      </c>
      <c r="B190">
        <f>IFERROR(INDEX($S$6:$S$806,ROW()-5),"")</f>
        <v/>
      </c>
      <c r="C190">
        <f>IFERROR(INDEX($W$6:$W$806,ROW()-5),"")</f>
        <v/>
      </c>
      <c r="D190" s="36">
        <f>IFERROR(B190/$B$6*100,"")</f>
        <v/>
      </c>
      <c r="E190" s="36">
        <f>IFERROR(C190/$C$6*100,"")</f>
        <v/>
      </c>
    </row>
    <row r="191">
      <c r="A191" s="23">
        <f>IFERROR(INDEX($R$6:$R$806,ROW()-5),"")</f>
        <v/>
      </c>
      <c r="B191">
        <f>IFERROR(INDEX($S$6:$S$806,ROW()-5),"")</f>
        <v/>
      </c>
      <c r="C191">
        <f>IFERROR(INDEX($W$6:$W$806,ROW()-5),"")</f>
        <v/>
      </c>
      <c r="D191" s="36">
        <f>IFERROR(B191/$B$6*100,"")</f>
        <v/>
      </c>
      <c r="E191" s="36">
        <f>IFERROR(C191/$C$6*100,"")</f>
        <v/>
      </c>
    </row>
    <row r="192">
      <c r="A192" s="23">
        <f>IFERROR(INDEX($R$6:$R$806,ROW()-5),"")</f>
        <v/>
      </c>
      <c r="B192">
        <f>IFERROR(INDEX($S$6:$S$806,ROW()-5),"")</f>
        <v/>
      </c>
      <c r="C192">
        <f>IFERROR(INDEX($W$6:$W$806,ROW()-5),"")</f>
        <v/>
      </c>
      <c r="D192" s="36">
        <f>IFERROR(B192/$B$6*100,"")</f>
        <v/>
      </c>
      <c r="E192" s="36">
        <f>IFERROR(C192/$C$6*100,"")</f>
        <v/>
      </c>
    </row>
    <row r="193">
      <c r="A193" s="23">
        <f>IFERROR(INDEX($R$6:$R$806,ROW()-5),"")</f>
        <v/>
      </c>
      <c r="B193">
        <f>IFERROR(INDEX($S$6:$S$806,ROW()-5),"")</f>
        <v/>
      </c>
      <c r="C193">
        <f>IFERROR(INDEX($W$6:$W$806,ROW()-5),"")</f>
        <v/>
      </c>
      <c r="D193" s="36">
        <f>IFERROR(B193/$B$6*100,"")</f>
        <v/>
      </c>
      <c r="E193" s="36">
        <f>IFERROR(C193/$C$6*100,"")</f>
        <v/>
      </c>
    </row>
    <row r="194">
      <c r="A194" s="23">
        <f>IFERROR(INDEX($R$6:$R$806,ROW()-5),"")</f>
        <v/>
      </c>
      <c r="B194">
        <f>IFERROR(INDEX($S$6:$S$806,ROW()-5),"")</f>
        <v/>
      </c>
      <c r="C194">
        <f>IFERROR(INDEX($W$6:$W$806,ROW()-5),"")</f>
        <v/>
      </c>
      <c r="D194" s="36">
        <f>IFERROR(B194/$B$6*100,"")</f>
        <v/>
      </c>
      <c r="E194" s="36">
        <f>IFERROR(C194/$C$6*100,"")</f>
        <v/>
      </c>
    </row>
    <row r="195">
      <c r="A195" s="23">
        <f>IFERROR(INDEX($R$6:$R$806,ROW()-5),"")</f>
        <v/>
      </c>
      <c r="B195">
        <f>IFERROR(INDEX($S$6:$S$806,ROW()-5),"")</f>
        <v/>
      </c>
      <c r="C195">
        <f>IFERROR(INDEX($W$6:$W$806,ROW()-5),"")</f>
        <v/>
      </c>
      <c r="D195" s="36">
        <f>IFERROR(B195/$B$6*100,"")</f>
        <v/>
      </c>
      <c r="E195" s="36">
        <f>IFERROR(C195/$C$6*100,"")</f>
        <v/>
      </c>
    </row>
    <row r="196">
      <c r="A196" s="23">
        <f>IFERROR(INDEX($R$6:$R$806,ROW()-5),"")</f>
        <v/>
      </c>
      <c r="B196">
        <f>IFERROR(INDEX($S$6:$S$806,ROW()-5),"")</f>
        <v/>
      </c>
      <c r="C196">
        <f>IFERROR(INDEX($W$6:$W$806,ROW()-5),"")</f>
        <v/>
      </c>
      <c r="D196" s="36">
        <f>IFERROR(B196/$B$6*100,"")</f>
        <v/>
      </c>
      <c r="E196" s="36">
        <f>IFERROR(C196/$C$6*100,"")</f>
        <v/>
      </c>
    </row>
    <row r="197">
      <c r="A197" s="23">
        <f>IFERROR(INDEX($R$6:$R$806,ROW()-5),"")</f>
        <v/>
      </c>
      <c r="B197">
        <f>IFERROR(INDEX($S$6:$S$806,ROW()-5),"")</f>
        <v/>
      </c>
      <c r="C197">
        <f>IFERROR(INDEX($W$6:$W$806,ROW()-5),"")</f>
        <v/>
      </c>
      <c r="D197" s="36">
        <f>IFERROR(B197/$B$6*100,"")</f>
        <v/>
      </c>
      <c r="E197" s="36">
        <f>IFERROR(C197/$C$6*100,"")</f>
        <v/>
      </c>
    </row>
    <row r="198">
      <c r="A198" s="23">
        <f>IFERROR(INDEX($R$6:$R$806,ROW()-5),"")</f>
        <v/>
      </c>
      <c r="B198">
        <f>IFERROR(INDEX($S$6:$S$806,ROW()-5),"")</f>
        <v/>
      </c>
      <c r="C198">
        <f>IFERROR(INDEX($W$6:$W$806,ROW()-5),"")</f>
        <v/>
      </c>
      <c r="D198" s="36">
        <f>IFERROR(B198/$B$6*100,"")</f>
        <v/>
      </c>
      <c r="E198" s="36">
        <f>IFERROR(C198/$C$6*100,"")</f>
        <v/>
      </c>
    </row>
    <row r="199">
      <c r="A199" s="23">
        <f>IFERROR(INDEX($R$6:$R$806,ROW()-5),"")</f>
        <v/>
      </c>
      <c r="B199">
        <f>IFERROR(INDEX($S$6:$S$806,ROW()-5),"")</f>
        <v/>
      </c>
      <c r="C199">
        <f>IFERROR(INDEX($W$6:$W$806,ROW()-5),"")</f>
        <v/>
      </c>
      <c r="D199" s="36">
        <f>IFERROR(B199/$B$6*100,"")</f>
        <v/>
      </c>
      <c r="E199" s="36">
        <f>IFERROR(C199/$C$6*100,"")</f>
        <v/>
      </c>
    </row>
    <row r="200">
      <c r="A200" s="23">
        <f>IFERROR(INDEX($R$6:$R$806,ROW()-5),"")</f>
        <v/>
      </c>
      <c r="B200">
        <f>IFERROR(INDEX($S$6:$S$806,ROW()-5),"")</f>
        <v/>
      </c>
      <c r="C200">
        <f>IFERROR(INDEX($W$6:$W$806,ROW()-5),"")</f>
        <v/>
      </c>
      <c r="D200" s="36">
        <f>IFERROR(B200/$B$6*100,"")</f>
        <v/>
      </c>
      <c r="E200" s="36">
        <f>IFERROR(C200/$C$6*100,"")</f>
        <v/>
      </c>
    </row>
    <row r="201">
      <c r="A201" s="23">
        <f>IFERROR(INDEX($R$6:$R$806,ROW()-5),"")</f>
        <v/>
      </c>
      <c r="B201">
        <f>IFERROR(INDEX($S$6:$S$806,ROW()-5),"")</f>
        <v/>
      </c>
      <c r="C201">
        <f>IFERROR(INDEX($W$6:$W$806,ROW()-5),"")</f>
        <v/>
      </c>
      <c r="D201" s="36">
        <f>IFERROR(B201/$B$6*100,"")</f>
        <v/>
      </c>
      <c r="E201" s="36">
        <f>IFERROR(C201/$C$6*100,"")</f>
        <v/>
      </c>
    </row>
    <row r="202">
      <c r="A202" s="23">
        <f>IFERROR(INDEX($R$6:$R$806,ROW()-5),"")</f>
        <v/>
      </c>
      <c r="B202">
        <f>IFERROR(INDEX($S$6:$S$806,ROW()-5),"")</f>
        <v/>
      </c>
      <c r="C202">
        <f>IFERROR(INDEX($W$6:$W$806,ROW()-5),"")</f>
        <v/>
      </c>
      <c r="D202" s="36">
        <f>IFERROR(B202/$B$6*100,"")</f>
        <v/>
      </c>
      <c r="E202" s="36">
        <f>IFERROR(C202/$C$6*100,"")</f>
        <v/>
      </c>
    </row>
    <row r="203">
      <c r="A203" s="23">
        <f>IFERROR(INDEX($R$6:$R$806,ROW()-5),"")</f>
        <v/>
      </c>
      <c r="B203">
        <f>IFERROR(INDEX($S$6:$S$806,ROW()-5),"")</f>
        <v/>
      </c>
      <c r="C203">
        <f>IFERROR(INDEX($W$6:$W$806,ROW()-5),"")</f>
        <v/>
      </c>
      <c r="D203" s="36">
        <f>IFERROR(B203/$B$6*100,"")</f>
        <v/>
      </c>
      <c r="E203" s="36">
        <f>IFERROR(C203/$C$6*100,"")</f>
        <v/>
      </c>
    </row>
    <row r="204">
      <c r="A204" s="23">
        <f>IFERROR(INDEX($R$6:$R$806,ROW()-5),"")</f>
        <v/>
      </c>
      <c r="B204">
        <f>IFERROR(INDEX($S$6:$S$806,ROW()-5),"")</f>
        <v/>
      </c>
      <c r="C204">
        <f>IFERROR(INDEX($W$6:$W$806,ROW()-5),"")</f>
        <v/>
      </c>
      <c r="D204" s="36">
        <f>IFERROR(B204/$B$6*100,"")</f>
        <v/>
      </c>
      <c r="E204" s="36">
        <f>IFERROR(C204/$C$6*100,"")</f>
        <v/>
      </c>
    </row>
    <row r="205">
      <c r="A205" s="23">
        <f>IFERROR(INDEX($R$6:$R$806,ROW()-5),"")</f>
        <v/>
      </c>
      <c r="B205">
        <f>IFERROR(INDEX($S$6:$S$806,ROW()-5),"")</f>
        <v/>
      </c>
      <c r="C205">
        <f>IFERROR(INDEX($W$6:$W$806,ROW()-5),"")</f>
        <v/>
      </c>
      <c r="D205" s="36">
        <f>IFERROR(B205/$B$6*100,"")</f>
        <v/>
      </c>
      <c r="E205" s="36">
        <f>IFERROR(C205/$C$6*100,"")</f>
        <v/>
      </c>
    </row>
    <row r="206">
      <c r="A206" s="23">
        <f>IFERROR(INDEX($R$6:$R$806,ROW()-5),"")</f>
        <v/>
      </c>
      <c r="B206">
        <f>IFERROR(INDEX($S$6:$S$806,ROW()-5),"")</f>
        <v/>
      </c>
      <c r="C206">
        <f>IFERROR(INDEX($W$6:$W$806,ROW()-5),"")</f>
        <v/>
      </c>
      <c r="D206" s="36">
        <f>IFERROR(B206/$B$6*100,"")</f>
        <v/>
      </c>
      <c r="E206" s="36">
        <f>IFERROR(C206/$C$6*100,"")</f>
        <v/>
      </c>
    </row>
    <row r="207">
      <c r="A207" s="23">
        <f>IFERROR(INDEX($R$6:$R$806,ROW()-5),"")</f>
        <v/>
      </c>
      <c r="B207">
        <f>IFERROR(INDEX($S$6:$S$806,ROW()-5),"")</f>
        <v/>
      </c>
      <c r="C207">
        <f>IFERROR(INDEX($W$6:$W$806,ROW()-5),"")</f>
        <v/>
      </c>
      <c r="D207" s="36">
        <f>IFERROR(B207/$B$6*100,"")</f>
        <v/>
      </c>
      <c r="E207" s="36">
        <f>IFERROR(C207/$C$6*100,"")</f>
        <v/>
      </c>
    </row>
    <row r="208">
      <c r="A208" s="23">
        <f>IFERROR(INDEX($R$6:$R$806,ROW()-5),"")</f>
        <v/>
      </c>
      <c r="B208">
        <f>IFERROR(INDEX($S$6:$S$806,ROW()-5),"")</f>
        <v/>
      </c>
      <c r="C208">
        <f>IFERROR(INDEX($W$6:$W$806,ROW()-5),"")</f>
        <v/>
      </c>
      <c r="D208" s="36">
        <f>IFERROR(B208/$B$6*100,"")</f>
        <v/>
      </c>
      <c r="E208" s="36">
        <f>IFERROR(C208/$C$6*100,"")</f>
        <v/>
      </c>
    </row>
    <row r="209">
      <c r="A209" s="23">
        <f>IFERROR(INDEX($R$6:$R$806,ROW()-5),"")</f>
        <v/>
      </c>
      <c r="B209">
        <f>IFERROR(INDEX($S$6:$S$806,ROW()-5),"")</f>
        <v/>
      </c>
      <c r="C209">
        <f>IFERROR(INDEX($W$6:$W$806,ROW()-5),"")</f>
        <v/>
      </c>
      <c r="D209" s="36">
        <f>IFERROR(B209/$B$6*100,"")</f>
        <v/>
      </c>
      <c r="E209" s="36">
        <f>IFERROR(C209/$C$6*100,"")</f>
        <v/>
      </c>
    </row>
    <row r="210">
      <c r="A210" s="23">
        <f>IFERROR(INDEX($R$6:$R$806,ROW()-5),"")</f>
        <v/>
      </c>
      <c r="B210">
        <f>IFERROR(INDEX($S$6:$S$806,ROW()-5),"")</f>
        <v/>
      </c>
      <c r="C210">
        <f>IFERROR(INDEX($W$6:$W$806,ROW()-5),"")</f>
        <v/>
      </c>
      <c r="D210" s="36">
        <f>IFERROR(B210/$B$6*100,"")</f>
        <v/>
      </c>
      <c r="E210" s="36">
        <f>IFERROR(C210/$C$6*100,"")</f>
        <v/>
      </c>
    </row>
    <row r="211">
      <c r="A211" s="23">
        <f>IFERROR(INDEX($R$6:$R$806,ROW()-5),"")</f>
        <v/>
      </c>
      <c r="B211">
        <f>IFERROR(INDEX($S$6:$S$806,ROW()-5),"")</f>
        <v/>
      </c>
      <c r="C211">
        <f>IFERROR(INDEX($W$6:$W$806,ROW()-5),"")</f>
        <v/>
      </c>
      <c r="D211" s="36">
        <f>IFERROR(B211/$B$6*100,"")</f>
        <v/>
      </c>
      <c r="E211" s="36">
        <f>IFERROR(C211/$C$6*100,"")</f>
        <v/>
      </c>
    </row>
    <row r="212">
      <c r="A212" s="23">
        <f>IFERROR(INDEX($R$6:$R$806,ROW()-5),"")</f>
        <v/>
      </c>
      <c r="B212">
        <f>IFERROR(INDEX($S$6:$S$806,ROW()-5),"")</f>
        <v/>
      </c>
      <c r="C212">
        <f>IFERROR(INDEX($W$6:$W$806,ROW()-5),"")</f>
        <v/>
      </c>
      <c r="D212" s="36">
        <f>IFERROR(B212/$B$6*100,"")</f>
        <v/>
      </c>
      <c r="E212" s="36">
        <f>IFERROR(C212/$C$6*100,"")</f>
        <v/>
      </c>
    </row>
    <row r="213">
      <c r="A213" s="23">
        <f>IFERROR(INDEX($R$6:$R$806,ROW()-5),"")</f>
        <v/>
      </c>
      <c r="B213">
        <f>IFERROR(INDEX($S$6:$S$806,ROW()-5),"")</f>
        <v/>
      </c>
      <c r="C213">
        <f>IFERROR(INDEX($W$6:$W$806,ROW()-5),"")</f>
        <v/>
      </c>
      <c r="D213" s="36">
        <f>IFERROR(B213/$B$6*100,"")</f>
        <v/>
      </c>
      <c r="E213" s="36">
        <f>IFERROR(C213/$C$6*100,"")</f>
        <v/>
      </c>
    </row>
    <row r="214">
      <c r="A214" s="23">
        <f>IFERROR(INDEX($R$6:$R$806,ROW()-5),"")</f>
        <v/>
      </c>
      <c r="B214">
        <f>IFERROR(INDEX($S$6:$S$806,ROW()-5),"")</f>
        <v/>
      </c>
      <c r="C214">
        <f>IFERROR(INDEX($W$6:$W$806,ROW()-5),"")</f>
        <v/>
      </c>
      <c r="D214" s="36">
        <f>IFERROR(B214/$B$6*100,"")</f>
        <v/>
      </c>
      <c r="E214" s="36">
        <f>IFERROR(C214/$C$6*100,"")</f>
        <v/>
      </c>
    </row>
    <row r="215">
      <c r="A215" s="23">
        <f>IFERROR(INDEX($R$6:$R$806,ROW()-5),"")</f>
        <v/>
      </c>
      <c r="B215">
        <f>IFERROR(INDEX($S$6:$S$806,ROW()-5),"")</f>
        <v/>
      </c>
      <c r="C215">
        <f>IFERROR(INDEX($W$6:$W$806,ROW()-5),"")</f>
        <v/>
      </c>
      <c r="D215" s="36">
        <f>IFERROR(B215/$B$6*100,"")</f>
        <v/>
      </c>
      <c r="E215" s="36">
        <f>IFERROR(C215/$C$6*100,"")</f>
        <v/>
      </c>
    </row>
    <row r="216">
      <c r="A216" s="23">
        <f>IFERROR(INDEX($R$6:$R$806,ROW()-5),"")</f>
        <v/>
      </c>
      <c r="B216">
        <f>IFERROR(INDEX($S$6:$S$806,ROW()-5),"")</f>
        <v/>
      </c>
      <c r="C216">
        <f>IFERROR(INDEX($W$6:$W$806,ROW()-5),"")</f>
        <v/>
      </c>
      <c r="D216" s="36">
        <f>IFERROR(B216/$B$6*100,"")</f>
        <v/>
      </c>
      <c r="E216" s="36">
        <f>IFERROR(C216/$C$6*100,"")</f>
        <v/>
      </c>
    </row>
    <row r="217">
      <c r="A217" s="23">
        <f>IFERROR(INDEX($R$6:$R$806,ROW()-5),"")</f>
        <v/>
      </c>
      <c r="B217">
        <f>IFERROR(INDEX($S$6:$S$806,ROW()-5),"")</f>
        <v/>
      </c>
      <c r="C217">
        <f>IFERROR(INDEX($W$6:$W$806,ROW()-5),"")</f>
        <v/>
      </c>
      <c r="D217" s="36">
        <f>IFERROR(B217/$B$6*100,"")</f>
        <v/>
      </c>
      <c r="E217" s="36">
        <f>IFERROR(C217/$C$6*100,"")</f>
        <v/>
      </c>
    </row>
    <row r="218">
      <c r="A218" s="23">
        <f>IFERROR(INDEX($R$6:$R$806,ROW()-5),"")</f>
        <v/>
      </c>
      <c r="B218">
        <f>IFERROR(INDEX($S$6:$S$806,ROW()-5),"")</f>
        <v/>
      </c>
      <c r="C218">
        <f>IFERROR(INDEX($W$6:$W$806,ROW()-5),"")</f>
        <v/>
      </c>
      <c r="D218" s="36">
        <f>IFERROR(B218/$B$6*100,"")</f>
        <v/>
      </c>
      <c r="E218" s="36">
        <f>IFERROR(C218/$C$6*100,"")</f>
        <v/>
      </c>
    </row>
    <row r="219">
      <c r="A219" s="23">
        <f>IFERROR(INDEX($R$6:$R$806,ROW()-5),"")</f>
        <v/>
      </c>
      <c r="B219">
        <f>IFERROR(INDEX($S$6:$S$806,ROW()-5),"")</f>
        <v/>
      </c>
      <c r="C219">
        <f>IFERROR(INDEX($W$6:$W$806,ROW()-5),"")</f>
        <v/>
      </c>
      <c r="D219" s="36">
        <f>IFERROR(B219/$B$6*100,"")</f>
        <v/>
      </c>
      <c r="E219" s="36">
        <f>IFERROR(C219/$C$6*100,"")</f>
        <v/>
      </c>
    </row>
    <row r="220">
      <c r="A220" s="23">
        <f>IFERROR(INDEX($R$6:$R$806,ROW()-5),"")</f>
        <v/>
      </c>
      <c r="B220">
        <f>IFERROR(INDEX($S$6:$S$806,ROW()-5),"")</f>
        <v/>
      </c>
      <c r="C220">
        <f>IFERROR(INDEX($W$6:$W$806,ROW()-5),"")</f>
        <v/>
      </c>
      <c r="D220" s="36">
        <f>IFERROR(B220/$B$6*100,"")</f>
        <v/>
      </c>
      <c r="E220" s="36">
        <f>IFERROR(C220/$C$6*100,"")</f>
        <v/>
      </c>
    </row>
    <row r="221">
      <c r="A221" s="23">
        <f>IFERROR(INDEX($R$6:$R$806,ROW()-5),"")</f>
        <v/>
      </c>
      <c r="B221">
        <f>IFERROR(INDEX($S$6:$S$806,ROW()-5),"")</f>
        <v/>
      </c>
      <c r="C221">
        <f>IFERROR(INDEX($W$6:$W$806,ROW()-5),"")</f>
        <v/>
      </c>
      <c r="D221" s="36">
        <f>IFERROR(B221/$B$6*100,"")</f>
        <v/>
      </c>
      <c r="E221" s="36">
        <f>IFERROR(C221/$C$6*100,"")</f>
        <v/>
      </c>
    </row>
    <row r="222">
      <c r="A222" s="23">
        <f>IFERROR(INDEX($R$6:$R$806,ROW()-5),"")</f>
        <v/>
      </c>
      <c r="B222">
        <f>IFERROR(INDEX($S$6:$S$806,ROW()-5),"")</f>
        <v/>
      </c>
      <c r="C222">
        <f>IFERROR(INDEX($W$6:$W$806,ROW()-5),"")</f>
        <v/>
      </c>
      <c r="D222" s="36">
        <f>IFERROR(B222/$B$6*100,"")</f>
        <v/>
      </c>
      <c r="E222" s="36">
        <f>IFERROR(C222/$C$6*100,"")</f>
        <v/>
      </c>
    </row>
    <row r="223">
      <c r="A223" s="23">
        <f>IFERROR(INDEX($R$6:$R$806,ROW()-5),"")</f>
        <v/>
      </c>
      <c r="B223">
        <f>IFERROR(INDEX($S$6:$S$806,ROW()-5),"")</f>
        <v/>
      </c>
      <c r="C223">
        <f>IFERROR(INDEX($W$6:$W$806,ROW()-5),"")</f>
        <v/>
      </c>
      <c r="D223" s="36">
        <f>IFERROR(B223/$B$6*100,"")</f>
        <v/>
      </c>
      <c r="E223" s="36">
        <f>IFERROR(C223/$C$6*100,"")</f>
        <v/>
      </c>
    </row>
    <row r="224">
      <c r="A224" s="23">
        <f>IFERROR(INDEX($R$6:$R$806,ROW()-5),"")</f>
        <v/>
      </c>
      <c r="B224">
        <f>IFERROR(INDEX($S$6:$S$806,ROW()-5),"")</f>
        <v/>
      </c>
      <c r="C224">
        <f>IFERROR(INDEX($W$6:$W$806,ROW()-5),"")</f>
        <v/>
      </c>
      <c r="D224" s="36">
        <f>IFERROR(B224/$B$6*100,"")</f>
        <v/>
      </c>
      <c r="E224" s="36">
        <f>IFERROR(C224/$C$6*100,"")</f>
        <v/>
      </c>
    </row>
    <row r="225">
      <c r="A225" s="23">
        <f>IFERROR(INDEX($R$6:$R$806,ROW()-5),"")</f>
        <v/>
      </c>
      <c r="B225">
        <f>IFERROR(INDEX($S$6:$S$806,ROW()-5),"")</f>
        <v/>
      </c>
      <c r="C225">
        <f>IFERROR(INDEX($W$6:$W$806,ROW()-5),"")</f>
        <v/>
      </c>
      <c r="D225" s="36">
        <f>IFERROR(B225/$B$6*100,"")</f>
        <v/>
      </c>
      <c r="E225" s="36">
        <f>IFERROR(C225/$C$6*100,"")</f>
        <v/>
      </c>
    </row>
    <row r="226">
      <c r="A226" s="23">
        <f>IFERROR(INDEX($R$6:$R$806,ROW()-5),"")</f>
        <v/>
      </c>
      <c r="B226">
        <f>IFERROR(INDEX($S$6:$S$806,ROW()-5),"")</f>
        <v/>
      </c>
      <c r="C226">
        <f>IFERROR(INDEX($W$6:$W$806,ROW()-5),"")</f>
        <v/>
      </c>
      <c r="D226" s="36">
        <f>IFERROR(B226/$B$6*100,"")</f>
        <v/>
      </c>
      <c r="E226" s="36">
        <f>IFERROR(C226/$C$6*100,"")</f>
        <v/>
      </c>
    </row>
    <row r="227">
      <c r="A227" s="23">
        <f>IFERROR(INDEX($R$6:$R$806,ROW()-5),"")</f>
        <v/>
      </c>
      <c r="B227">
        <f>IFERROR(INDEX($S$6:$S$806,ROW()-5),"")</f>
        <v/>
      </c>
      <c r="C227">
        <f>IFERROR(INDEX($W$6:$W$806,ROW()-5),"")</f>
        <v/>
      </c>
      <c r="D227" s="36">
        <f>IFERROR(B227/$B$6*100,"")</f>
        <v/>
      </c>
      <c r="E227" s="36">
        <f>IFERROR(C227/$C$6*100,"")</f>
        <v/>
      </c>
    </row>
    <row r="228">
      <c r="A228" s="23">
        <f>IFERROR(INDEX($R$6:$R$806,ROW()-5),"")</f>
        <v/>
      </c>
      <c r="B228">
        <f>IFERROR(INDEX($S$6:$S$806,ROW()-5),"")</f>
        <v/>
      </c>
      <c r="C228">
        <f>IFERROR(INDEX($W$6:$W$806,ROW()-5),"")</f>
        <v/>
      </c>
      <c r="D228" s="36">
        <f>IFERROR(B228/$B$6*100,"")</f>
        <v/>
      </c>
      <c r="E228" s="36">
        <f>IFERROR(C228/$C$6*100,"")</f>
        <v/>
      </c>
    </row>
    <row r="229">
      <c r="A229" s="23">
        <f>IFERROR(INDEX($R$6:$R$806,ROW()-5),"")</f>
        <v/>
      </c>
      <c r="B229">
        <f>IFERROR(INDEX($S$6:$S$806,ROW()-5),"")</f>
        <v/>
      </c>
      <c r="C229">
        <f>IFERROR(INDEX($W$6:$W$806,ROW()-5),"")</f>
        <v/>
      </c>
      <c r="D229" s="36">
        <f>IFERROR(B229/$B$6*100,"")</f>
        <v/>
      </c>
      <c r="E229" s="36">
        <f>IFERROR(C229/$C$6*100,"")</f>
        <v/>
      </c>
    </row>
    <row r="230">
      <c r="A230" s="23">
        <f>IFERROR(INDEX($R$6:$R$806,ROW()-5),"")</f>
        <v/>
      </c>
      <c r="B230">
        <f>IFERROR(INDEX($S$6:$S$806,ROW()-5),"")</f>
        <v/>
      </c>
      <c r="C230">
        <f>IFERROR(INDEX($W$6:$W$806,ROW()-5),"")</f>
        <v/>
      </c>
      <c r="D230" s="36">
        <f>IFERROR(B230/$B$6*100,"")</f>
        <v/>
      </c>
      <c r="E230" s="36">
        <f>IFERROR(C230/$C$6*100,"")</f>
        <v/>
      </c>
    </row>
    <row r="231">
      <c r="A231" s="23">
        <f>IFERROR(INDEX($R$6:$R$806,ROW()-5),"")</f>
        <v/>
      </c>
      <c r="B231">
        <f>IFERROR(INDEX($S$6:$S$806,ROW()-5),"")</f>
        <v/>
      </c>
      <c r="C231">
        <f>IFERROR(INDEX($W$6:$W$806,ROW()-5),"")</f>
        <v/>
      </c>
      <c r="D231" s="36">
        <f>IFERROR(B231/$B$6*100,"")</f>
        <v/>
      </c>
      <c r="E231" s="36">
        <f>IFERROR(C231/$C$6*100,"")</f>
        <v/>
      </c>
    </row>
    <row r="232">
      <c r="A232" s="23">
        <f>IFERROR(INDEX($R$6:$R$806,ROW()-5),"")</f>
        <v/>
      </c>
      <c r="B232">
        <f>IFERROR(INDEX($S$6:$S$806,ROW()-5),"")</f>
        <v/>
      </c>
      <c r="C232">
        <f>IFERROR(INDEX($W$6:$W$806,ROW()-5),"")</f>
        <v/>
      </c>
      <c r="D232" s="36">
        <f>IFERROR(B232/$B$6*100,"")</f>
        <v/>
      </c>
      <c r="E232" s="36">
        <f>IFERROR(C232/$C$6*100,"")</f>
        <v/>
      </c>
    </row>
    <row r="233">
      <c r="A233" s="23">
        <f>IFERROR(INDEX($R$6:$R$806,ROW()-5),"")</f>
        <v/>
      </c>
      <c r="B233">
        <f>IFERROR(INDEX($S$6:$S$806,ROW()-5),"")</f>
        <v/>
      </c>
      <c r="C233">
        <f>IFERROR(INDEX($W$6:$W$806,ROW()-5),"")</f>
        <v/>
      </c>
      <c r="D233" s="36">
        <f>IFERROR(B233/$B$6*100,"")</f>
        <v/>
      </c>
      <c r="E233" s="36">
        <f>IFERROR(C233/$C$6*100,"")</f>
        <v/>
      </c>
    </row>
    <row r="234">
      <c r="A234" s="23">
        <f>IFERROR(INDEX($R$6:$R$806,ROW()-5),"")</f>
        <v/>
      </c>
      <c r="B234">
        <f>IFERROR(INDEX($S$6:$S$806,ROW()-5),"")</f>
        <v/>
      </c>
      <c r="C234">
        <f>IFERROR(INDEX($W$6:$W$806,ROW()-5),"")</f>
        <v/>
      </c>
      <c r="D234" s="36">
        <f>IFERROR(B234/$B$6*100,"")</f>
        <v/>
      </c>
      <c r="E234" s="36">
        <f>IFERROR(C234/$C$6*100,"")</f>
        <v/>
      </c>
    </row>
    <row r="235">
      <c r="A235" s="23">
        <f>IFERROR(INDEX($R$6:$R$806,ROW()-5),"")</f>
        <v/>
      </c>
      <c r="B235">
        <f>IFERROR(INDEX($S$6:$S$806,ROW()-5),"")</f>
        <v/>
      </c>
      <c r="C235">
        <f>IFERROR(INDEX($W$6:$W$806,ROW()-5),"")</f>
        <v/>
      </c>
      <c r="D235" s="36">
        <f>IFERROR(B235/$B$6*100,"")</f>
        <v/>
      </c>
      <c r="E235" s="36">
        <f>IFERROR(C235/$C$6*100,"")</f>
        <v/>
      </c>
    </row>
    <row r="236">
      <c r="A236" s="23">
        <f>IFERROR(INDEX($R$6:$R$806,ROW()-5),"")</f>
        <v/>
      </c>
      <c r="B236">
        <f>IFERROR(INDEX($S$6:$S$806,ROW()-5),"")</f>
        <v/>
      </c>
      <c r="C236">
        <f>IFERROR(INDEX($W$6:$W$806,ROW()-5),"")</f>
        <v/>
      </c>
      <c r="D236" s="36">
        <f>IFERROR(B236/$B$6*100,"")</f>
        <v/>
      </c>
      <c r="E236" s="36">
        <f>IFERROR(C236/$C$6*100,"")</f>
        <v/>
      </c>
    </row>
    <row r="237">
      <c r="A237" s="23">
        <f>IFERROR(INDEX($R$6:$R$806,ROW()-5),"")</f>
        <v/>
      </c>
      <c r="B237">
        <f>IFERROR(INDEX($S$6:$S$806,ROW()-5),"")</f>
        <v/>
      </c>
      <c r="C237">
        <f>IFERROR(INDEX($W$6:$W$806,ROW()-5),"")</f>
        <v/>
      </c>
      <c r="D237" s="36">
        <f>IFERROR(B237/$B$6*100,"")</f>
        <v/>
      </c>
      <c r="E237" s="36">
        <f>IFERROR(C237/$C$6*100,"")</f>
        <v/>
      </c>
    </row>
    <row r="238">
      <c r="A238" s="23">
        <f>IFERROR(INDEX($R$6:$R$806,ROW()-5),"")</f>
        <v/>
      </c>
      <c r="B238">
        <f>IFERROR(INDEX($S$6:$S$806,ROW()-5),"")</f>
        <v/>
      </c>
      <c r="C238">
        <f>IFERROR(INDEX($W$6:$W$806,ROW()-5),"")</f>
        <v/>
      </c>
      <c r="D238" s="36">
        <f>IFERROR(B238/$B$6*100,"")</f>
        <v/>
      </c>
      <c r="E238" s="36">
        <f>IFERROR(C238/$C$6*100,"")</f>
        <v/>
      </c>
    </row>
    <row r="239">
      <c r="A239" s="23">
        <f>IFERROR(INDEX($R$6:$R$806,ROW()-5),"")</f>
        <v/>
      </c>
      <c r="B239">
        <f>IFERROR(INDEX($S$6:$S$806,ROW()-5),"")</f>
        <v/>
      </c>
      <c r="C239">
        <f>IFERROR(INDEX($W$6:$W$806,ROW()-5),"")</f>
        <v/>
      </c>
      <c r="D239" s="36">
        <f>IFERROR(B239/$B$6*100,"")</f>
        <v/>
      </c>
      <c r="E239" s="36">
        <f>IFERROR(C239/$C$6*100,"")</f>
        <v/>
      </c>
    </row>
    <row r="240">
      <c r="A240" s="23">
        <f>IFERROR(INDEX($R$6:$R$806,ROW()-5),"")</f>
        <v/>
      </c>
      <c r="B240">
        <f>IFERROR(INDEX($S$6:$S$806,ROW()-5),"")</f>
        <v/>
      </c>
      <c r="C240">
        <f>IFERROR(INDEX($W$6:$W$806,ROW()-5),"")</f>
        <v/>
      </c>
      <c r="D240" s="36">
        <f>IFERROR(B240/$B$6*100,"")</f>
        <v/>
      </c>
      <c r="E240" s="36">
        <f>IFERROR(C240/$C$6*100,"")</f>
        <v/>
      </c>
    </row>
    <row r="241">
      <c r="A241" s="23">
        <f>IFERROR(INDEX($R$6:$R$806,ROW()-5),"")</f>
        <v/>
      </c>
      <c r="B241">
        <f>IFERROR(INDEX($S$6:$S$806,ROW()-5),"")</f>
        <v/>
      </c>
      <c r="C241">
        <f>IFERROR(INDEX($W$6:$W$806,ROW()-5),"")</f>
        <v/>
      </c>
      <c r="D241" s="36">
        <f>IFERROR(B241/$B$6*100,"")</f>
        <v/>
      </c>
      <c r="E241" s="36">
        <f>IFERROR(C241/$C$6*100,"")</f>
        <v/>
      </c>
    </row>
    <row r="242">
      <c r="A242" s="23">
        <f>IFERROR(INDEX($R$6:$R$806,ROW()-5),"")</f>
        <v/>
      </c>
      <c r="B242">
        <f>IFERROR(INDEX($S$6:$S$806,ROW()-5),"")</f>
        <v/>
      </c>
      <c r="C242">
        <f>IFERROR(INDEX($W$6:$W$806,ROW()-5),"")</f>
        <v/>
      </c>
      <c r="D242" s="36">
        <f>IFERROR(B242/$B$6*100,"")</f>
        <v/>
      </c>
      <c r="E242" s="36">
        <f>IFERROR(C242/$C$6*100,"")</f>
        <v/>
      </c>
    </row>
    <row r="243">
      <c r="A243" s="23">
        <f>IFERROR(INDEX($R$6:$R$806,ROW()-5),"")</f>
        <v/>
      </c>
      <c r="B243">
        <f>IFERROR(INDEX($S$6:$S$806,ROW()-5),"")</f>
        <v/>
      </c>
      <c r="C243">
        <f>IFERROR(INDEX($W$6:$W$806,ROW()-5),"")</f>
        <v/>
      </c>
      <c r="D243" s="36">
        <f>IFERROR(B243/$B$6*100,"")</f>
        <v/>
      </c>
      <c r="E243" s="36">
        <f>IFERROR(C243/$C$6*100,"")</f>
        <v/>
      </c>
    </row>
    <row r="244">
      <c r="A244" s="23">
        <f>IFERROR(INDEX($R$6:$R$806,ROW()-5),"")</f>
        <v/>
      </c>
      <c r="B244">
        <f>IFERROR(INDEX($S$6:$S$806,ROW()-5),"")</f>
        <v/>
      </c>
      <c r="C244">
        <f>IFERROR(INDEX($W$6:$W$806,ROW()-5),"")</f>
        <v/>
      </c>
      <c r="D244" s="36">
        <f>IFERROR(B244/$B$6*100,"")</f>
        <v/>
      </c>
      <c r="E244" s="36">
        <f>IFERROR(C244/$C$6*100,"")</f>
        <v/>
      </c>
    </row>
    <row r="245">
      <c r="A245" s="23">
        <f>IFERROR(INDEX($R$6:$R$806,ROW()-5),"")</f>
        <v/>
      </c>
      <c r="B245">
        <f>IFERROR(INDEX($S$6:$S$806,ROW()-5),"")</f>
        <v/>
      </c>
      <c r="C245">
        <f>IFERROR(INDEX($W$6:$W$806,ROW()-5),"")</f>
        <v/>
      </c>
      <c r="D245" s="36">
        <f>IFERROR(B245/$B$6*100,"")</f>
        <v/>
      </c>
      <c r="E245" s="36">
        <f>IFERROR(C245/$C$6*100,"")</f>
        <v/>
      </c>
    </row>
    <row r="246">
      <c r="A246" s="23">
        <f>IFERROR(INDEX($R$6:$R$806,ROW()-5),"")</f>
        <v/>
      </c>
      <c r="B246">
        <f>IFERROR(INDEX($S$6:$S$806,ROW()-5),"")</f>
        <v/>
      </c>
      <c r="C246">
        <f>IFERROR(INDEX($W$6:$W$806,ROW()-5),"")</f>
        <v/>
      </c>
      <c r="D246" s="36">
        <f>IFERROR(B246/$B$6*100,"")</f>
        <v/>
      </c>
      <c r="E246" s="36">
        <f>IFERROR(C246/$C$6*100,"")</f>
        <v/>
      </c>
    </row>
    <row r="247">
      <c r="A247" s="23">
        <f>IFERROR(INDEX($R$6:$R$806,ROW()-5),"")</f>
        <v/>
      </c>
      <c r="B247">
        <f>IFERROR(INDEX($S$6:$S$806,ROW()-5),"")</f>
        <v/>
      </c>
      <c r="C247">
        <f>IFERROR(INDEX($W$6:$W$806,ROW()-5),"")</f>
        <v/>
      </c>
      <c r="D247" s="36">
        <f>IFERROR(B247/$B$6*100,"")</f>
        <v/>
      </c>
      <c r="E247" s="36">
        <f>IFERROR(C247/$C$6*100,"")</f>
        <v/>
      </c>
    </row>
    <row r="248">
      <c r="A248" s="23">
        <f>IFERROR(INDEX($R$6:$R$806,ROW()-5),"")</f>
        <v/>
      </c>
      <c r="B248">
        <f>IFERROR(INDEX($S$6:$S$806,ROW()-5),"")</f>
        <v/>
      </c>
      <c r="C248">
        <f>IFERROR(INDEX($W$6:$W$806,ROW()-5),"")</f>
        <v/>
      </c>
      <c r="D248" s="36">
        <f>IFERROR(B248/$B$6*100,"")</f>
        <v/>
      </c>
      <c r="E248" s="36">
        <f>IFERROR(C248/$C$6*100,"")</f>
        <v/>
      </c>
    </row>
    <row r="249">
      <c r="A249" s="23">
        <f>IFERROR(INDEX($R$6:$R$806,ROW()-5),"")</f>
        <v/>
      </c>
      <c r="B249">
        <f>IFERROR(INDEX($S$6:$S$806,ROW()-5),"")</f>
        <v/>
      </c>
      <c r="C249">
        <f>IFERROR(INDEX($W$6:$W$806,ROW()-5),"")</f>
        <v/>
      </c>
      <c r="D249" s="36">
        <f>IFERROR(B249/$B$6*100,"")</f>
        <v/>
      </c>
      <c r="E249" s="36">
        <f>IFERROR(C249/$C$6*100,"")</f>
        <v/>
      </c>
    </row>
    <row r="250">
      <c r="A250" s="23">
        <f>IFERROR(INDEX($R$6:$R$806,ROW()-5),"")</f>
        <v/>
      </c>
      <c r="B250">
        <f>IFERROR(INDEX($S$6:$S$806,ROW()-5),"")</f>
        <v/>
      </c>
      <c r="C250">
        <f>IFERROR(INDEX($W$6:$W$806,ROW()-5),"")</f>
        <v/>
      </c>
      <c r="D250" s="36">
        <f>IFERROR(B250/$B$6*100,"")</f>
        <v/>
      </c>
      <c r="E250" s="36">
        <f>IFERROR(C250/$C$6*100,"")</f>
        <v/>
      </c>
    </row>
    <row r="251">
      <c r="A251" s="23">
        <f>IFERROR(INDEX($R$6:$R$806,ROW()-5),"")</f>
        <v/>
      </c>
      <c r="B251">
        <f>IFERROR(INDEX($S$6:$S$806,ROW()-5),"")</f>
        <v/>
      </c>
      <c r="C251">
        <f>IFERROR(INDEX($W$6:$W$806,ROW()-5),"")</f>
        <v/>
      </c>
      <c r="D251" s="36">
        <f>IFERROR(B251/$B$6*100,"")</f>
        <v/>
      </c>
      <c r="E251" s="36">
        <f>IFERROR(C251/$C$6*100,"")</f>
        <v/>
      </c>
    </row>
    <row r="252">
      <c r="A252" s="23">
        <f>IFERROR(INDEX($R$6:$R$806,ROW()-5),"")</f>
        <v/>
      </c>
      <c r="B252">
        <f>IFERROR(INDEX($S$6:$S$806,ROW()-5),"")</f>
        <v/>
      </c>
      <c r="C252">
        <f>IFERROR(INDEX($W$6:$W$806,ROW()-5),"")</f>
        <v/>
      </c>
      <c r="D252" s="36">
        <f>IFERROR(B252/$B$6*100,"")</f>
        <v/>
      </c>
      <c r="E252" s="36">
        <f>IFERROR(C252/$C$6*100,"")</f>
        <v/>
      </c>
    </row>
    <row r="253">
      <c r="A253" s="23">
        <f>IFERROR(INDEX($R$6:$R$806,ROW()-5),"")</f>
        <v/>
      </c>
      <c r="B253">
        <f>IFERROR(INDEX($S$6:$S$806,ROW()-5),"")</f>
        <v/>
      </c>
      <c r="C253">
        <f>IFERROR(INDEX($W$6:$W$806,ROW()-5),"")</f>
        <v/>
      </c>
      <c r="D253" s="36">
        <f>IFERROR(B253/$B$6*100,"")</f>
        <v/>
      </c>
      <c r="E253" s="36">
        <f>IFERROR(C253/$C$6*100,"")</f>
        <v/>
      </c>
    </row>
    <row r="254">
      <c r="A254" s="23">
        <f>IFERROR(INDEX($R$6:$R$806,ROW()-5),"")</f>
        <v/>
      </c>
      <c r="B254">
        <f>IFERROR(INDEX($S$6:$S$806,ROW()-5),"")</f>
        <v/>
      </c>
      <c r="C254">
        <f>IFERROR(INDEX($W$6:$W$806,ROW()-5),"")</f>
        <v/>
      </c>
      <c r="D254" s="36">
        <f>IFERROR(B254/$B$6*100,"")</f>
        <v/>
      </c>
      <c r="E254" s="36">
        <f>IFERROR(C254/$C$6*100,"")</f>
        <v/>
      </c>
    </row>
    <row r="255">
      <c r="A255" s="23">
        <f>IFERROR(INDEX($R$6:$R$806,ROW()-5),"")</f>
        <v/>
      </c>
      <c r="B255">
        <f>IFERROR(INDEX($S$6:$S$806,ROW()-5),"")</f>
        <v/>
      </c>
      <c r="C255">
        <f>IFERROR(INDEX($W$6:$W$806,ROW()-5),"")</f>
        <v/>
      </c>
      <c r="D255" s="36">
        <f>IFERROR(B255/$B$6*100,"")</f>
        <v/>
      </c>
      <c r="E255" s="36">
        <f>IFERROR(C255/$C$6*100,"")</f>
        <v/>
      </c>
    </row>
    <row r="256">
      <c r="A256" s="23">
        <f>IFERROR(INDEX($R$6:$R$806,ROW()-5),"")</f>
        <v/>
      </c>
      <c r="B256">
        <f>IFERROR(INDEX($S$6:$S$806,ROW()-5),"")</f>
        <v/>
      </c>
      <c r="C256">
        <f>IFERROR(INDEX($W$6:$W$806,ROW()-5),"")</f>
        <v/>
      </c>
      <c r="D256" s="36">
        <f>IFERROR(B256/$B$6*100,"")</f>
        <v/>
      </c>
      <c r="E256" s="36">
        <f>IFERROR(C256/$C$6*100,"")</f>
        <v/>
      </c>
    </row>
    <row r="257">
      <c r="A257" s="23">
        <f>IFERROR(INDEX($R$6:$R$806,ROW()-5),"")</f>
        <v/>
      </c>
      <c r="B257">
        <f>IFERROR(INDEX($S$6:$S$806,ROW()-5),"")</f>
        <v/>
      </c>
      <c r="C257">
        <f>IFERROR(INDEX($W$6:$W$806,ROW()-5),"")</f>
        <v/>
      </c>
      <c r="D257" s="36">
        <f>IFERROR(B257/$B$6*100,"")</f>
        <v/>
      </c>
      <c r="E257" s="36">
        <f>IFERROR(C257/$C$6*100,"")</f>
        <v/>
      </c>
    </row>
    <row r="258">
      <c r="A258" s="23">
        <f>IFERROR(INDEX($R$6:$R$806,ROW()-5),"")</f>
        <v/>
      </c>
      <c r="B258">
        <f>IFERROR(INDEX($S$6:$S$806,ROW()-5),"")</f>
        <v/>
      </c>
      <c r="C258">
        <f>IFERROR(INDEX($W$6:$W$806,ROW()-5),"")</f>
        <v/>
      </c>
      <c r="D258" s="36">
        <f>IFERROR(B258/$B$6*100,"")</f>
        <v/>
      </c>
      <c r="E258" s="36">
        <f>IFERROR(C258/$C$6*100,"")</f>
        <v/>
      </c>
    </row>
    <row r="259">
      <c r="A259" s="23">
        <f>IFERROR(INDEX($R$6:$R$806,ROW()-5),"")</f>
        <v/>
      </c>
      <c r="B259">
        <f>IFERROR(INDEX($S$6:$S$806,ROW()-5),"")</f>
        <v/>
      </c>
      <c r="C259">
        <f>IFERROR(INDEX($W$6:$W$806,ROW()-5),"")</f>
        <v/>
      </c>
      <c r="D259" s="36">
        <f>IFERROR(B259/$B$6*100,"")</f>
        <v/>
      </c>
      <c r="E259" s="36">
        <f>IFERROR(C259/$C$6*100,"")</f>
        <v/>
      </c>
    </row>
    <row r="260">
      <c r="A260" s="23">
        <f>IFERROR(INDEX($R$6:$R$806,ROW()-5),"")</f>
        <v/>
      </c>
      <c r="B260">
        <f>IFERROR(INDEX($S$6:$S$806,ROW()-5),"")</f>
        <v/>
      </c>
      <c r="C260">
        <f>IFERROR(INDEX($W$6:$W$806,ROW()-5),"")</f>
        <v/>
      </c>
      <c r="D260" s="36">
        <f>IFERROR(B260/$B$6*100,"")</f>
        <v/>
      </c>
      <c r="E260" s="36">
        <f>IFERROR(C260/$C$6*100,"")</f>
        <v/>
      </c>
    </row>
    <row r="261">
      <c r="A261" s="23">
        <f>IFERROR(INDEX($R$6:$R$806,ROW()-5),"")</f>
        <v/>
      </c>
      <c r="B261">
        <f>IFERROR(INDEX($S$6:$S$806,ROW()-5),"")</f>
        <v/>
      </c>
      <c r="C261">
        <f>IFERROR(INDEX($W$6:$W$806,ROW()-5),"")</f>
        <v/>
      </c>
      <c r="D261" s="36">
        <f>IFERROR(B261/$B$6*100,"")</f>
        <v/>
      </c>
      <c r="E261" s="36">
        <f>IFERROR(C261/$C$6*100,"")</f>
        <v/>
      </c>
    </row>
    <row r="262">
      <c r="A262" s="23">
        <f>IFERROR(INDEX($R$6:$R$806,ROW()-5),"")</f>
        <v/>
      </c>
      <c r="B262">
        <f>IFERROR(INDEX($S$6:$S$806,ROW()-5),"")</f>
        <v/>
      </c>
      <c r="C262">
        <f>IFERROR(INDEX($W$6:$W$806,ROW()-5),"")</f>
        <v/>
      </c>
      <c r="D262" s="36">
        <f>IFERROR(B262/$B$6*100,"")</f>
        <v/>
      </c>
      <c r="E262" s="36">
        <f>IFERROR(C262/$C$6*100,"")</f>
        <v/>
      </c>
    </row>
    <row r="263">
      <c r="A263" s="23">
        <f>IFERROR(INDEX($R$6:$R$806,ROW()-5),"")</f>
        <v/>
      </c>
      <c r="B263">
        <f>IFERROR(INDEX($S$6:$S$806,ROW()-5),"")</f>
        <v/>
      </c>
      <c r="C263">
        <f>IFERROR(INDEX($W$6:$W$806,ROW()-5),"")</f>
        <v/>
      </c>
      <c r="D263" s="36">
        <f>IFERROR(B263/$B$6*100,"")</f>
        <v/>
      </c>
      <c r="E263" s="36">
        <f>IFERROR(C263/$C$6*100,"")</f>
        <v/>
      </c>
    </row>
    <row r="264">
      <c r="A264" s="23">
        <f>IFERROR(INDEX($R$6:$R$806,ROW()-5),"")</f>
        <v/>
      </c>
      <c r="B264">
        <f>IFERROR(INDEX($S$6:$S$806,ROW()-5),"")</f>
        <v/>
      </c>
      <c r="C264">
        <f>IFERROR(INDEX($W$6:$W$806,ROW()-5),"")</f>
        <v/>
      </c>
      <c r="D264" s="36">
        <f>IFERROR(B264/$B$6*100,"")</f>
        <v/>
      </c>
      <c r="E264" s="36">
        <f>IFERROR(C264/$C$6*100,"")</f>
        <v/>
      </c>
    </row>
    <row r="265">
      <c r="A265" s="23">
        <f>IFERROR(INDEX($R$6:$R$806,ROW()-5),"")</f>
        <v/>
      </c>
      <c r="B265">
        <f>IFERROR(INDEX($S$6:$S$806,ROW()-5),"")</f>
        <v/>
      </c>
      <c r="C265">
        <f>IFERROR(INDEX($W$6:$W$806,ROW()-5),"")</f>
        <v/>
      </c>
      <c r="D265" s="36">
        <f>IFERROR(B265/$B$6*100,"")</f>
        <v/>
      </c>
      <c r="E265" s="36">
        <f>IFERROR(C265/$C$6*100,"")</f>
        <v/>
      </c>
    </row>
    <row r="266">
      <c r="A266" s="23">
        <f>IFERROR(INDEX($R$6:$R$806,ROW()-5),"")</f>
        <v/>
      </c>
      <c r="B266">
        <f>IFERROR(INDEX($S$6:$S$806,ROW()-5),"")</f>
        <v/>
      </c>
      <c r="C266">
        <f>IFERROR(INDEX($W$6:$W$806,ROW()-5),"")</f>
        <v/>
      </c>
      <c r="D266" s="36">
        <f>IFERROR(B266/$B$6*100,"")</f>
        <v/>
      </c>
      <c r="E266" s="36">
        <f>IFERROR(C266/$C$6*100,"")</f>
        <v/>
      </c>
    </row>
    <row r="267">
      <c r="A267" s="23">
        <f>IFERROR(INDEX($R$6:$R$806,ROW()-5),"")</f>
        <v/>
      </c>
      <c r="B267">
        <f>IFERROR(INDEX($S$6:$S$806,ROW()-5),"")</f>
        <v/>
      </c>
      <c r="C267">
        <f>IFERROR(INDEX($W$6:$W$806,ROW()-5),"")</f>
        <v/>
      </c>
      <c r="D267" s="36">
        <f>IFERROR(B267/$B$6*100,"")</f>
        <v/>
      </c>
      <c r="E267" s="36">
        <f>IFERROR(C267/$C$6*100,"")</f>
        <v/>
      </c>
    </row>
    <row r="268">
      <c r="A268" s="23">
        <f>IFERROR(INDEX($R$6:$R$806,ROW()-5),"")</f>
        <v/>
      </c>
      <c r="B268">
        <f>IFERROR(INDEX($S$6:$S$806,ROW()-5),"")</f>
        <v/>
      </c>
      <c r="C268">
        <f>IFERROR(INDEX($W$6:$W$806,ROW()-5),"")</f>
        <v/>
      </c>
      <c r="D268" s="36">
        <f>IFERROR(B268/$B$6*100,"")</f>
        <v/>
      </c>
      <c r="E268" s="36">
        <f>IFERROR(C268/$C$6*100,"")</f>
        <v/>
      </c>
    </row>
    <row r="269">
      <c r="A269" s="23">
        <f>IFERROR(INDEX($R$6:$R$806,ROW()-5),"")</f>
        <v/>
      </c>
      <c r="B269">
        <f>IFERROR(INDEX($S$6:$S$806,ROW()-5),"")</f>
        <v/>
      </c>
      <c r="C269">
        <f>IFERROR(INDEX($W$6:$W$806,ROW()-5),"")</f>
        <v/>
      </c>
      <c r="D269" s="36">
        <f>IFERROR(B269/$B$6*100,"")</f>
        <v/>
      </c>
      <c r="E269" s="36">
        <f>IFERROR(C269/$C$6*100,"")</f>
        <v/>
      </c>
    </row>
    <row r="270">
      <c r="A270" s="23">
        <f>IFERROR(INDEX($R$6:$R$806,ROW()-5),"")</f>
        <v/>
      </c>
      <c r="B270">
        <f>IFERROR(INDEX($S$6:$S$806,ROW()-5),"")</f>
        <v/>
      </c>
      <c r="C270">
        <f>IFERROR(INDEX($W$6:$W$806,ROW()-5),"")</f>
        <v/>
      </c>
      <c r="D270" s="36">
        <f>IFERROR(B270/$B$6*100,"")</f>
        <v/>
      </c>
      <c r="E270" s="36">
        <f>IFERROR(C270/$C$6*100,"")</f>
        <v/>
      </c>
    </row>
    <row r="271">
      <c r="A271" s="23">
        <f>IFERROR(INDEX($R$6:$R$806,ROW()-5),"")</f>
        <v/>
      </c>
      <c r="B271">
        <f>IFERROR(INDEX($S$6:$S$806,ROW()-5),"")</f>
        <v/>
      </c>
      <c r="C271">
        <f>IFERROR(INDEX($W$6:$W$806,ROW()-5),"")</f>
        <v/>
      </c>
      <c r="D271" s="36">
        <f>IFERROR(B271/$B$6*100,"")</f>
        <v/>
      </c>
      <c r="E271" s="36">
        <f>IFERROR(C271/$C$6*100,"")</f>
        <v/>
      </c>
    </row>
    <row r="272">
      <c r="A272" s="23">
        <f>IFERROR(INDEX($R$6:$R$806,ROW()-5),"")</f>
        <v/>
      </c>
      <c r="B272">
        <f>IFERROR(INDEX($S$6:$S$806,ROW()-5),"")</f>
        <v/>
      </c>
      <c r="C272">
        <f>IFERROR(INDEX($W$6:$W$806,ROW()-5),"")</f>
        <v/>
      </c>
      <c r="D272" s="36">
        <f>IFERROR(B272/$B$6*100,"")</f>
        <v/>
      </c>
      <c r="E272" s="36">
        <f>IFERROR(C272/$C$6*100,"")</f>
        <v/>
      </c>
    </row>
    <row r="273">
      <c r="A273" s="23">
        <f>IFERROR(INDEX($R$6:$R$806,ROW()-5),"")</f>
        <v/>
      </c>
      <c r="B273">
        <f>IFERROR(INDEX($S$6:$S$806,ROW()-5),"")</f>
        <v/>
      </c>
      <c r="C273">
        <f>IFERROR(INDEX($W$6:$W$806,ROW()-5),"")</f>
        <v/>
      </c>
      <c r="D273" s="36">
        <f>IFERROR(B273/$B$6*100,"")</f>
        <v/>
      </c>
      <c r="E273" s="36">
        <f>IFERROR(C273/$C$6*100,"")</f>
        <v/>
      </c>
    </row>
    <row r="274">
      <c r="A274" s="23">
        <f>IFERROR(INDEX($R$6:$R$806,ROW()-5),"")</f>
        <v/>
      </c>
      <c r="B274">
        <f>IFERROR(INDEX($S$6:$S$806,ROW()-5),"")</f>
        <v/>
      </c>
      <c r="C274">
        <f>IFERROR(INDEX($W$6:$W$806,ROW()-5),"")</f>
        <v/>
      </c>
      <c r="D274" s="36">
        <f>IFERROR(B274/$B$6*100,"")</f>
        <v/>
      </c>
      <c r="E274" s="36">
        <f>IFERROR(C274/$C$6*100,"")</f>
        <v/>
      </c>
    </row>
    <row r="275">
      <c r="A275" s="23">
        <f>IFERROR(INDEX($R$6:$R$806,ROW()-5),"")</f>
        <v/>
      </c>
      <c r="B275">
        <f>IFERROR(INDEX($S$6:$S$806,ROW()-5),"")</f>
        <v/>
      </c>
      <c r="C275">
        <f>IFERROR(INDEX($W$6:$W$806,ROW()-5),"")</f>
        <v/>
      </c>
      <c r="D275" s="36">
        <f>IFERROR(B275/$B$6*100,"")</f>
        <v/>
      </c>
      <c r="E275" s="36">
        <f>IFERROR(C275/$C$6*100,"")</f>
        <v/>
      </c>
    </row>
    <row r="276">
      <c r="A276" s="23">
        <f>IFERROR(INDEX($R$6:$R$806,ROW()-5),"")</f>
        <v/>
      </c>
      <c r="B276">
        <f>IFERROR(INDEX($S$6:$S$806,ROW()-5),"")</f>
        <v/>
      </c>
      <c r="C276">
        <f>IFERROR(INDEX($W$6:$W$806,ROW()-5),"")</f>
        <v/>
      </c>
      <c r="D276" s="36">
        <f>IFERROR(B276/$B$6*100,"")</f>
        <v/>
      </c>
      <c r="E276" s="36">
        <f>IFERROR(C276/$C$6*100,"")</f>
        <v/>
      </c>
    </row>
    <row r="277">
      <c r="A277" s="23">
        <f>IFERROR(INDEX($R$6:$R$806,ROW()-5),"")</f>
        <v/>
      </c>
      <c r="B277">
        <f>IFERROR(INDEX($S$6:$S$806,ROW()-5),"")</f>
        <v/>
      </c>
      <c r="C277">
        <f>IFERROR(INDEX($W$6:$W$806,ROW()-5),"")</f>
        <v/>
      </c>
      <c r="D277" s="36">
        <f>IFERROR(B277/$B$6*100,"")</f>
        <v/>
      </c>
      <c r="E277" s="36">
        <f>IFERROR(C277/$C$6*100,"")</f>
        <v/>
      </c>
    </row>
    <row r="278">
      <c r="A278" s="23">
        <f>IFERROR(INDEX($R$6:$R$806,ROW()-5),"")</f>
        <v/>
      </c>
      <c r="B278">
        <f>IFERROR(INDEX($S$6:$S$806,ROW()-5),"")</f>
        <v/>
      </c>
      <c r="C278">
        <f>IFERROR(INDEX($W$6:$W$806,ROW()-5),"")</f>
        <v/>
      </c>
      <c r="D278" s="36">
        <f>IFERROR(B278/$B$6*100,"")</f>
        <v/>
      </c>
      <c r="E278" s="36">
        <f>IFERROR(C278/$C$6*100,"")</f>
        <v/>
      </c>
    </row>
    <row r="279">
      <c r="A279" s="23">
        <f>IFERROR(INDEX($R$6:$R$806,ROW()-5),"")</f>
        <v/>
      </c>
      <c r="B279">
        <f>IFERROR(INDEX($S$6:$S$806,ROW()-5),"")</f>
        <v/>
      </c>
      <c r="C279">
        <f>IFERROR(INDEX($W$6:$W$806,ROW()-5),"")</f>
        <v/>
      </c>
      <c r="D279" s="36">
        <f>IFERROR(B279/$B$6*100,"")</f>
        <v/>
      </c>
      <c r="E279" s="36">
        <f>IFERROR(C279/$C$6*100,"")</f>
        <v/>
      </c>
    </row>
    <row r="280">
      <c r="A280" s="23">
        <f>IFERROR(INDEX($R$6:$R$806,ROW()-5),"")</f>
        <v/>
      </c>
      <c r="B280">
        <f>IFERROR(INDEX($S$6:$S$806,ROW()-5),"")</f>
        <v/>
      </c>
      <c r="C280">
        <f>IFERROR(INDEX($W$6:$W$806,ROW()-5),"")</f>
        <v/>
      </c>
      <c r="D280" s="36">
        <f>IFERROR(B280/$B$6*100,"")</f>
        <v/>
      </c>
      <c r="E280" s="36">
        <f>IFERROR(C280/$C$6*100,"")</f>
        <v/>
      </c>
    </row>
    <row r="281">
      <c r="A281" s="23">
        <f>IFERROR(INDEX($R$6:$R$806,ROW()-5),"")</f>
        <v/>
      </c>
      <c r="B281">
        <f>IFERROR(INDEX($S$6:$S$806,ROW()-5),"")</f>
        <v/>
      </c>
      <c r="C281">
        <f>IFERROR(INDEX($W$6:$W$806,ROW()-5),"")</f>
        <v/>
      </c>
      <c r="D281" s="36">
        <f>IFERROR(B281/$B$6*100,"")</f>
        <v/>
      </c>
      <c r="E281" s="36">
        <f>IFERROR(C281/$C$6*100,"")</f>
        <v/>
      </c>
    </row>
    <row r="282">
      <c r="A282" s="23">
        <f>IFERROR(INDEX($R$6:$R$806,ROW()-5),"")</f>
        <v/>
      </c>
      <c r="B282">
        <f>IFERROR(INDEX($S$6:$S$806,ROW()-5),"")</f>
        <v/>
      </c>
      <c r="C282">
        <f>IFERROR(INDEX($W$6:$W$806,ROW()-5),"")</f>
        <v/>
      </c>
      <c r="D282" s="36">
        <f>IFERROR(B282/$B$6*100,"")</f>
        <v/>
      </c>
      <c r="E282" s="36">
        <f>IFERROR(C282/$C$6*100,"")</f>
        <v/>
      </c>
    </row>
    <row r="283">
      <c r="A283" s="23">
        <f>IFERROR(INDEX($R$6:$R$806,ROW()-5),"")</f>
        <v/>
      </c>
      <c r="B283">
        <f>IFERROR(INDEX($S$6:$S$806,ROW()-5),"")</f>
        <v/>
      </c>
      <c r="C283">
        <f>IFERROR(INDEX($W$6:$W$806,ROW()-5),"")</f>
        <v/>
      </c>
      <c r="D283" s="36">
        <f>IFERROR(B283/$B$6*100,"")</f>
        <v/>
      </c>
      <c r="E283" s="36">
        <f>IFERROR(C283/$C$6*100,"")</f>
        <v/>
      </c>
    </row>
    <row r="284">
      <c r="A284" s="23">
        <f>IFERROR(INDEX($R$6:$R$806,ROW()-5),"")</f>
        <v/>
      </c>
      <c r="B284">
        <f>IFERROR(INDEX($S$6:$S$806,ROW()-5),"")</f>
        <v/>
      </c>
      <c r="C284">
        <f>IFERROR(INDEX($W$6:$W$806,ROW()-5),"")</f>
        <v/>
      </c>
      <c r="D284" s="36">
        <f>IFERROR(B284/$B$6*100,"")</f>
        <v/>
      </c>
      <c r="E284" s="36">
        <f>IFERROR(C284/$C$6*100,"")</f>
        <v/>
      </c>
    </row>
    <row r="285">
      <c r="A285" s="23">
        <f>IFERROR(INDEX($R$6:$R$806,ROW()-5),"")</f>
        <v/>
      </c>
      <c r="B285">
        <f>IFERROR(INDEX($S$6:$S$806,ROW()-5),"")</f>
        <v/>
      </c>
      <c r="C285">
        <f>IFERROR(INDEX($W$6:$W$806,ROW()-5),"")</f>
        <v/>
      </c>
      <c r="D285" s="36">
        <f>IFERROR(B285/$B$6*100,"")</f>
        <v/>
      </c>
      <c r="E285" s="36">
        <f>IFERROR(C285/$C$6*100,"")</f>
        <v/>
      </c>
    </row>
    <row r="286">
      <c r="A286" s="23">
        <f>IFERROR(INDEX($R$6:$R$806,ROW()-5),"")</f>
        <v/>
      </c>
      <c r="B286">
        <f>IFERROR(INDEX($S$6:$S$806,ROW()-5),"")</f>
        <v/>
      </c>
      <c r="C286">
        <f>IFERROR(INDEX($W$6:$W$806,ROW()-5),"")</f>
        <v/>
      </c>
      <c r="D286" s="36">
        <f>IFERROR(B286/$B$6*100,"")</f>
        <v/>
      </c>
      <c r="E286" s="36">
        <f>IFERROR(C286/$C$6*100,"")</f>
        <v/>
      </c>
    </row>
    <row r="287">
      <c r="A287" s="23">
        <f>IFERROR(INDEX($R$6:$R$806,ROW()-5),"")</f>
        <v/>
      </c>
      <c r="B287">
        <f>IFERROR(INDEX($S$6:$S$806,ROW()-5),"")</f>
        <v/>
      </c>
      <c r="C287">
        <f>IFERROR(INDEX($W$6:$W$806,ROW()-5),"")</f>
        <v/>
      </c>
      <c r="D287" s="36">
        <f>IFERROR(B287/$B$6*100,"")</f>
        <v/>
      </c>
      <c r="E287" s="36">
        <f>IFERROR(C287/$C$6*100,"")</f>
        <v/>
      </c>
    </row>
    <row r="288">
      <c r="A288" s="23">
        <f>IFERROR(INDEX($R$6:$R$806,ROW()-5),"")</f>
        <v/>
      </c>
      <c r="B288">
        <f>IFERROR(INDEX($S$6:$S$806,ROW()-5),"")</f>
        <v/>
      </c>
      <c r="C288">
        <f>IFERROR(INDEX($W$6:$W$806,ROW()-5),"")</f>
        <v/>
      </c>
      <c r="D288" s="36">
        <f>IFERROR(B288/$B$6*100,"")</f>
        <v/>
      </c>
      <c r="E288" s="36">
        <f>IFERROR(C288/$C$6*100,"")</f>
        <v/>
      </c>
    </row>
    <row r="289">
      <c r="A289" s="23">
        <f>IFERROR(INDEX($R$6:$R$806,ROW()-5),"")</f>
        <v/>
      </c>
      <c r="B289">
        <f>IFERROR(INDEX($S$6:$S$806,ROW()-5),"")</f>
        <v/>
      </c>
      <c r="C289">
        <f>IFERROR(INDEX($W$6:$W$806,ROW()-5),"")</f>
        <v/>
      </c>
      <c r="D289" s="36">
        <f>IFERROR(B289/$B$6*100,"")</f>
        <v/>
      </c>
      <c r="E289" s="36">
        <f>IFERROR(C289/$C$6*100,"")</f>
        <v/>
      </c>
    </row>
    <row r="290">
      <c r="A290" s="23">
        <f>IFERROR(INDEX($R$6:$R$806,ROW()-5),"")</f>
        <v/>
      </c>
      <c r="B290">
        <f>IFERROR(INDEX($S$6:$S$806,ROW()-5),"")</f>
        <v/>
      </c>
      <c r="C290">
        <f>IFERROR(INDEX($W$6:$W$806,ROW()-5),"")</f>
        <v/>
      </c>
      <c r="D290" s="36">
        <f>IFERROR(B290/$B$6*100,"")</f>
        <v/>
      </c>
      <c r="E290" s="36">
        <f>IFERROR(C290/$C$6*100,"")</f>
        <v/>
      </c>
    </row>
    <row r="291">
      <c r="A291" s="23">
        <f>IFERROR(INDEX($R$6:$R$806,ROW()-5),"")</f>
        <v/>
      </c>
      <c r="B291">
        <f>IFERROR(INDEX($S$6:$S$806,ROW()-5),"")</f>
        <v/>
      </c>
      <c r="C291">
        <f>IFERROR(INDEX($W$6:$W$806,ROW()-5),"")</f>
        <v/>
      </c>
      <c r="D291" s="36">
        <f>IFERROR(B291/$B$6*100,"")</f>
        <v/>
      </c>
      <c r="E291" s="36">
        <f>IFERROR(C291/$C$6*100,"")</f>
        <v/>
      </c>
    </row>
    <row r="292">
      <c r="A292" s="23">
        <f>IFERROR(INDEX($R$6:$R$806,ROW()-5),"")</f>
        <v/>
      </c>
      <c r="B292">
        <f>IFERROR(INDEX($S$6:$S$806,ROW()-5),"")</f>
        <v/>
      </c>
      <c r="C292">
        <f>IFERROR(INDEX($W$6:$W$806,ROW()-5),"")</f>
        <v/>
      </c>
      <c r="D292" s="36">
        <f>IFERROR(B292/$B$6*100,"")</f>
        <v/>
      </c>
      <c r="E292" s="36">
        <f>IFERROR(C292/$C$6*100,"")</f>
        <v/>
      </c>
    </row>
    <row r="293">
      <c r="A293" s="23">
        <f>IFERROR(INDEX($R$6:$R$806,ROW()-5),"")</f>
        <v/>
      </c>
      <c r="B293">
        <f>IFERROR(INDEX($S$6:$S$806,ROW()-5),"")</f>
        <v/>
      </c>
      <c r="C293">
        <f>IFERROR(INDEX($W$6:$W$806,ROW()-5),"")</f>
        <v/>
      </c>
      <c r="D293" s="36">
        <f>IFERROR(B293/$B$6*100,"")</f>
        <v/>
      </c>
      <c r="E293" s="36">
        <f>IFERROR(C293/$C$6*100,"")</f>
        <v/>
      </c>
    </row>
    <row r="294">
      <c r="A294" s="23">
        <f>IFERROR(INDEX($R$6:$R$806,ROW()-5),"")</f>
        <v/>
      </c>
      <c r="B294">
        <f>IFERROR(INDEX($S$6:$S$806,ROW()-5),"")</f>
        <v/>
      </c>
      <c r="C294">
        <f>IFERROR(INDEX($W$6:$W$806,ROW()-5),"")</f>
        <v/>
      </c>
      <c r="D294" s="36">
        <f>IFERROR(B294/$B$6*100,"")</f>
        <v/>
      </c>
      <c r="E294" s="36">
        <f>IFERROR(C294/$C$6*100,"")</f>
        <v/>
      </c>
    </row>
    <row r="295">
      <c r="A295" s="23">
        <f>IFERROR(INDEX($R$6:$R$806,ROW()-5),"")</f>
        <v/>
      </c>
      <c r="B295">
        <f>IFERROR(INDEX($S$6:$S$806,ROW()-5),"")</f>
        <v/>
      </c>
      <c r="C295">
        <f>IFERROR(INDEX($W$6:$W$806,ROW()-5),"")</f>
        <v/>
      </c>
      <c r="D295" s="36">
        <f>IFERROR(B295/$B$6*100,"")</f>
        <v/>
      </c>
      <c r="E295" s="36">
        <f>IFERROR(C295/$C$6*100,"")</f>
        <v/>
      </c>
    </row>
    <row r="296">
      <c r="A296" s="23">
        <f>IFERROR(INDEX($R$6:$R$806,ROW()-5),"")</f>
        <v/>
      </c>
      <c r="B296">
        <f>IFERROR(INDEX($S$6:$S$806,ROW()-5),"")</f>
        <v/>
      </c>
      <c r="C296">
        <f>IFERROR(INDEX($W$6:$W$806,ROW()-5),"")</f>
        <v/>
      </c>
      <c r="D296" s="36">
        <f>IFERROR(B296/$B$6*100,"")</f>
        <v/>
      </c>
      <c r="E296" s="36">
        <f>IFERROR(C296/$C$6*100,"")</f>
        <v/>
      </c>
    </row>
    <row r="297">
      <c r="A297" s="23">
        <f>IFERROR(INDEX($R$6:$R$806,ROW()-5),"")</f>
        <v/>
      </c>
      <c r="B297">
        <f>IFERROR(INDEX($S$6:$S$806,ROW()-5),"")</f>
        <v/>
      </c>
      <c r="C297">
        <f>IFERROR(INDEX($W$6:$W$806,ROW()-5),"")</f>
        <v/>
      </c>
      <c r="D297" s="36">
        <f>IFERROR(B297/$B$6*100,"")</f>
        <v/>
      </c>
      <c r="E297" s="36">
        <f>IFERROR(C297/$C$6*100,"")</f>
        <v/>
      </c>
    </row>
    <row r="298">
      <c r="A298" s="23">
        <f>IFERROR(INDEX($R$6:$R$806,ROW()-5),"")</f>
        <v/>
      </c>
      <c r="B298">
        <f>IFERROR(INDEX($S$6:$S$806,ROW()-5),"")</f>
        <v/>
      </c>
      <c r="C298">
        <f>IFERROR(INDEX($W$6:$W$806,ROW()-5),"")</f>
        <v/>
      </c>
      <c r="D298" s="36">
        <f>IFERROR(B298/$B$6*100,"")</f>
        <v/>
      </c>
      <c r="E298" s="36">
        <f>IFERROR(C298/$C$6*100,"")</f>
        <v/>
      </c>
    </row>
    <row r="299">
      <c r="A299" s="23">
        <f>IFERROR(INDEX($R$6:$R$806,ROW()-5),"")</f>
        <v/>
      </c>
      <c r="B299">
        <f>IFERROR(INDEX($S$6:$S$806,ROW()-5),"")</f>
        <v/>
      </c>
      <c r="C299">
        <f>IFERROR(INDEX($W$6:$W$806,ROW()-5),"")</f>
        <v/>
      </c>
      <c r="D299" s="36">
        <f>IFERROR(B299/$B$6*100,"")</f>
        <v/>
      </c>
      <c r="E299" s="36">
        <f>IFERROR(C299/$C$6*100,"")</f>
        <v/>
      </c>
    </row>
    <row r="300">
      <c r="A300" s="23">
        <f>IFERROR(INDEX($R$6:$R$806,ROW()-5),"")</f>
        <v/>
      </c>
      <c r="B300">
        <f>IFERROR(INDEX($S$6:$S$806,ROW()-5),"")</f>
        <v/>
      </c>
      <c r="C300">
        <f>IFERROR(INDEX($W$6:$W$806,ROW()-5),"")</f>
        <v/>
      </c>
      <c r="D300" s="36">
        <f>IFERROR(B300/$B$6*100,"")</f>
        <v/>
      </c>
      <c r="E300" s="36">
        <f>IFERROR(C300/$C$6*100,"")</f>
        <v/>
      </c>
    </row>
    <row r="301">
      <c r="A301" s="23">
        <f>IFERROR(INDEX($R$6:$R$806,ROW()-5),"")</f>
        <v/>
      </c>
      <c r="B301">
        <f>IFERROR(INDEX($S$6:$S$806,ROW()-5),"")</f>
        <v/>
      </c>
      <c r="C301">
        <f>IFERROR(INDEX($W$6:$W$806,ROW()-5),"")</f>
        <v/>
      </c>
      <c r="D301" s="36">
        <f>IFERROR(B301/$B$6*100,"")</f>
        <v/>
      </c>
      <c r="E301" s="36">
        <f>IFERROR(C301/$C$6*100,"")</f>
        <v/>
      </c>
    </row>
    <row r="302">
      <c r="A302" s="23">
        <f>IFERROR(INDEX($R$6:$R$806,ROW()-5),"")</f>
        <v/>
      </c>
      <c r="B302">
        <f>IFERROR(INDEX($S$6:$S$806,ROW()-5),"")</f>
        <v/>
      </c>
      <c r="C302">
        <f>IFERROR(INDEX($W$6:$W$806,ROW()-5),"")</f>
        <v/>
      </c>
      <c r="D302" s="36">
        <f>IFERROR(B302/$B$6*100,"")</f>
        <v/>
      </c>
      <c r="E302" s="36">
        <f>IFERROR(C302/$C$6*100,"")</f>
        <v/>
      </c>
    </row>
    <row r="303">
      <c r="A303" s="23">
        <f>IFERROR(INDEX($R$6:$R$806,ROW()-5),"")</f>
        <v/>
      </c>
      <c r="B303">
        <f>IFERROR(INDEX($S$6:$S$806,ROW()-5),"")</f>
        <v/>
      </c>
      <c r="C303">
        <f>IFERROR(INDEX($W$6:$W$806,ROW()-5),"")</f>
        <v/>
      </c>
      <c r="D303" s="36">
        <f>IFERROR(B303/$B$6*100,"")</f>
        <v/>
      </c>
      <c r="E303" s="36">
        <f>IFERROR(C303/$C$6*100,"")</f>
        <v/>
      </c>
    </row>
    <row r="304">
      <c r="A304" s="23">
        <f>IFERROR(INDEX($R$6:$R$806,ROW()-5),"")</f>
        <v/>
      </c>
      <c r="B304">
        <f>IFERROR(INDEX($S$6:$S$806,ROW()-5),"")</f>
        <v/>
      </c>
      <c r="C304">
        <f>IFERROR(INDEX($W$6:$W$806,ROW()-5),"")</f>
        <v/>
      </c>
      <c r="D304" s="36">
        <f>IFERROR(B304/$B$6*100,"")</f>
        <v/>
      </c>
      <c r="E304" s="36">
        <f>IFERROR(C304/$C$6*100,"")</f>
        <v/>
      </c>
    </row>
    <row r="305">
      <c r="A305" s="23">
        <f>IFERROR(INDEX($R$6:$R$806,ROW()-5),"")</f>
        <v/>
      </c>
      <c r="B305">
        <f>IFERROR(INDEX($S$6:$S$806,ROW()-5),"")</f>
        <v/>
      </c>
      <c r="C305">
        <f>IFERROR(INDEX($W$6:$W$806,ROW()-5),"")</f>
        <v/>
      </c>
      <c r="D305" s="36">
        <f>IFERROR(B305/$B$6*100,"")</f>
        <v/>
      </c>
      <c r="E305" s="36">
        <f>IFERROR(C305/$C$6*100,"")</f>
        <v/>
      </c>
    </row>
    <row r="306">
      <c r="A306" s="23">
        <f>IFERROR(INDEX($R$6:$R$806,ROW()-5),"")</f>
        <v/>
      </c>
      <c r="B306">
        <f>IFERROR(INDEX($S$6:$S$806,ROW()-5),"")</f>
        <v/>
      </c>
      <c r="C306">
        <f>IFERROR(INDEX($W$6:$W$806,ROW()-5),"")</f>
        <v/>
      </c>
      <c r="D306" s="36">
        <f>IFERROR(B306/$B$6*100,"")</f>
        <v/>
      </c>
      <c r="E306" s="36">
        <f>IFERROR(C306/$C$6*100,"")</f>
        <v/>
      </c>
    </row>
    <row r="307">
      <c r="A307" s="23">
        <f>IFERROR(INDEX($R$6:$R$806,ROW()-5),"")</f>
        <v/>
      </c>
      <c r="B307">
        <f>IFERROR(INDEX($S$6:$S$806,ROW()-5),"")</f>
        <v/>
      </c>
      <c r="C307">
        <f>IFERROR(INDEX($W$6:$W$806,ROW()-5),"")</f>
        <v/>
      </c>
      <c r="D307" s="36">
        <f>IFERROR(B307/$B$6*100,"")</f>
        <v/>
      </c>
      <c r="E307" s="36">
        <f>IFERROR(C307/$C$6*100,"")</f>
        <v/>
      </c>
    </row>
    <row r="308">
      <c r="A308" s="23">
        <f>IFERROR(INDEX($R$6:$R$806,ROW()-5),"")</f>
        <v/>
      </c>
      <c r="B308">
        <f>IFERROR(INDEX($S$6:$S$806,ROW()-5),"")</f>
        <v/>
      </c>
      <c r="C308">
        <f>IFERROR(INDEX($W$6:$W$806,ROW()-5),"")</f>
        <v/>
      </c>
      <c r="D308" s="36">
        <f>IFERROR(B308/$B$6*100,"")</f>
        <v/>
      </c>
      <c r="E308" s="36">
        <f>IFERROR(C308/$C$6*100,"")</f>
        <v/>
      </c>
    </row>
    <row r="309">
      <c r="A309" s="23">
        <f>IFERROR(INDEX($R$6:$R$806,ROW()-5),"")</f>
        <v/>
      </c>
      <c r="B309">
        <f>IFERROR(INDEX($S$6:$S$806,ROW()-5),"")</f>
        <v/>
      </c>
      <c r="C309">
        <f>IFERROR(INDEX($W$6:$W$806,ROW()-5),"")</f>
        <v/>
      </c>
      <c r="D309" s="36">
        <f>IFERROR(B309/$B$6*100,"")</f>
        <v/>
      </c>
      <c r="E309" s="36">
        <f>IFERROR(C309/$C$6*100,"")</f>
        <v/>
      </c>
    </row>
    <row r="310">
      <c r="A310" s="23">
        <f>IFERROR(INDEX($R$6:$R$806,ROW()-5),"")</f>
        <v/>
      </c>
      <c r="B310">
        <f>IFERROR(INDEX($S$6:$S$806,ROW()-5),"")</f>
        <v/>
      </c>
      <c r="C310">
        <f>IFERROR(INDEX($W$6:$W$806,ROW()-5),"")</f>
        <v/>
      </c>
      <c r="D310" s="36">
        <f>IFERROR(B310/$B$6*100,"")</f>
        <v/>
      </c>
      <c r="E310" s="36">
        <f>IFERROR(C310/$C$6*100,"")</f>
        <v/>
      </c>
    </row>
    <row r="311">
      <c r="A311" s="23">
        <f>IFERROR(INDEX($R$6:$R$806,ROW()-5),"")</f>
        <v/>
      </c>
      <c r="B311">
        <f>IFERROR(INDEX($S$6:$S$806,ROW()-5),"")</f>
        <v/>
      </c>
      <c r="C311">
        <f>IFERROR(INDEX($W$6:$W$806,ROW()-5),"")</f>
        <v/>
      </c>
      <c r="D311" s="36">
        <f>IFERROR(B311/$B$6*100,"")</f>
        <v/>
      </c>
      <c r="E311" s="36">
        <f>IFERROR(C311/$C$6*100,"")</f>
        <v/>
      </c>
    </row>
    <row r="312">
      <c r="A312" s="23">
        <f>IFERROR(INDEX($R$6:$R$806,ROW()-5),"")</f>
        <v/>
      </c>
      <c r="B312">
        <f>IFERROR(INDEX($S$6:$S$806,ROW()-5),"")</f>
        <v/>
      </c>
      <c r="C312">
        <f>IFERROR(INDEX($W$6:$W$806,ROW()-5),"")</f>
        <v/>
      </c>
      <c r="D312" s="36">
        <f>IFERROR(B312/$B$6*100,"")</f>
        <v/>
      </c>
      <c r="E312" s="36">
        <f>IFERROR(C312/$C$6*100,"")</f>
        <v/>
      </c>
    </row>
    <row r="313">
      <c r="A313" s="23">
        <f>IFERROR(INDEX($R$6:$R$806,ROW()-5),"")</f>
        <v/>
      </c>
      <c r="B313">
        <f>IFERROR(INDEX($S$6:$S$806,ROW()-5),"")</f>
        <v/>
      </c>
      <c r="C313">
        <f>IFERROR(INDEX($W$6:$W$806,ROW()-5),"")</f>
        <v/>
      </c>
      <c r="D313" s="36">
        <f>IFERROR(B313/$B$6*100,"")</f>
        <v/>
      </c>
      <c r="E313" s="36">
        <f>IFERROR(C313/$C$6*100,"")</f>
        <v/>
      </c>
    </row>
    <row r="314">
      <c r="A314" s="23">
        <f>IFERROR(INDEX($R$6:$R$806,ROW()-5),"")</f>
        <v/>
      </c>
      <c r="B314">
        <f>IFERROR(INDEX($S$6:$S$806,ROW()-5),"")</f>
        <v/>
      </c>
      <c r="C314">
        <f>IFERROR(INDEX($W$6:$W$806,ROW()-5),"")</f>
        <v/>
      </c>
      <c r="D314" s="36">
        <f>IFERROR(B314/$B$6*100,"")</f>
        <v/>
      </c>
      <c r="E314" s="36">
        <f>IFERROR(C314/$C$6*100,"")</f>
        <v/>
      </c>
    </row>
    <row r="315">
      <c r="A315" s="23">
        <f>IFERROR(INDEX($R$6:$R$806,ROW()-5),"")</f>
        <v/>
      </c>
      <c r="B315">
        <f>IFERROR(INDEX($S$6:$S$806,ROW()-5),"")</f>
        <v/>
      </c>
      <c r="C315">
        <f>IFERROR(INDEX($W$6:$W$806,ROW()-5),"")</f>
        <v/>
      </c>
      <c r="D315" s="36">
        <f>IFERROR(B315/$B$6*100,"")</f>
        <v/>
      </c>
      <c r="E315" s="36">
        <f>IFERROR(C315/$C$6*100,"")</f>
        <v/>
      </c>
    </row>
    <row r="316">
      <c r="A316" s="23">
        <f>IFERROR(INDEX($R$6:$R$806,ROW()-5),"")</f>
        <v/>
      </c>
      <c r="B316">
        <f>IFERROR(INDEX($S$6:$S$806,ROW()-5),"")</f>
        <v/>
      </c>
      <c r="C316">
        <f>IFERROR(INDEX($W$6:$W$806,ROW()-5),"")</f>
        <v/>
      </c>
      <c r="D316" s="36">
        <f>IFERROR(B316/$B$6*100,"")</f>
        <v/>
      </c>
      <c r="E316" s="36">
        <f>IFERROR(C316/$C$6*100,"")</f>
        <v/>
      </c>
    </row>
    <row r="317">
      <c r="A317" s="23">
        <f>IFERROR(INDEX($R$6:$R$806,ROW()-5),"")</f>
        <v/>
      </c>
      <c r="B317">
        <f>IFERROR(INDEX($S$6:$S$806,ROW()-5),"")</f>
        <v/>
      </c>
      <c r="C317">
        <f>IFERROR(INDEX($W$6:$W$806,ROW()-5),"")</f>
        <v/>
      </c>
      <c r="D317" s="36">
        <f>IFERROR(B317/$B$6*100,"")</f>
        <v/>
      </c>
      <c r="E317" s="36">
        <f>IFERROR(C317/$C$6*100,"")</f>
        <v/>
      </c>
    </row>
    <row r="318">
      <c r="A318" s="23">
        <f>IFERROR(INDEX($R$6:$R$806,ROW()-5),"")</f>
        <v/>
      </c>
      <c r="B318">
        <f>IFERROR(INDEX($S$6:$S$806,ROW()-5),"")</f>
        <v/>
      </c>
      <c r="C318">
        <f>IFERROR(INDEX($W$6:$W$806,ROW()-5),"")</f>
        <v/>
      </c>
      <c r="D318" s="36">
        <f>IFERROR(B318/$B$6*100,"")</f>
        <v/>
      </c>
      <c r="E318" s="36">
        <f>IFERROR(C318/$C$6*100,"")</f>
        <v/>
      </c>
    </row>
    <row r="319">
      <c r="A319" s="23">
        <f>IFERROR(INDEX($R$6:$R$806,ROW()-5),"")</f>
        <v/>
      </c>
      <c r="B319">
        <f>IFERROR(INDEX($S$6:$S$806,ROW()-5),"")</f>
        <v/>
      </c>
      <c r="C319">
        <f>IFERROR(INDEX($W$6:$W$806,ROW()-5),"")</f>
        <v/>
      </c>
      <c r="D319" s="36">
        <f>IFERROR(B319/$B$6*100,"")</f>
        <v/>
      </c>
      <c r="E319" s="36">
        <f>IFERROR(C319/$C$6*100,"")</f>
        <v/>
      </c>
    </row>
    <row r="320">
      <c r="A320" s="23">
        <f>IFERROR(INDEX($R$6:$R$806,ROW()-5),"")</f>
        <v/>
      </c>
      <c r="B320">
        <f>IFERROR(INDEX($S$6:$S$806,ROW()-5),"")</f>
        <v/>
      </c>
      <c r="C320">
        <f>IFERROR(INDEX($W$6:$W$806,ROW()-5),"")</f>
        <v/>
      </c>
      <c r="D320" s="36">
        <f>IFERROR(B320/$B$6*100,"")</f>
        <v/>
      </c>
      <c r="E320" s="36">
        <f>IFERROR(C320/$C$6*100,"")</f>
        <v/>
      </c>
    </row>
    <row r="321">
      <c r="A321" s="23">
        <f>IFERROR(INDEX($R$6:$R$806,ROW()-5),"")</f>
        <v/>
      </c>
      <c r="B321">
        <f>IFERROR(INDEX($S$6:$S$806,ROW()-5),"")</f>
        <v/>
      </c>
      <c r="C321">
        <f>IFERROR(INDEX($W$6:$W$806,ROW()-5),"")</f>
        <v/>
      </c>
      <c r="D321" s="36">
        <f>IFERROR(B321/$B$6*100,"")</f>
        <v/>
      </c>
      <c r="E321" s="36">
        <f>IFERROR(C321/$C$6*100,"")</f>
        <v/>
      </c>
    </row>
    <row r="322">
      <c r="A322" s="23">
        <f>IFERROR(INDEX($R$6:$R$806,ROW()-5),"")</f>
        <v/>
      </c>
      <c r="B322">
        <f>IFERROR(INDEX($S$6:$S$806,ROW()-5),"")</f>
        <v/>
      </c>
      <c r="C322">
        <f>IFERROR(INDEX($W$6:$W$806,ROW()-5),"")</f>
        <v/>
      </c>
      <c r="D322" s="36">
        <f>IFERROR(B322/$B$6*100,"")</f>
        <v/>
      </c>
      <c r="E322" s="36">
        <f>IFERROR(C322/$C$6*100,"")</f>
        <v/>
      </c>
    </row>
    <row r="323">
      <c r="A323" s="23">
        <f>IFERROR(INDEX($R$6:$R$806,ROW()-5),"")</f>
        <v/>
      </c>
      <c r="B323">
        <f>IFERROR(INDEX($S$6:$S$806,ROW()-5),"")</f>
        <v/>
      </c>
      <c r="C323">
        <f>IFERROR(INDEX($W$6:$W$806,ROW()-5),"")</f>
        <v/>
      </c>
      <c r="D323" s="36">
        <f>IFERROR(B323/$B$6*100,"")</f>
        <v/>
      </c>
      <c r="E323" s="36">
        <f>IFERROR(C323/$C$6*100,"")</f>
        <v/>
      </c>
    </row>
    <row r="324">
      <c r="A324" s="23">
        <f>IFERROR(INDEX($R$6:$R$806,ROW()-5),"")</f>
        <v/>
      </c>
      <c r="B324">
        <f>IFERROR(INDEX($S$6:$S$806,ROW()-5),"")</f>
        <v/>
      </c>
      <c r="C324">
        <f>IFERROR(INDEX($W$6:$W$806,ROW()-5),"")</f>
        <v/>
      </c>
      <c r="D324" s="36">
        <f>IFERROR(B324/$B$6*100,"")</f>
        <v/>
      </c>
      <c r="E324" s="36">
        <f>IFERROR(C324/$C$6*100,"")</f>
        <v/>
      </c>
    </row>
    <row r="325">
      <c r="A325" s="23">
        <f>IFERROR(INDEX($R$6:$R$806,ROW()-5),"")</f>
        <v/>
      </c>
      <c r="B325">
        <f>IFERROR(INDEX($S$6:$S$806,ROW()-5),"")</f>
        <v/>
      </c>
      <c r="C325">
        <f>IFERROR(INDEX($W$6:$W$806,ROW()-5),"")</f>
        <v/>
      </c>
      <c r="D325" s="36">
        <f>IFERROR(B325/$B$6*100,"")</f>
        <v/>
      </c>
      <c r="E325" s="36">
        <f>IFERROR(C325/$C$6*100,"")</f>
        <v/>
      </c>
    </row>
    <row r="326">
      <c r="A326" s="23">
        <f>IFERROR(INDEX($R$6:$R$806,ROW()-5),"")</f>
        <v/>
      </c>
      <c r="B326">
        <f>IFERROR(INDEX($S$6:$S$806,ROW()-5),"")</f>
        <v/>
      </c>
      <c r="C326">
        <f>IFERROR(INDEX($W$6:$W$806,ROW()-5),"")</f>
        <v/>
      </c>
      <c r="D326" s="36">
        <f>IFERROR(B326/$B$6*100,"")</f>
        <v/>
      </c>
      <c r="E326" s="36">
        <f>IFERROR(C326/$C$6*100,"")</f>
        <v/>
      </c>
    </row>
    <row r="327">
      <c r="A327" s="23">
        <f>IFERROR(INDEX($R$6:$R$806,ROW()-5),"")</f>
        <v/>
      </c>
      <c r="B327">
        <f>IFERROR(INDEX($S$6:$S$806,ROW()-5),"")</f>
        <v/>
      </c>
      <c r="C327">
        <f>IFERROR(INDEX($W$6:$W$806,ROW()-5),"")</f>
        <v/>
      </c>
      <c r="D327" s="36">
        <f>IFERROR(B327/$B$6*100,"")</f>
        <v/>
      </c>
      <c r="E327" s="36">
        <f>IFERROR(C327/$C$6*100,"")</f>
        <v/>
      </c>
    </row>
    <row r="328">
      <c r="A328" s="23">
        <f>IFERROR(INDEX($R$6:$R$806,ROW()-5),"")</f>
        <v/>
      </c>
      <c r="B328">
        <f>IFERROR(INDEX($S$6:$S$806,ROW()-5),"")</f>
        <v/>
      </c>
      <c r="C328">
        <f>IFERROR(INDEX($W$6:$W$806,ROW()-5),"")</f>
        <v/>
      </c>
      <c r="D328" s="36">
        <f>IFERROR(B328/$B$6*100,"")</f>
        <v/>
      </c>
      <c r="E328" s="36">
        <f>IFERROR(C328/$C$6*100,"")</f>
        <v/>
      </c>
    </row>
    <row r="329">
      <c r="A329" s="23">
        <f>IFERROR(INDEX($R$6:$R$806,ROW()-5),"")</f>
        <v/>
      </c>
      <c r="B329">
        <f>IFERROR(INDEX($S$6:$S$806,ROW()-5),"")</f>
        <v/>
      </c>
      <c r="C329">
        <f>IFERROR(INDEX($W$6:$W$806,ROW()-5),"")</f>
        <v/>
      </c>
      <c r="D329" s="36">
        <f>IFERROR(B329/$B$6*100,"")</f>
        <v/>
      </c>
      <c r="E329" s="36">
        <f>IFERROR(C329/$C$6*100,"")</f>
        <v/>
      </c>
    </row>
    <row r="330">
      <c r="A330" s="23">
        <f>IFERROR(INDEX($R$6:$R$806,ROW()-5),"")</f>
        <v/>
      </c>
      <c r="B330">
        <f>IFERROR(INDEX($S$6:$S$806,ROW()-5),"")</f>
        <v/>
      </c>
      <c r="C330">
        <f>IFERROR(INDEX($W$6:$W$806,ROW()-5),"")</f>
        <v/>
      </c>
      <c r="D330" s="36">
        <f>IFERROR(B330/$B$6*100,"")</f>
        <v/>
      </c>
      <c r="E330" s="36">
        <f>IFERROR(C330/$C$6*100,"")</f>
        <v/>
      </c>
    </row>
    <row r="331">
      <c r="A331" s="23">
        <f>IFERROR(INDEX($R$6:$R$806,ROW()-5),"")</f>
        <v/>
      </c>
      <c r="B331">
        <f>IFERROR(INDEX($S$6:$S$806,ROW()-5),"")</f>
        <v/>
      </c>
      <c r="C331">
        <f>IFERROR(INDEX($W$6:$W$806,ROW()-5),"")</f>
        <v/>
      </c>
      <c r="D331" s="36">
        <f>IFERROR(B331/$B$6*100,"")</f>
        <v/>
      </c>
      <c r="E331" s="36">
        <f>IFERROR(C331/$C$6*100,"")</f>
        <v/>
      </c>
    </row>
    <row r="332">
      <c r="A332" s="23">
        <f>IFERROR(INDEX($R$6:$R$806,ROW()-5),"")</f>
        <v/>
      </c>
      <c r="B332">
        <f>IFERROR(INDEX($S$6:$S$806,ROW()-5),"")</f>
        <v/>
      </c>
      <c r="C332">
        <f>IFERROR(INDEX($W$6:$W$806,ROW()-5),"")</f>
        <v/>
      </c>
      <c r="D332" s="36">
        <f>IFERROR(B332/$B$6*100,"")</f>
        <v/>
      </c>
      <c r="E332" s="36">
        <f>IFERROR(C332/$C$6*100,"")</f>
        <v/>
      </c>
    </row>
    <row r="333">
      <c r="A333" s="23">
        <f>IFERROR(INDEX($R$6:$R$806,ROW()-5),"")</f>
        <v/>
      </c>
      <c r="B333">
        <f>IFERROR(INDEX($S$6:$S$806,ROW()-5),"")</f>
        <v/>
      </c>
      <c r="C333">
        <f>IFERROR(INDEX($W$6:$W$806,ROW()-5),"")</f>
        <v/>
      </c>
      <c r="D333" s="36">
        <f>IFERROR(B333/$B$6*100,"")</f>
        <v/>
      </c>
      <c r="E333" s="36">
        <f>IFERROR(C333/$C$6*100,"")</f>
        <v/>
      </c>
    </row>
    <row r="334">
      <c r="A334" s="23">
        <f>IFERROR(INDEX($R$6:$R$806,ROW()-5),"")</f>
        <v/>
      </c>
      <c r="B334">
        <f>IFERROR(INDEX($S$6:$S$806,ROW()-5),"")</f>
        <v/>
      </c>
      <c r="C334">
        <f>IFERROR(INDEX($W$6:$W$806,ROW()-5),"")</f>
        <v/>
      </c>
      <c r="D334" s="36">
        <f>IFERROR(B334/$B$6*100,"")</f>
        <v/>
      </c>
      <c r="E334" s="36">
        <f>IFERROR(C334/$C$6*100,"")</f>
        <v/>
      </c>
    </row>
    <row r="335">
      <c r="A335" s="23">
        <f>IFERROR(INDEX($R$6:$R$806,ROW()-5),"")</f>
        <v/>
      </c>
      <c r="B335">
        <f>IFERROR(INDEX($S$6:$S$806,ROW()-5),"")</f>
        <v/>
      </c>
      <c r="C335">
        <f>IFERROR(INDEX($W$6:$W$806,ROW()-5),"")</f>
        <v/>
      </c>
      <c r="D335" s="36">
        <f>IFERROR(B335/$B$6*100,"")</f>
        <v/>
      </c>
      <c r="E335" s="36">
        <f>IFERROR(C335/$C$6*100,"")</f>
        <v/>
      </c>
    </row>
    <row r="336">
      <c r="A336" s="23">
        <f>IFERROR(INDEX($R$6:$R$806,ROW()-5),"")</f>
        <v/>
      </c>
      <c r="B336">
        <f>IFERROR(INDEX($S$6:$S$806,ROW()-5),"")</f>
        <v/>
      </c>
      <c r="C336">
        <f>IFERROR(INDEX($W$6:$W$806,ROW()-5),"")</f>
        <v/>
      </c>
      <c r="D336" s="36">
        <f>IFERROR(B336/$B$6*100,"")</f>
        <v/>
      </c>
      <c r="E336" s="36">
        <f>IFERROR(C336/$C$6*100,"")</f>
        <v/>
      </c>
    </row>
    <row r="337">
      <c r="A337" s="23">
        <f>IFERROR(INDEX($R$6:$R$806,ROW()-5),"")</f>
        <v/>
      </c>
      <c r="B337">
        <f>IFERROR(INDEX($S$6:$S$806,ROW()-5),"")</f>
        <v/>
      </c>
      <c r="C337">
        <f>IFERROR(INDEX($W$6:$W$806,ROW()-5),"")</f>
        <v/>
      </c>
      <c r="D337" s="36">
        <f>IFERROR(B337/$B$6*100,"")</f>
        <v/>
      </c>
      <c r="E337" s="36">
        <f>IFERROR(C337/$C$6*100,"")</f>
        <v/>
      </c>
    </row>
    <row r="338">
      <c r="A338" s="23">
        <f>IFERROR(INDEX($R$6:$R$806,ROW()-5),"")</f>
        <v/>
      </c>
      <c r="B338">
        <f>IFERROR(INDEX($S$6:$S$806,ROW()-5),"")</f>
        <v/>
      </c>
      <c r="C338">
        <f>IFERROR(INDEX($W$6:$W$806,ROW()-5),"")</f>
        <v/>
      </c>
      <c r="D338" s="36">
        <f>IFERROR(B338/$B$6*100,"")</f>
        <v/>
      </c>
      <c r="E338" s="36">
        <f>IFERROR(C338/$C$6*100,"")</f>
        <v/>
      </c>
    </row>
    <row r="339">
      <c r="A339" s="23">
        <f>IFERROR(INDEX($R$6:$R$806,ROW()-5),"")</f>
        <v/>
      </c>
      <c r="B339">
        <f>IFERROR(INDEX($S$6:$S$806,ROW()-5),"")</f>
        <v/>
      </c>
      <c r="C339">
        <f>IFERROR(INDEX($W$6:$W$806,ROW()-5),"")</f>
        <v/>
      </c>
      <c r="D339" s="36">
        <f>IFERROR(B339/$B$6*100,"")</f>
        <v/>
      </c>
      <c r="E339" s="36">
        <f>IFERROR(C339/$C$6*100,"")</f>
        <v/>
      </c>
    </row>
    <row r="340">
      <c r="A340" s="23">
        <f>IFERROR(INDEX($R$6:$R$806,ROW()-5),"")</f>
        <v/>
      </c>
      <c r="B340">
        <f>IFERROR(INDEX($S$6:$S$806,ROW()-5),"")</f>
        <v/>
      </c>
      <c r="C340">
        <f>IFERROR(INDEX($W$6:$W$806,ROW()-5),"")</f>
        <v/>
      </c>
      <c r="D340" s="36">
        <f>IFERROR(B340/$B$6*100,"")</f>
        <v/>
      </c>
      <c r="E340" s="36">
        <f>IFERROR(C340/$C$6*100,"")</f>
        <v/>
      </c>
    </row>
    <row r="341">
      <c r="A341" s="23">
        <f>IFERROR(INDEX($R$6:$R$806,ROW()-5),"")</f>
        <v/>
      </c>
      <c r="B341">
        <f>IFERROR(INDEX($S$6:$S$806,ROW()-5),"")</f>
        <v/>
      </c>
      <c r="C341">
        <f>IFERROR(INDEX($W$6:$W$806,ROW()-5),"")</f>
        <v/>
      </c>
      <c r="D341" s="36">
        <f>IFERROR(B341/$B$6*100,"")</f>
        <v/>
      </c>
      <c r="E341" s="36">
        <f>IFERROR(C341/$C$6*100,"")</f>
        <v/>
      </c>
    </row>
    <row r="342">
      <c r="A342" s="23">
        <f>IFERROR(INDEX($R$6:$R$806,ROW()-5),"")</f>
        <v/>
      </c>
      <c r="B342">
        <f>IFERROR(INDEX($S$6:$S$806,ROW()-5),"")</f>
        <v/>
      </c>
      <c r="C342">
        <f>IFERROR(INDEX($W$6:$W$806,ROW()-5),"")</f>
        <v/>
      </c>
      <c r="D342" s="36">
        <f>IFERROR(B342/$B$6*100,"")</f>
        <v/>
      </c>
      <c r="E342" s="36">
        <f>IFERROR(C342/$C$6*100,"")</f>
        <v/>
      </c>
    </row>
    <row r="343">
      <c r="A343" s="23">
        <f>IFERROR(INDEX($R$6:$R$806,ROW()-5),"")</f>
        <v/>
      </c>
      <c r="B343">
        <f>IFERROR(INDEX($S$6:$S$806,ROW()-5),"")</f>
        <v/>
      </c>
      <c r="C343">
        <f>IFERROR(INDEX($W$6:$W$806,ROW()-5),"")</f>
        <v/>
      </c>
      <c r="D343" s="36">
        <f>IFERROR(B343/$B$6*100,"")</f>
        <v/>
      </c>
      <c r="E343" s="36">
        <f>IFERROR(C343/$C$6*100,"")</f>
        <v/>
      </c>
    </row>
    <row r="344">
      <c r="A344" s="23">
        <f>IFERROR(INDEX($R$6:$R$806,ROW()-5),"")</f>
        <v/>
      </c>
      <c r="B344">
        <f>IFERROR(INDEX($S$6:$S$806,ROW()-5),"")</f>
        <v/>
      </c>
      <c r="C344">
        <f>IFERROR(INDEX($W$6:$W$806,ROW()-5),"")</f>
        <v/>
      </c>
      <c r="D344" s="36">
        <f>IFERROR(B344/$B$6*100,"")</f>
        <v/>
      </c>
      <c r="E344" s="36">
        <f>IFERROR(C344/$C$6*100,"")</f>
        <v/>
      </c>
    </row>
    <row r="345">
      <c r="A345" s="23">
        <f>IFERROR(INDEX($R$6:$R$806,ROW()-5),"")</f>
        <v/>
      </c>
      <c r="B345">
        <f>IFERROR(INDEX($S$6:$S$806,ROW()-5),"")</f>
        <v/>
      </c>
      <c r="C345">
        <f>IFERROR(INDEX($W$6:$W$806,ROW()-5),"")</f>
        <v/>
      </c>
      <c r="D345" s="36">
        <f>IFERROR(B345/$B$6*100,"")</f>
        <v/>
      </c>
      <c r="E345" s="36">
        <f>IFERROR(C345/$C$6*100,"")</f>
        <v/>
      </c>
    </row>
    <row r="346">
      <c r="A346" s="23">
        <f>IFERROR(INDEX($R$6:$R$806,ROW()-5),"")</f>
        <v/>
      </c>
      <c r="B346">
        <f>IFERROR(INDEX($S$6:$S$806,ROW()-5),"")</f>
        <v/>
      </c>
      <c r="C346">
        <f>IFERROR(INDEX($W$6:$W$806,ROW()-5),"")</f>
        <v/>
      </c>
      <c r="D346" s="36">
        <f>IFERROR(B346/$B$6*100,"")</f>
        <v/>
      </c>
      <c r="E346" s="36">
        <f>IFERROR(C346/$C$6*100,"")</f>
        <v/>
      </c>
    </row>
    <row r="347">
      <c r="A347" s="23">
        <f>IFERROR(INDEX($R$6:$R$806,ROW()-5),"")</f>
        <v/>
      </c>
      <c r="B347">
        <f>IFERROR(INDEX($S$6:$S$806,ROW()-5),"")</f>
        <v/>
      </c>
      <c r="C347">
        <f>IFERROR(INDEX($W$6:$W$806,ROW()-5),"")</f>
        <v/>
      </c>
      <c r="D347" s="36">
        <f>IFERROR(B347/$B$6*100,"")</f>
        <v/>
      </c>
      <c r="E347" s="36">
        <f>IFERROR(C347/$C$6*100,"")</f>
        <v/>
      </c>
    </row>
    <row r="348">
      <c r="A348" s="23">
        <f>IFERROR(INDEX($R$6:$R$806,ROW()-5),"")</f>
        <v/>
      </c>
      <c r="B348">
        <f>IFERROR(INDEX($S$6:$S$806,ROW()-5),"")</f>
        <v/>
      </c>
      <c r="C348">
        <f>IFERROR(INDEX($W$6:$W$806,ROW()-5),"")</f>
        <v/>
      </c>
      <c r="D348" s="36">
        <f>IFERROR(B348/$B$6*100,"")</f>
        <v/>
      </c>
      <c r="E348" s="36">
        <f>IFERROR(C348/$C$6*100,"")</f>
        <v/>
      </c>
    </row>
    <row r="349">
      <c r="A349" s="23">
        <f>IFERROR(INDEX($R$6:$R$806,ROW()-5),"")</f>
        <v/>
      </c>
      <c r="B349">
        <f>IFERROR(INDEX($S$6:$S$806,ROW()-5),"")</f>
        <v/>
      </c>
      <c r="C349">
        <f>IFERROR(INDEX($W$6:$W$806,ROW()-5),"")</f>
        <v/>
      </c>
      <c r="D349" s="36">
        <f>IFERROR(B349/$B$6*100,"")</f>
        <v/>
      </c>
      <c r="E349" s="36">
        <f>IFERROR(C349/$C$6*100,"")</f>
        <v/>
      </c>
    </row>
    <row r="350">
      <c r="A350" s="23">
        <f>IFERROR(INDEX($R$6:$R$806,ROW()-5),"")</f>
        <v/>
      </c>
      <c r="B350">
        <f>IFERROR(INDEX($S$6:$S$806,ROW()-5),"")</f>
        <v/>
      </c>
      <c r="C350">
        <f>IFERROR(INDEX($W$6:$W$806,ROW()-5),"")</f>
        <v/>
      </c>
      <c r="D350" s="36">
        <f>IFERROR(B350/$B$6*100,"")</f>
        <v/>
      </c>
      <c r="E350" s="36">
        <f>IFERROR(C350/$C$6*100,"")</f>
        <v/>
      </c>
    </row>
    <row r="351">
      <c r="A351" s="23">
        <f>IFERROR(INDEX($R$6:$R$806,ROW()-5),"")</f>
        <v/>
      </c>
      <c r="B351">
        <f>IFERROR(INDEX($S$6:$S$806,ROW()-5),"")</f>
        <v/>
      </c>
      <c r="C351">
        <f>IFERROR(INDEX($W$6:$W$806,ROW()-5),"")</f>
        <v/>
      </c>
      <c r="D351" s="36">
        <f>IFERROR(B351/$B$6*100,"")</f>
        <v/>
      </c>
      <c r="E351" s="36">
        <f>IFERROR(C351/$C$6*100,"")</f>
        <v/>
      </c>
    </row>
    <row r="352">
      <c r="A352" s="23">
        <f>IFERROR(INDEX($R$6:$R$806,ROW()-5),"")</f>
        <v/>
      </c>
      <c r="B352">
        <f>IFERROR(INDEX($S$6:$S$806,ROW()-5),"")</f>
        <v/>
      </c>
      <c r="C352">
        <f>IFERROR(INDEX($W$6:$W$806,ROW()-5),"")</f>
        <v/>
      </c>
      <c r="D352" s="36">
        <f>IFERROR(B352/$B$6*100,"")</f>
        <v/>
      </c>
      <c r="E352" s="36">
        <f>IFERROR(C352/$C$6*100,"")</f>
        <v/>
      </c>
    </row>
    <row r="353">
      <c r="A353" s="23">
        <f>IFERROR(INDEX($R$6:$R$806,ROW()-5),"")</f>
        <v/>
      </c>
      <c r="B353">
        <f>IFERROR(INDEX($S$6:$S$806,ROW()-5),"")</f>
        <v/>
      </c>
      <c r="C353">
        <f>IFERROR(INDEX($W$6:$W$806,ROW()-5),"")</f>
        <v/>
      </c>
      <c r="D353" s="36">
        <f>IFERROR(B353/$B$6*100,"")</f>
        <v/>
      </c>
      <c r="E353" s="36">
        <f>IFERROR(C353/$C$6*100,"")</f>
        <v/>
      </c>
    </row>
    <row r="354">
      <c r="A354" s="23">
        <f>IFERROR(INDEX($R$6:$R$806,ROW()-5),"")</f>
        <v/>
      </c>
      <c r="B354">
        <f>IFERROR(INDEX($S$6:$S$806,ROW()-5),"")</f>
        <v/>
      </c>
      <c r="C354">
        <f>IFERROR(INDEX($W$6:$W$806,ROW()-5),"")</f>
        <v/>
      </c>
      <c r="D354" s="36">
        <f>IFERROR(B354/$B$6*100,"")</f>
        <v/>
      </c>
      <c r="E354" s="36">
        <f>IFERROR(C354/$C$6*100,"")</f>
        <v/>
      </c>
    </row>
    <row r="355">
      <c r="A355" s="23">
        <f>IFERROR(INDEX($R$6:$R$806,ROW()-5),"")</f>
        <v/>
      </c>
      <c r="B355">
        <f>IFERROR(INDEX($S$6:$S$806,ROW()-5),"")</f>
        <v/>
      </c>
      <c r="C355">
        <f>IFERROR(INDEX($W$6:$W$806,ROW()-5),"")</f>
        <v/>
      </c>
      <c r="D355" s="36">
        <f>IFERROR(B355/$B$6*100,"")</f>
        <v/>
      </c>
      <c r="E355" s="36">
        <f>IFERROR(C355/$C$6*100,"")</f>
        <v/>
      </c>
    </row>
    <row r="356">
      <c r="A356" s="23">
        <f>IFERROR(INDEX($R$6:$R$806,ROW()-5),"")</f>
        <v/>
      </c>
      <c r="B356">
        <f>IFERROR(INDEX($S$6:$S$806,ROW()-5),"")</f>
        <v/>
      </c>
      <c r="C356">
        <f>IFERROR(INDEX($W$6:$W$806,ROW()-5),"")</f>
        <v/>
      </c>
      <c r="D356" s="36">
        <f>IFERROR(B356/$B$6*100,"")</f>
        <v/>
      </c>
      <c r="E356" s="36">
        <f>IFERROR(C356/$C$6*100,"")</f>
        <v/>
      </c>
    </row>
    <row r="357">
      <c r="A357" s="23">
        <f>IFERROR(INDEX($R$6:$R$806,ROW()-5),"")</f>
        <v/>
      </c>
      <c r="B357">
        <f>IFERROR(INDEX($S$6:$S$806,ROW()-5),"")</f>
        <v/>
      </c>
      <c r="C357">
        <f>IFERROR(INDEX($W$6:$W$806,ROW()-5),"")</f>
        <v/>
      </c>
      <c r="D357" s="36">
        <f>IFERROR(B357/$B$6*100,"")</f>
        <v/>
      </c>
      <c r="E357" s="36">
        <f>IFERROR(C357/$C$6*100,"")</f>
        <v/>
      </c>
    </row>
    <row r="358">
      <c r="A358" s="23">
        <f>IFERROR(INDEX($R$6:$R$806,ROW()-5),"")</f>
        <v/>
      </c>
      <c r="B358">
        <f>IFERROR(INDEX($S$6:$S$806,ROW()-5),"")</f>
        <v/>
      </c>
      <c r="C358">
        <f>IFERROR(INDEX($W$6:$W$806,ROW()-5),"")</f>
        <v/>
      </c>
      <c r="D358" s="36">
        <f>IFERROR(B358/$B$6*100,"")</f>
        <v/>
      </c>
      <c r="E358" s="36">
        <f>IFERROR(C358/$C$6*100,"")</f>
        <v/>
      </c>
    </row>
    <row r="359">
      <c r="A359" s="23">
        <f>IFERROR(INDEX($R$6:$R$806,ROW()-5),"")</f>
        <v/>
      </c>
      <c r="B359">
        <f>IFERROR(INDEX($S$6:$S$806,ROW()-5),"")</f>
        <v/>
      </c>
      <c r="C359">
        <f>IFERROR(INDEX($W$6:$W$806,ROW()-5),"")</f>
        <v/>
      </c>
      <c r="D359" s="36">
        <f>IFERROR(B359/$B$6*100,"")</f>
        <v/>
      </c>
      <c r="E359" s="36">
        <f>IFERROR(C359/$C$6*100,"")</f>
        <v/>
      </c>
    </row>
    <row r="360">
      <c r="A360" s="23">
        <f>IFERROR(INDEX($R$6:$R$806,ROW()-5),"")</f>
        <v/>
      </c>
      <c r="B360">
        <f>IFERROR(INDEX($S$6:$S$806,ROW()-5),"")</f>
        <v/>
      </c>
      <c r="C360">
        <f>IFERROR(INDEX($W$6:$W$806,ROW()-5),"")</f>
        <v/>
      </c>
      <c r="D360" s="36">
        <f>IFERROR(B360/$B$6*100,"")</f>
        <v/>
      </c>
      <c r="E360" s="36">
        <f>IFERROR(C360/$C$6*100,"")</f>
        <v/>
      </c>
    </row>
    <row r="361">
      <c r="A361" s="23">
        <f>IFERROR(INDEX($R$6:$R$806,ROW()-5),"")</f>
        <v/>
      </c>
      <c r="B361">
        <f>IFERROR(INDEX($S$6:$S$806,ROW()-5),"")</f>
        <v/>
      </c>
      <c r="C361">
        <f>IFERROR(INDEX($W$6:$W$806,ROW()-5),"")</f>
        <v/>
      </c>
      <c r="D361" s="36">
        <f>IFERROR(B361/$B$6*100,"")</f>
        <v/>
      </c>
      <c r="E361" s="36">
        <f>IFERROR(C361/$C$6*100,"")</f>
        <v/>
      </c>
    </row>
    <row r="362">
      <c r="A362" s="23">
        <f>IFERROR(INDEX($R$6:$R$806,ROW()-5),"")</f>
        <v/>
      </c>
      <c r="B362">
        <f>IFERROR(INDEX($S$6:$S$806,ROW()-5),"")</f>
        <v/>
      </c>
      <c r="C362">
        <f>IFERROR(INDEX($W$6:$W$806,ROW()-5),"")</f>
        <v/>
      </c>
      <c r="D362" s="36">
        <f>IFERROR(B362/$B$6*100,"")</f>
        <v/>
      </c>
      <c r="E362" s="36">
        <f>IFERROR(C362/$C$6*100,"")</f>
        <v/>
      </c>
    </row>
    <row r="363">
      <c r="A363" s="23">
        <f>IFERROR(INDEX($R$6:$R$806,ROW()-5),"")</f>
        <v/>
      </c>
      <c r="B363">
        <f>IFERROR(INDEX($S$6:$S$806,ROW()-5),"")</f>
        <v/>
      </c>
      <c r="C363">
        <f>IFERROR(INDEX($W$6:$W$806,ROW()-5),"")</f>
        <v/>
      </c>
      <c r="D363" s="36">
        <f>IFERROR(B363/$B$6*100,"")</f>
        <v/>
      </c>
      <c r="E363" s="36">
        <f>IFERROR(C363/$C$6*100,"")</f>
        <v/>
      </c>
    </row>
    <row r="364">
      <c r="A364" s="23">
        <f>IFERROR(INDEX($R$6:$R$806,ROW()-5),"")</f>
        <v/>
      </c>
      <c r="B364">
        <f>IFERROR(INDEX($S$6:$S$806,ROW()-5),"")</f>
        <v/>
      </c>
      <c r="C364">
        <f>IFERROR(INDEX($W$6:$W$806,ROW()-5),"")</f>
        <v/>
      </c>
      <c r="D364" s="36">
        <f>IFERROR(B364/$B$6*100,"")</f>
        <v/>
      </c>
      <c r="E364" s="36">
        <f>IFERROR(C364/$C$6*100,"")</f>
        <v/>
      </c>
    </row>
    <row r="365">
      <c r="A365" s="23">
        <f>IFERROR(INDEX($R$6:$R$806,ROW()-5),"")</f>
        <v/>
      </c>
      <c r="B365">
        <f>IFERROR(INDEX($S$6:$S$806,ROW()-5),"")</f>
        <v/>
      </c>
      <c r="C365">
        <f>IFERROR(INDEX($W$6:$W$806,ROW()-5),"")</f>
        <v/>
      </c>
      <c r="D365" s="36">
        <f>IFERROR(B365/$B$6*100,"")</f>
        <v/>
      </c>
      <c r="E365" s="36">
        <f>IFERROR(C365/$C$6*100,"")</f>
        <v/>
      </c>
    </row>
    <row r="366">
      <c r="A366" s="23">
        <f>IFERROR(INDEX($R$6:$R$806,ROW()-5),"")</f>
        <v/>
      </c>
      <c r="B366">
        <f>IFERROR(INDEX($S$6:$S$806,ROW()-5),"")</f>
        <v/>
      </c>
      <c r="C366">
        <f>IFERROR(INDEX($W$6:$W$806,ROW()-5),"")</f>
        <v/>
      </c>
      <c r="D366" s="36">
        <f>IFERROR(B366/$B$6*100,"")</f>
        <v/>
      </c>
      <c r="E366" s="36">
        <f>IFERROR(C366/$C$6*100,"")</f>
        <v/>
      </c>
    </row>
    <row r="367">
      <c r="A367" s="23">
        <f>IFERROR(INDEX($R$6:$R$806,ROW()-5),"")</f>
        <v/>
      </c>
      <c r="B367">
        <f>IFERROR(INDEX($S$6:$S$806,ROW()-5),"")</f>
        <v/>
      </c>
      <c r="C367">
        <f>IFERROR(INDEX($W$6:$W$806,ROW()-5),"")</f>
        <v/>
      </c>
      <c r="D367" s="36">
        <f>IFERROR(B367/$B$6*100,"")</f>
        <v/>
      </c>
      <c r="E367" s="36">
        <f>IFERROR(C367/$C$6*100,"")</f>
        <v/>
      </c>
    </row>
    <row r="368">
      <c r="A368" s="23">
        <f>IFERROR(INDEX($R$6:$R$806,ROW()-5),"")</f>
        <v/>
      </c>
      <c r="B368">
        <f>IFERROR(INDEX($S$6:$S$806,ROW()-5),"")</f>
        <v/>
      </c>
      <c r="C368">
        <f>IFERROR(INDEX($W$6:$W$806,ROW()-5),"")</f>
        <v/>
      </c>
      <c r="D368" s="36">
        <f>IFERROR(B368/$B$6*100,"")</f>
        <v/>
      </c>
      <c r="E368" s="36">
        <f>IFERROR(C368/$C$6*100,"")</f>
        <v/>
      </c>
    </row>
    <row r="369">
      <c r="A369" s="23">
        <f>IFERROR(INDEX($R$6:$R$806,ROW()-5),"")</f>
        <v/>
      </c>
      <c r="B369">
        <f>IFERROR(INDEX($S$6:$S$806,ROW()-5),"")</f>
        <v/>
      </c>
      <c r="C369">
        <f>IFERROR(INDEX($W$6:$W$806,ROW()-5),"")</f>
        <v/>
      </c>
      <c r="D369" s="36">
        <f>IFERROR(B369/$B$6*100,"")</f>
        <v/>
      </c>
      <c r="E369" s="36">
        <f>IFERROR(C369/$C$6*100,"")</f>
        <v/>
      </c>
    </row>
    <row r="370">
      <c r="A370" s="23">
        <f>IFERROR(INDEX($R$6:$R$806,ROW()-5),"")</f>
        <v/>
      </c>
      <c r="B370">
        <f>IFERROR(INDEX($S$6:$S$806,ROW()-5),"")</f>
        <v/>
      </c>
      <c r="C370">
        <f>IFERROR(INDEX($W$6:$W$806,ROW()-5),"")</f>
        <v/>
      </c>
      <c r="D370" s="36">
        <f>IFERROR(B370/$B$6*100,"")</f>
        <v/>
      </c>
      <c r="E370" s="36">
        <f>IFERROR(C370/$C$6*100,"")</f>
        <v/>
      </c>
    </row>
    <row r="371">
      <c r="A371" s="23">
        <f>IFERROR(INDEX($R$6:$R$806,ROW()-5),"")</f>
        <v/>
      </c>
      <c r="B371">
        <f>IFERROR(INDEX($S$6:$S$806,ROW()-5),"")</f>
        <v/>
      </c>
      <c r="C371">
        <f>IFERROR(INDEX($W$6:$W$806,ROW()-5),"")</f>
        <v/>
      </c>
      <c r="D371" s="36">
        <f>IFERROR(B371/$B$6*100,"")</f>
        <v/>
      </c>
      <c r="E371" s="36">
        <f>IFERROR(C371/$C$6*100,"")</f>
        <v/>
      </c>
    </row>
    <row r="372">
      <c r="A372" s="23">
        <f>IFERROR(INDEX($R$6:$R$806,ROW()-5),"")</f>
        <v/>
      </c>
      <c r="B372">
        <f>IFERROR(INDEX($S$6:$S$806,ROW()-5),"")</f>
        <v/>
      </c>
      <c r="C372">
        <f>IFERROR(INDEX($W$6:$W$806,ROW()-5),"")</f>
        <v/>
      </c>
      <c r="D372" s="36">
        <f>IFERROR(B372/$B$6*100,"")</f>
        <v/>
      </c>
      <c r="E372" s="36">
        <f>IFERROR(C372/$C$6*100,"")</f>
        <v/>
      </c>
    </row>
    <row r="373">
      <c r="A373" s="23">
        <f>IFERROR(INDEX($R$6:$R$806,ROW()-5),"")</f>
        <v/>
      </c>
      <c r="B373">
        <f>IFERROR(INDEX($S$6:$S$806,ROW()-5),"")</f>
        <v/>
      </c>
      <c r="C373">
        <f>IFERROR(INDEX($W$6:$W$806,ROW()-5),"")</f>
        <v/>
      </c>
      <c r="D373" s="36">
        <f>IFERROR(B373/$B$6*100,"")</f>
        <v/>
      </c>
      <c r="E373" s="36">
        <f>IFERROR(C373/$C$6*100,"")</f>
        <v/>
      </c>
    </row>
    <row r="374">
      <c r="A374" s="23">
        <f>IFERROR(INDEX($R$6:$R$806,ROW()-5),"")</f>
        <v/>
      </c>
      <c r="B374">
        <f>IFERROR(INDEX($S$6:$S$806,ROW()-5),"")</f>
        <v/>
      </c>
      <c r="C374">
        <f>IFERROR(INDEX($W$6:$W$806,ROW()-5),"")</f>
        <v/>
      </c>
      <c r="D374" s="36">
        <f>IFERROR(B374/$B$6*100,"")</f>
        <v/>
      </c>
      <c r="E374" s="36">
        <f>IFERROR(C374/$C$6*100,"")</f>
        <v/>
      </c>
    </row>
    <row r="375">
      <c r="A375" s="23">
        <f>IFERROR(INDEX($R$6:$R$806,ROW()-5),"")</f>
        <v/>
      </c>
      <c r="B375">
        <f>IFERROR(INDEX($S$6:$S$806,ROW()-5),"")</f>
        <v/>
      </c>
      <c r="C375">
        <f>IFERROR(INDEX($W$6:$W$806,ROW()-5),"")</f>
        <v/>
      </c>
      <c r="D375" s="36">
        <f>IFERROR(B375/$B$6*100,"")</f>
        <v/>
      </c>
      <c r="E375" s="36">
        <f>IFERROR(C375/$C$6*100,"")</f>
        <v/>
      </c>
    </row>
    <row r="376">
      <c r="A376" s="23">
        <f>IFERROR(INDEX($R$6:$R$806,ROW()-5),"")</f>
        <v/>
      </c>
      <c r="B376">
        <f>IFERROR(INDEX($S$6:$S$806,ROW()-5),"")</f>
        <v/>
      </c>
      <c r="C376">
        <f>IFERROR(INDEX($W$6:$W$806,ROW()-5),"")</f>
        <v/>
      </c>
      <c r="D376" s="36">
        <f>IFERROR(B376/$B$6*100,"")</f>
        <v/>
      </c>
      <c r="E376" s="36">
        <f>IFERROR(C376/$C$6*100,"")</f>
        <v/>
      </c>
    </row>
    <row r="377">
      <c r="A377" s="23">
        <f>IFERROR(INDEX($R$6:$R$806,ROW()-5),"")</f>
        <v/>
      </c>
      <c r="B377">
        <f>IFERROR(INDEX($S$6:$S$806,ROW()-5),"")</f>
        <v/>
      </c>
      <c r="C377">
        <f>IFERROR(INDEX($W$6:$W$806,ROW()-5),"")</f>
        <v/>
      </c>
      <c r="D377" s="36">
        <f>IFERROR(B377/$B$6*100,"")</f>
        <v/>
      </c>
      <c r="E377" s="36">
        <f>IFERROR(C377/$C$6*100,"")</f>
        <v/>
      </c>
    </row>
    <row r="378">
      <c r="A378" s="23">
        <f>IFERROR(INDEX($R$6:$R$806,ROW()-5),"")</f>
        <v/>
      </c>
      <c r="B378">
        <f>IFERROR(INDEX($S$6:$S$806,ROW()-5),"")</f>
        <v/>
      </c>
      <c r="C378">
        <f>IFERROR(INDEX($W$6:$W$806,ROW()-5),"")</f>
        <v/>
      </c>
      <c r="D378" s="36">
        <f>IFERROR(B378/$B$6*100,"")</f>
        <v/>
      </c>
      <c r="E378" s="36">
        <f>IFERROR(C378/$C$6*100,"")</f>
        <v/>
      </c>
    </row>
    <row r="379">
      <c r="A379" s="23">
        <f>IFERROR(INDEX($R$6:$R$806,ROW()-5),"")</f>
        <v/>
      </c>
      <c r="B379">
        <f>IFERROR(INDEX($S$6:$S$806,ROW()-5),"")</f>
        <v/>
      </c>
      <c r="C379">
        <f>IFERROR(INDEX($W$6:$W$806,ROW()-5),"")</f>
        <v/>
      </c>
      <c r="D379" s="36">
        <f>IFERROR(B379/$B$6*100,"")</f>
        <v/>
      </c>
      <c r="E379" s="36">
        <f>IFERROR(C379/$C$6*100,"")</f>
        <v/>
      </c>
    </row>
    <row r="380">
      <c r="A380" s="23">
        <f>IFERROR(INDEX($R$6:$R$806,ROW()-5),"")</f>
        <v/>
      </c>
      <c r="B380">
        <f>IFERROR(INDEX($S$6:$S$806,ROW()-5),"")</f>
        <v/>
      </c>
      <c r="C380">
        <f>IFERROR(INDEX($W$6:$W$806,ROW()-5),"")</f>
        <v/>
      </c>
      <c r="D380" s="36">
        <f>IFERROR(B380/$B$6*100,"")</f>
        <v/>
      </c>
      <c r="E380" s="36">
        <f>IFERROR(C380/$C$6*100,"")</f>
        <v/>
      </c>
    </row>
    <row r="381">
      <c r="A381" s="23">
        <f>IFERROR(INDEX($R$6:$R$806,ROW()-5),"")</f>
        <v/>
      </c>
      <c r="B381">
        <f>IFERROR(INDEX($S$6:$S$806,ROW()-5),"")</f>
        <v/>
      </c>
      <c r="C381">
        <f>IFERROR(INDEX($W$6:$W$806,ROW()-5),"")</f>
        <v/>
      </c>
      <c r="D381" s="36">
        <f>IFERROR(B381/$B$6*100,"")</f>
        <v/>
      </c>
      <c r="E381" s="36">
        <f>IFERROR(C381/$C$6*100,"")</f>
        <v/>
      </c>
    </row>
    <row r="382">
      <c r="A382" s="23">
        <f>IFERROR(INDEX($R$6:$R$806,ROW()-5),"")</f>
        <v/>
      </c>
      <c r="B382">
        <f>IFERROR(INDEX($S$6:$S$806,ROW()-5),"")</f>
        <v/>
      </c>
      <c r="C382">
        <f>IFERROR(INDEX($W$6:$W$806,ROW()-5),"")</f>
        <v/>
      </c>
      <c r="D382" s="36">
        <f>IFERROR(B382/$B$6*100,"")</f>
        <v/>
      </c>
      <c r="E382" s="36">
        <f>IFERROR(C382/$C$6*100,"")</f>
        <v/>
      </c>
    </row>
    <row r="383">
      <c r="A383" s="23">
        <f>IFERROR(INDEX($R$6:$R$806,ROW()-5),"")</f>
        <v/>
      </c>
      <c r="B383">
        <f>IFERROR(INDEX($S$6:$S$806,ROW()-5),"")</f>
        <v/>
      </c>
      <c r="C383">
        <f>IFERROR(INDEX($W$6:$W$806,ROW()-5),"")</f>
        <v/>
      </c>
      <c r="D383" s="36">
        <f>IFERROR(B383/$B$6*100,"")</f>
        <v/>
      </c>
      <c r="E383" s="36">
        <f>IFERROR(C383/$C$6*100,"")</f>
        <v/>
      </c>
    </row>
    <row r="384">
      <c r="A384" s="23">
        <f>IFERROR(INDEX($R$6:$R$806,ROW()-5),"")</f>
        <v/>
      </c>
      <c r="B384">
        <f>IFERROR(INDEX($S$6:$S$806,ROW()-5),"")</f>
        <v/>
      </c>
      <c r="C384">
        <f>IFERROR(INDEX($W$6:$W$806,ROW()-5),"")</f>
        <v/>
      </c>
      <c r="D384" s="36">
        <f>IFERROR(B384/$B$6*100,"")</f>
        <v/>
      </c>
      <c r="E384" s="36">
        <f>IFERROR(C384/$C$6*100,"")</f>
        <v/>
      </c>
    </row>
    <row r="385">
      <c r="A385" s="23">
        <f>IFERROR(INDEX($R$6:$R$806,ROW()-5),"")</f>
        <v/>
      </c>
      <c r="B385">
        <f>IFERROR(INDEX($S$6:$S$806,ROW()-5),"")</f>
        <v/>
      </c>
      <c r="C385">
        <f>IFERROR(INDEX($W$6:$W$806,ROW()-5),"")</f>
        <v/>
      </c>
      <c r="D385" s="36">
        <f>IFERROR(B385/$B$6*100,"")</f>
        <v/>
      </c>
      <c r="E385" s="36">
        <f>IFERROR(C385/$C$6*100,"")</f>
        <v/>
      </c>
    </row>
    <row r="386">
      <c r="A386" s="23">
        <f>IFERROR(INDEX($R$6:$R$806,ROW()-5),"")</f>
        <v/>
      </c>
      <c r="B386">
        <f>IFERROR(INDEX($S$6:$S$806,ROW()-5),"")</f>
        <v/>
      </c>
      <c r="C386">
        <f>IFERROR(INDEX($W$6:$W$806,ROW()-5),"")</f>
        <v/>
      </c>
      <c r="D386" s="36">
        <f>IFERROR(B386/$B$6*100,"")</f>
        <v/>
      </c>
      <c r="E386" s="36">
        <f>IFERROR(C386/$C$6*100,"")</f>
        <v/>
      </c>
    </row>
    <row r="387">
      <c r="A387" s="23">
        <f>IFERROR(INDEX($R$6:$R$806,ROW()-5),"")</f>
        <v/>
      </c>
      <c r="B387">
        <f>IFERROR(INDEX($S$6:$S$806,ROW()-5),"")</f>
        <v/>
      </c>
      <c r="C387">
        <f>IFERROR(INDEX($W$6:$W$806,ROW()-5),"")</f>
        <v/>
      </c>
      <c r="D387" s="36">
        <f>IFERROR(B387/$B$6*100,"")</f>
        <v/>
      </c>
      <c r="E387" s="36">
        <f>IFERROR(C387/$C$6*100,"")</f>
        <v/>
      </c>
    </row>
    <row r="388">
      <c r="A388" s="23">
        <f>IFERROR(INDEX($R$6:$R$806,ROW()-5),"")</f>
        <v/>
      </c>
      <c r="B388">
        <f>IFERROR(INDEX($S$6:$S$806,ROW()-5),"")</f>
        <v/>
      </c>
      <c r="C388">
        <f>IFERROR(INDEX($W$6:$W$806,ROW()-5),"")</f>
        <v/>
      </c>
      <c r="D388" s="36">
        <f>IFERROR(B388/$B$6*100,"")</f>
        <v/>
      </c>
      <c r="E388" s="36">
        <f>IFERROR(C388/$C$6*100,"")</f>
        <v/>
      </c>
    </row>
    <row r="389">
      <c r="A389" s="23">
        <f>IFERROR(INDEX($R$6:$R$806,ROW()-5),"")</f>
        <v/>
      </c>
      <c r="B389">
        <f>IFERROR(INDEX($S$6:$S$806,ROW()-5),"")</f>
        <v/>
      </c>
      <c r="C389">
        <f>IFERROR(INDEX($W$6:$W$806,ROW()-5),"")</f>
        <v/>
      </c>
      <c r="D389" s="36">
        <f>IFERROR(B389/$B$6*100,"")</f>
        <v/>
      </c>
      <c r="E389" s="36">
        <f>IFERROR(C389/$C$6*100,"")</f>
        <v/>
      </c>
    </row>
    <row r="390">
      <c r="A390" s="23">
        <f>IFERROR(INDEX($R$6:$R$806,ROW()-5),"")</f>
        <v/>
      </c>
      <c r="B390">
        <f>IFERROR(INDEX($S$6:$S$806,ROW()-5),"")</f>
        <v/>
      </c>
      <c r="C390">
        <f>IFERROR(INDEX($W$6:$W$806,ROW()-5),"")</f>
        <v/>
      </c>
      <c r="D390" s="36">
        <f>IFERROR(B390/$B$6*100,"")</f>
        <v/>
      </c>
      <c r="E390" s="36">
        <f>IFERROR(C390/$C$6*100,"")</f>
        <v/>
      </c>
    </row>
    <row r="391">
      <c r="A391" s="23">
        <f>IFERROR(INDEX($R$6:$R$806,ROW()-5),"")</f>
        <v/>
      </c>
      <c r="B391">
        <f>IFERROR(INDEX($S$6:$S$806,ROW()-5),"")</f>
        <v/>
      </c>
      <c r="C391">
        <f>IFERROR(INDEX($W$6:$W$806,ROW()-5),"")</f>
        <v/>
      </c>
      <c r="D391" s="36">
        <f>IFERROR(B391/$B$6*100,"")</f>
        <v/>
      </c>
      <c r="E391" s="36">
        <f>IFERROR(C391/$C$6*100,"")</f>
        <v/>
      </c>
    </row>
    <row r="392">
      <c r="A392" s="23">
        <f>IFERROR(INDEX($R$6:$R$806,ROW()-5),"")</f>
        <v/>
      </c>
      <c r="B392">
        <f>IFERROR(INDEX($S$6:$S$806,ROW()-5),"")</f>
        <v/>
      </c>
      <c r="C392">
        <f>IFERROR(INDEX($W$6:$W$806,ROW()-5),"")</f>
        <v/>
      </c>
      <c r="D392" s="36">
        <f>IFERROR(B392/$B$6*100,"")</f>
        <v/>
      </c>
      <c r="E392" s="36">
        <f>IFERROR(C392/$C$6*100,"")</f>
        <v/>
      </c>
    </row>
    <row r="393">
      <c r="A393" s="23">
        <f>IFERROR(INDEX($R$6:$R$806,ROW()-5),"")</f>
        <v/>
      </c>
      <c r="B393">
        <f>IFERROR(INDEX($S$6:$S$806,ROW()-5),"")</f>
        <v/>
      </c>
      <c r="C393">
        <f>IFERROR(INDEX($W$6:$W$806,ROW()-5),"")</f>
        <v/>
      </c>
      <c r="D393" s="36">
        <f>IFERROR(B393/$B$6*100,"")</f>
        <v/>
      </c>
      <c r="E393" s="36">
        <f>IFERROR(C393/$C$6*100,"")</f>
        <v/>
      </c>
    </row>
    <row r="394">
      <c r="A394" s="23">
        <f>IFERROR(INDEX($R$6:$R$806,ROW()-5),"")</f>
        <v/>
      </c>
      <c r="B394">
        <f>IFERROR(INDEX($S$6:$S$806,ROW()-5),"")</f>
        <v/>
      </c>
      <c r="C394">
        <f>IFERROR(INDEX($W$6:$W$806,ROW()-5),"")</f>
        <v/>
      </c>
      <c r="D394" s="36">
        <f>IFERROR(B394/$B$6*100,"")</f>
        <v/>
      </c>
      <c r="E394" s="36">
        <f>IFERROR(C394/$C$6*100,"")</f>
        <v/>
      </c>
    </row>
    <row r="395">
      <c r="A395" s="23">
        <f>IFERROR(INDEX($R$6:$R$806,ROW()-5),"")</f>
        <v/>
      </c>
      <c r="B395">
        <f>IFERROR(INDEX($S$6:$S$806,ROW()-5),"")</f>
        <v/>
      </c>
      <c r="C395">
        <f>IFERROR(INDEX($W$6:$W$806,ROW()-5),"")</f>
        <v/>
      </c>
      <c r="D395" s="36">
        <f>IFERROR(B395/$B$6*100,"")</f>
        <v/>
      </c>
      <c r="E395" s="36">
        <f>IFERROR(C395/$C$6*100,"")</f>
        <v/>
      </c>
    </row>
    <row r="396">
      <c r="A396" s="23">
        <f>IFERROR(INDEX($R$6:$R$806,ROW()-5),"")</f>
        <v/>
      </c>
      <c r="B396">
        <f>IFERROR(INDEX($S$6:$S$806,ROW()-5),"")</f>
        <v/>
      </c>
      <c r="C396">
        <f>IFERROR(INDEX($W$6:$W$806,ROW()-5),"")</f>
        <v/>
      </c>
      <c r="D396" s="36">
        <f>IFERROR(B396/$B$6*100,"")</f>
        <v/>
      </c>
      <c r="E396" s="36">
        <f>IFERROR(C396/$C$6*100,"")</f>
        <v/>
      </c>
    </row>
    <row r="397">
      <c r="A397" s="23">
        <f>IFERROR(INDEX($R$6:$R$806,ROW()-5),"")</f>
        <v/>
      </c>
      <c r="B397">
        <f>IFERROR(INDEX($S$6:$S$806,ROW()-5),"")</f>
        <v/>
      </c>
      <c r="C397">
        <f>IFERROR(INDEX($W$6:$W$806,ROW()-5),"")</f>
        <v/>
      </c>
      <c r="D397" s="36">
        <f>IFERROR(B397/$B$6*100,"")</f>
        <v/>
      </c>
      <c r="E397" s="36">
        <f>IFERROR(C397/$C$6*100,"")</f>
        <v/>
      </c>
    </row>
    <row r="398">
      <c r="A398" s="23">
        <f>IFERROR(INDEX($R$6:$R$806,ROW()-5),"")</f>
        <v/>
      </c>
      <c r="B398">
        <f>IFERROR(INDEX($S$6:$S$806,ROW()-5),"")</f>
        <v/>
      </c>
      <c r="C398">
        <f>IFERROR(INDEX($W$6:$W$806,ROW()-5),"")</f>
        <v/>
      </c>
      <c r="D398" s="36">
        <f>IFERROR(B398/$B$6*100,"")</f>
        <v/>
      </c>
      <c r="E398" s="36">
        <f>IFERROR(C398/$C$6*100,"")</f>
        <v/>
      </c>
    </row>
    <row r="399">
      <c r="A399" s="23">
        <f>IFERROR(INDEX($R$6:$R$806,ROW()-5),"")</f>
        <v/>
      </c>
      <c r="B399">
        <f>IFERROR(INDEX($S$6:$S$806,ROW()-5),"")</f>
        <v/>
      </c>
      <c r="C399">
        <f>IFERROR(INDEX($W$6:$W$806,ROW()-5),"")</f>
        <v/>
      </c>
      <c r="D399" s="36">
        <f>IFERROR(B399/$B$6*100,"")</f>
        <v/>
      </c>
      <c r="E399" s="36">
        <f>IFERROR(C399/$C$6*100,"")</f>
        <v/>
      </c>
    </row>
    <row r="400">
      <c r="A400" s="23">
        <f>IFERROR(INDEX($R$6:$R$806,ROW()-5),"")</f>
        <v/>
      </c>
      <c r="B400">
        <f>IFERROR(INDEX($S$6:$S$806,ROW()-5),"")</f>
        <v/>
      </c>
      <c r="C400">
        <f>IFERROR(INDEX($W$6:$W$806,ROW()-5),"")</f>
        <v/>
      </c>
      <c r="D400" s="36">
        <f>IFERROR(B400/$B$6*100,"")</f>
        <v/>
      </c>
      <c r="E400" s="36">
        <f>IFERROR(C400/$C$6*100,"")</f>
        <v/>
      </c>
    </row>
    <row r="401">
      <c r="A401" s="23">
        <f>IFERROR(INDEX($R$6:$R$806,ROW()-5),"")</f>
        <v/>
      </c>
      <c r="B401">
        <f>IFERROR(INDEX($S$6:$S$806,ROW()-5),"")</f>
        <v/>
      </c>
      <c r="C401">
        <f>IFERROR(INDEX($W$6:$W$806,ROW()-5),"")</f>
        <v/>
      </c>
      <c r="D401" s="36">
        <f>IFERROR(B401/$B$6*100,"")</f>
        <v/>
      </c>
      <c r="E401" s="36">
        <f>IFERROR(C401/$C$6*100,"")</f>
        <v/>
      </c>
    </row>
    <row r="402">
      <c r="A402" s="23">
        <f>IFERROR(INDEX($R$6:$R$806,ROW()-5),"")</f>
        <v/>
      </c>
      <c r="B402">
        <f>IFERROR(INDEX($S$6:$S$806,ROW()-5),"")</f>
        <v/>
      </c>
      <c r="C402">
        <f>IFERROR(INDEX($W$6:$W$806,ROW()-5),"")</f>
        <v/>
      </c>
      <c r="D402" s="36">
        <f>IFERROR(B402/$B$6*100,"")</f>
        <v/>
      </c>
      <c r="E402" s="36">
        <f>IFERROR(C402/$C$6*100,"")</f>
        <v/>
      </c>
    </row>
    <row r="403">
      <c r="A403" s="23">
        <f>IFERROR(INDEX($R$6:$R$806,ROW()-5),"")</f>
        <v/>
      </c>
      <c r="B403">
        <f>IFERROR(INDEX($S$6:$S$806,ROW()-5),"")</f>
        <v/>
      </c>
      <c r="C403">
        <f>IFERROR(INDEX($W$6:$W$806,ROW()-5),"")</f>
        <v/>
      </c>
      <c r="D403" s="36">
        <f>IFERROR(B403/$B$6*100,"")</f>
        <v/>
      </c>
      <c r="E403" s="36">
        <f>IFERROR(C403/$C$6*100,"")</f>
        <v/>
      </c>
    </row>
    <row r="404">
      <c r="A404" s="23">
        <f>IFERROR(INDEX($R$6:$R$806,ROW()-5),"")</f>
        <v/>
      </c>
      <c r="B404">
        <f>IFERROR(INDEX($S$6:$S$806,ROW()-5),"")</f>
        <v/>
      </c>
      <c r="C404">
        <f>IFERROR(INDEX($W$6:$W$806,ROW()-5),"")</f>
        <v/>
      </c>
      <c r="D404" s="36">
        <f>IFERROR(B404/$B$6*100,"")</f>
        <v/>
      </c>
      <c r="E404" s="36">
        <f>IFERROR(C404/$C$6*100,"")</f>
        <v/>
      </c>
    </row>
    <row r="405">
      <c r="A405" s="23">
        <f>IFERROR(INDEX($R$6:$R$806,ROW()-5),"")</f>
        <v/>
      </c>
      <c r="B405">
        <f>IFERROR(INDEX($S$6:$S$806,ROW()-5),"")</f>
        <v/>
      </c>
      <c r="C405">
        <f>IFERROR(INDEX($W$6:$W$806,ROW()-5),"")</f>
        <v/>
      </c>
      <c r="D405" s="36">
        <f>IFERROR(B405/$B$6*100,"")</f>
        <v/>
      </c>
      <c r="E405" s="36">
        <f>IFERROR(C405/$C$6*100,"")</f>
        <v/>
      </c>
    </row>
    <row r="406">
      <c r="A406" s="23">
        <f>IFERROR(INDEX($R$6:$R$806,ROW()-5),"")</f>
        <v/>
      </c>
      <c r="B406">
        <f>IFERROR(INDEX($S$6:$S$806,ROW()-5),"")</f>
        <v/>
      </c>
      <c r="C406">
        <f>IFERROR(INDEX($W$6:$W$806,ROW()-5),"")</f>
        <v/>
      </c>
      <c r="D406" s="36">
        <f>IFERROR(B406/$B$6*100,"")</f>
        <v/>
      </c>
      <c r="E406" s="36">
        <f>IFERROR(C406/$C$6*100,"")</f>
        <v/>
      </c>
    </row>
    <row r="407">
      <c r="A407" s="23">
        <f>IFERROR(INDEX($R$6:$R$806,ROW()-5),"")</f>
        <v/>
      </c>
      <c r="B407">
        <f>IFERROR(INDEX($S$6:$S$806,ROW()-5),"")</f>
        <v/>
      </c>
      <c r="C407">
        <f>IFERROR(INDEX($W$6:$W$806,ROW()-5),"")</f>
        <v/>
      </c>
      <c r="D407" s="36">
        <f>IFERROR(B407/$B$6*100,"")</f>
        <v/>
      </c>
      <c r="E407" s="36">
        <f>IFERROR(C407/$C$6*100,"")</f>
        <v/>
      </c>
    </row>
    <row r="408">
      <c r="A408" s="23">
        <f>IFERROR(INDEX($R$6:$R$806,ROW()-5),"")</f>
        <v/>
      </c>
      <c r="B408">
        <f>IFERROR(INDEX($S$6:$S$806,ROW()-5),"")</f>
        <v/>
      </c>
      <c r="C408">
        <f>IFERROR(INDEX($W$6:$W$806,ROW()-5),"")</f>
        <v/>
      </c>
      <c r="D408" s="36">
        <f>IFERROR(B408/$B$6*100,"")</f>
        <v/>
      </c>
      <c r="E408" s="36">
        <f>IFERROR(C408/$C$6*100,"")</f>
        <v/>
      </c>
    </row>
    <row r="409">
      <c r="A409" s="23">
        <f>IFERROR(INDEX($R$6:$R$806,ROW()-5),"")</f>
        <v/>
      </c>
      <c r="B409">
        <f>IFERROR(INDEX($S$6:$S$806,ROW()-5),"")</f>
        <v/>
      </c>
      <c r="C409">
        <f>IFERROR(INDEX($W$6:$W$806,ROW()-5),"")</f>
        <v/>
      </c>
      <c r="D409" s="36">
        <f>IFERROR(B409/$B$6*100,"")</f>
        <v/>
      </c>
      <c r="E409" s="36">
        <f>IFERROR(C409/$C$6*100,"")</f>
        <v/>
      </c>
    </row>
    <row r="410">
      <c r="A410" s="23">
        <f>IFERROR(INDEX($R$6:$R$806,ROW()-5),"")</f>
        <v/>
      </c>
      <c r="B410">
        <f>IFERROR(INDEX($S$6:$S$806,ROW()-5),"")</f>
        <v/>
      </c>
      <c r="C410">
        <f>IFERROR(INDEX($W$6:$W$806,ROW()-5),"")</f>
        <v/>
      </c>
      <c r="D410" s="36">
        <f>IFERROR(B410/$B$6*100,"")</f>
        <v/>
      </c>
      <c r="E410" s="36">
        <f>IFERROR(C410/$C$6*100,"")</f>
        <v/>
      </c>
    </row>
    <row r="411">
      <c r="A411" s="23">
        <f>IFERROR(INDEX($R$6:$R$806,ROW()-5),"")</f>
        <v/>
      </c>
      <c r="B411">
        <f>IFERROR(INDEX($S$6:$S$806,ROW()-5),"")</f>
        <v/>
      </c>
      <c r="C411">
        <f>IFERROR(INDEX($W$6:$W$806,ROW()-5),"")</f>
        <v/>
      </c>
      <c r="D411" s="36">
        <f>IFERROR(B411/$B$6*100,"")</f>
        <v/>
      </c>
      <c r="E411" s="36">
        <f>IFERROR(C411/$C$6*100,"")</f>
        <v/>
      </c>
    </row>
    <row r="412">
      <c r="A412" s="23">
        <f>IFERROR(INDEX($R$6:$R$806,ROW()-5),"")</f>
        <v/>
      </c>
      <c r="B412">
        <f>IFERROR(INDEX($S$6:$S$806,ROW()-5),"")</f>
        <v/>
      </c>
      <c r="C412">
        <f>IFERROR(INDEX($W$6:$W$806,ROW()-5),"")</f>
        <v/>
      </c>
      <c r="D412" s="36">
        <f>IFERROR(B412/$B$6*100,"")</f>
        <v/>
      </c>
      <c r="E412" s="36">
        <f>IFERROR(C412/$C$6*100,"")</f>
        <v/>
      </c>
    </row>
    <row r="413">
      <c r="A413" s="23">
        <f>IFERROR(INDEX($R$6:$R$806,ROW()-5),"")</f>
        <v/>
      </c>
      <c r="B413">
        <f>IFERROR(INDEX($S$6:$S$806,ROW()-5),"")</f>
        <v/>
      </c>
      <c r="C413">
        <f>IFERROR(INDEX($W$6:$W$806,ROW()-5),"")</f>
        <v/>
      </c>
      <c r="D413" s="36">
        <f>IFERROR(B413/$B$6*100,"")</f>
        <v/>
      </c>
      <c r="E413" s="36">
        <f>IFERROR(C413/$C$6*100,"")</f>
        <v/>
      </c>
    </row>
    <row r="414">
      <c r="A414" s="23">
        <f>IFERROR(INDEX($R$6:$R$806,ROW()-5),"")</f>
        <v/>
      </c>
      <c r="B414">
        <f>IFERROR(INDEX($S$6:$S$806,ROW()-5),"")</f>
        <v/>
      </c>
      <c r="C414">
        <f>IFERROR(INDEX($W$6:$W$806,ROW()-5),"")</f>
        <v/>
      </c>
      <c r="D414" s="36">
        <f>IFERROR(B414/$B$6*100,"")</f>
        <v/>
      </c>
      <c r="E414" s="36">
        <f>IFERROR(C414/$C$6*100,"")</f>
        <v/>
      </c>
    </row>
    <row r="415">
      <c r="A415" s="23">
        <f>IFERROR(INDEX($R$6:$R$806,ROW()-5),"")</f>
        <v/>
      </c>
      <c r="B415">
        <f>IFERROR(INDEX($S$6:$S$806,ROW()-5),"")</f>
        <v/>
      </c>
      <c r="C415">
        <f>IFERROR(INDEX($W$6:$W$806,ROW()-5),"")</f>
        <v/>
      </c>
      <c r="D415" s="36">
        <f>IFERROR(B415/$B$6*100,"")</f>
        <v/>
      </c>
      <c r="E415" s="36">
        <f>IFERROR(C415/$C$6*100,"")</f>
        <v/>
      </c>
    </row>
    <row r="416">
      <c r="A416" s="23">
        <f>IFERROR(INDEX($R$6:$R$806,ROW()-5),"")</f>
        <v/>
      </c>
      <c r="B416">
        <f>IFERROR(INDEX($S$6:$S$806,ROW()-5),"")</f>
        <v/>
      </c>
      <c r="C416">
        <f>IFERROR(INDEX($W$6:$W$806,ROW()-5),"")</f>
        <v/>
      </c>
      <c r="D416" s="36">
        <f>IFERROR(B416/$B$6*100,"")</f>
        <v/>
      </c>
      <c r="E416" s="36">
        <f>IFERROR(C416/$C$6*100,"")</f>
        <v/>
      </c>
    </row>
    <row r="417">
      <c r="A417" s="23">
        <f>IFERROR(INDEX($R$6:$R$806,ROW()-5),"")</f>
        <v/>
      </c>
      <c r="B417">
        <f>IFERROR(INDEX($S$6:$S$806,ROW()-5),"")</f>
        <v/>
      </c>
      <c r="C417">
        <f>IFERROR(INDEX($W$6:$W$806,ROW()-5),"")</f>
        <v/>
      </c>
      <c r="D417" s="36">
        <f>IFERROR(B417/$B$6*100,"")</f>
        <v/>
      </c>
      <c r="E417" s="36">
        <f>IFERROR(C417/$C$6*100,"")</f>
        <v/>
      </c>
    </row>
    <row r="418">
      <c r="A418" s="23">
        <f>IFERROR(INDEX($R$6:$R$806,ROW()-5),"")</f>
        <v/>
      </c>
      <c r="B418">
        <f>IFERROR(INDEX($S$6:$S$806,ROW()-5),"")</f>
        <v/>
      </c>
      <c r="C418">
        <f>IFERROR(INDEX($W$6:$W$806,ROW()-5),"")</f>
        <v/>
      </c>
      <c r="D418" s="36">
        <f>IFERROR(B418/$B$6*100,"")</f>
        <v/>
      </c>
      <c r="E418" s="36">
        <f>IFERROR(C418/$C$6*100,"")</f>
        <v/>
      </c>
    </row>
    <row r="419">
      <c r="A419" s="23">
        <f>IFERROR(INDEX($R$6:$R$806,ROW()-5),"")</f>
        <v/>
      </c>
      <c r="B419">
        <f>IFERROR(INDEX($S$6:$S$806,ROW()-5),"")</f>
        <v/>
      </c>
      <c r="C419">
        <f>IFERROR(INDEX($W$6:$W$806,ROW()-5),"")</f>
        <v/>
      </c>
      <c r="D419" s="36">
        <f>IFERROR(B419/$B$6*100,"")</f>
        <v/>
      </c>
      <c r="E419" s="36">
        <f>IFERROR(C419/$C$6*100,"")</f>
        <v/>
      </c>
    </row>
    <row r="420">
      <c r="A420" s="23">
        <f>IFERROR(INDEX($R$6:$R$806,ROW()-5),"")</f>
        <v/>
      </c>
      <c r="B420">
        <f>IFERROR(INDEX($S$6:$S$806,ROW()-5),"")</f>
        <v/>
      </c>
      <c r="C420">
        <f>IFERROR(INDEX($W$6:$W$806,ROW()-5),"")</f>
        <v/>
      </c>
      <c r="D420" s="36">
        <f>IFERROR(B420/$B$6*100,"")</f>
        <v/>
      </c>
      <c r="E420" s="36">
        <f>IFERROR(C420/$C$6*100,"")</f>
        <v/>
      </c>
    </row>
    <row r="421">
      <c r="A421" s="23">
        <f>IFERROR(INDEX($R$6:$R$806,ROW()-5),"")</f>
        <v/>
      </c>
      <c r="B421">
        <f>IFERROR(INDEX($S$6:$S$806,ROW()-5),"")</f>
        <v/>
      </c>
      <c r="C421">
        <f>IFERROR(INDEX($W$6:$W$806,ROW()-5),"")</f>
        <v/>
      </c>
      <c r="D421" s="36">
        <f>IFERROR(B421/$B$6*100,"")</f>
        <v/>
      </c>
      <c r="E421" s="36">
        <f>IFERROR(C421/$C$6*100,"")</f>
        <v/>
      </c>
    </row>
    <row r="422">
      <c r="A422" s="23">
        <f>IFERROR(INDEX($R$6:$R$806,ROW()-5),"")</f>
        <v/>
      </c>
      <c r="B422">
        <f>IFERROR(INDEX($S$6:$S$806,ROW()-5),"")</f>
        <v/>
      </c>
      <c r="C422">
        <f>IFERROR(INDEX($W$6:$W$806,ROW()-5),"")</f>
        <v/>
      </c>
      <c r="D422" s="36">
        <f>IFERROR(B422/$B$6*100,"")</f>
        <v/>
      </c>
      <c r="E422" s="36">
        <f>IFERROR(C422/$C$6*100,"")</f>
        <v/>
      </c>
    </row>
    <row r="423">
      <c r="A423" s="23">
        <f>IFERROR(INDEX($R$6:$R$806,ROW()-5),"")</f>
        <v/>
      </c>
      <c r="B423">
        <f>IFERROR(INDEX($S$6:$S$806,ROW()-5),"")</f>
        <v/>
      </c>
      <c r="C423">
        <f>IFERROR(INDEX($W$6:$W$806,ROW()-5),"")</f>
        <v/>
      </c>
      <c r="D423" s="36">
        <f>IFERROR(B423/$B$6*100,"")</f>
        <v/>
      </c>
      <c r="E423" s="36">
        <f>IFERROR(C423/$C$6*100,"")</f>
        <v/>
      </c>
    </row>
    <row r="424">
      <c r="A424" s="23">
        <f>IFERROR(INDEX($R$6:$R$806,ROW()-5),"")</f>
        <v/>
      </c>
      <c r="B424">
        <f>IFERROR(INDEX($S$6:$S$806,ROW()-5),"")</f>
        <v/>
      </c>
      <c r="C424">
        <f>IFERROR(INDEX($W$6:$W$806,ROW()-5),"")</f>
        <v/>
      </c>
      <c r="D424" s="36">
        <f>IFERROR(B424/$B$6*100,"")</f>
        <v/>
      </c>
      <c r="E424" s="36">
        <f>IFERROR(C424/$C$6*100,"")</f>
        <v/>
      </c>
    </row>
    <row r="425">
      <c r="A425" s="23">
        <f>IFERROR(INDEX($R$6:$R$806,ROW()-5),"")</f>
        <v/>
      </c>
      <c r="B425">
        <f>IFERROR(INDEX($S$6:$S$806,ROW()-5),"")</f>
        <v/>
      </c>
      <c r="C425">
        <f>IFERROR(INDEX($W$6:$W$806,ROW()-5),"")</f>
        <v/>
      </c>
      <c r="D425" s="36">
        <f>IFERROR(B425/$B$6*100,"")</f>
        <v/>
      </c>
      <c r="E425" s="36">
        <f>IFERROR(C425/$C$6*100,"")</f>
        <v/>
      </c>
    </row>
    <row r="426">
      <c r="A426" s="23">
        <f>IFERROR(INDEX($R$6:$R$806,ROW()-5),"")</f>
        <v/>
      </c>
      <c r="B426">
        <f>IFERROR(INDEX($S$6:$S$806,ROW()-5),"")</f>
        <v/>
      </c>
      <c r="C426">
        <f>IFERROR(INDEX($W$6:$W$806,ROW()-5),"")</f>
        <v/>
      </c>
      <c r="D426" s="36">
        <f>IFERROR(B426/$B$6*100,"")</f>
        <v/>
      </c>
      <c r="E426" s="36">
        <f>IFERROR(C426/$C$6*100,"")</f>
        <v/>
      </c>
    </row>
    <row r="427">
      <c r="A427" s="23">
        <f>IFERROR(INDEX($R$6:$R$806,ROW()-5),"")</f>
        <v/>
      </c>
      <c r="B427">
        <f>IFERROR(INDEX($S$6:$S$806,ROW()-5),"")</f>
        <v/>
      </c>
      <c r="C427">
        <f>IFERROR(INDEX($W$6:$W$806,ROW()-5),"")</f>
        <v/>
      </c>
      <c r="D427" s="36">
        <f>IFERROR(B427/$B$6*100,"")</f>
        <v/>
      </c>
      <c r="E427" s="36">
        <f>IFERROR(C427/$C$6*100,"")</f>
        <v/>
      </c>
    </row>
    <row r="428">
      <c r="A428" s="23">
        <f>IFERROR(INDEX($R$6:$R$806,ROW()-5),"")</f>
        <v/>
      </c>
      <c r="B428">
        <f>IFERROR(INDEX($S$6:$S$806,ROW()-5),"")</f>
        <v/>
      </c>
      <c r="C428">
        <f>IFERROR(INDEX($W$6:$W$806,ROW()-5),"")</f>
        <v/>
      </c>
      <c r="D428" s="36">
        <f>IFERROR(B428/$B$6*100,"")</f>
        <v/>
      </c>
      <c r="E428" s="36">
        <f>IFERROR(C428/$C$6*100,"")</f>
        <v/>
      </c>
    </row>
    <row r="429">
      <c r="A429" s="23">
        <f>IFERROR(INDEX($R$6:$R$806,ROW()-5),"")</f>
        <v/>
      </c>
      <c r="B429">
        <f>IFERROR(INDEX($S$6:$S$806,ROW()-5),"")</f>
        <v/>
      </c>
      <c r="C429">
        <f>IFERROR(INDEX($W$6:$W$806,ROW()-5),"")</f>
        <v/>
      </c>
      <c r="D429" s="36">
        <f>IFERROR(B429/$B$6*100,"")</f>
        <v/>
      </c>
      <c r="E429" s="36">
        <f>IFERROR(C429/$C$6*100,"")</f>
        <v/>
      </c>
    </row>
    <row r="430">
      <c r="A430" s="23">
        <f>IFERROR(INDEX($R$6:$R$806,ROW()-5),"")</f>
        <v/>
      </c>
      <c r="B430">
        <f>IFERROR(INDEX($S$6:$S$806,ROW()-5),"")</f>
        <v/>
      </c>
      <c r="C430">
        <f>IFERROR(INDEX($W$6:$W$806,ROW()-5),"")</f>
        <v/>
      </c>
      <c r="D430" s="36">
        <f>IFERROR(B430/$B$6*100,"")</f>
        <v/>
      </c>
      <c r="E430" s="36">
        <f>IFERROR(C430/$C$6*100,"")</f>
        <v/>
      </c>
    </row>
    <row r="431">
      <c r="A431" s="23">
        <f>IFERROR(INDEX($R$6:$R$806,ROW()-5),"")</f>
        <v/>
      </c>
      <c r="B431">
        <f>IFERROR(INDEX($S$6:$S$806,ROW()-5),"")</f>
        <v/>
      </c>
      <c r="C431">
        <f>IFERROR(INDEX($W$6:$W$806,ROW()-5),"")</f>
        <v/>
      </c>
      <c r="D431" s="36">
        <f>IFERROR(B431/$B$6*100,"")</f>
        <v/>
      </c>
      <c r="E431" s="36">
        <f>IFERROR(C431/$C$6*100,"")</f>
        <v/>
      </c>
    </row>
    <row r="432">
      <c r="A432" s="23">
        <f>IFERROR(INDEX($R$6:$R$806,ROW()-5),"")</f>
        <v/>
      </c>
      <c r="B432">
        <f>IFERROR(INDEX($S$6:$S$806,ROW()-5),"")</f>
        <v/>
      </c>
      <c r="C432">
        <f>IFERROR(INDEX($W$6:$W$806,ROW()-5),"")</f>
        <v/>
      </c>
      <c r="D432" s="36">
        <f>IFERROR(B432/$B$6*100,"")</f>
        <v/>
      </c>
      <c r="E432" s="36">
        <f>IFERROR(C432/$C$6*100,"")</f>
        <v/>
      </c>
    </row>
    <row r="433">
      <c r="A433" s="23">
        <f>IFERROR(INDEX($R$6:$R$806,ROW()-5),"")</f>
        <v/>
      </c>
      <c r="B433">
        <f>IFERROR(INDEX($S$6:$S$806,ROW()-5),"")</f>
        <v/>
      </c>
      <c r="C433">
        <f>IFERROR(INDEX($W$6:$W$806,ROW()-5),"")</f>
        <v/>
      </c>
      <c r="D433" s="36">
        <f>IFERROR(B433/$B$6*100,"")</f>
        <v/>
      </c>
      <c r="E433" s="36">
        <f>IFERROR(C433/$C$6*100,"")</f>
        <v/>
      </c>
    </row>
    <row r="434">
      <c r="A434" s="23">
        <f>IFERROR(INDEX($R$6:$R$806,ROW()-5),"")</f>
        <v/>
      </c>
      <c r="B434">
        <f>IFERROR(INDEX($S$6:$S$806,ROW()-5),"")</f>
        <v/>
      </c>
      <c r="C434">
        <f>IFERROR(INDEX($W$6:$W$806,ROW()-5),"")</f>
        <v/>
      </c>
      <c r="D434" s="36">
        <f>IFERROR(B434/$B$6*100,"")</f>
        <v/>
      </c>
      <c r="E434" s="36">
        <f>IFERROR(C434/$C$6*100,"")</f>
        <v/>
      </c>
    </row>
    <row r="435">
      <c r="A435" s="23">
        <f>IFERROR(INDEX($R$6:$R$806,ROW()-5),"")</f>
        <v/>
      </c>
      <c r="B435">
        <f>IFERROR(INDEX($S$6:$S$806,ROW()-5),"")</f>
        <v/>
      </c>
      <c r="C435">
        <f>IFERROR(INDEX($W$6:$W$806,ROW()-5),"")</f>
        <v/>
      </c>
      <c r="D435" s="36">
        <f>IFERROR(B435/$B$6*100,"")</f>
        <v/>
      </c>
      <c r="E435" s="36">
        <f>IFERROR(C435/$C$6*100,"")</f>
        <v/>
      </c>
    </row>
    <row r="436">
      <c r="A436" s="23">
        <f>IFERROR(INDEX($R$6:$R$806,ROW()-5),"")</f>
        <v/>
      </c>
      <c r="B436">
        <f>IFERROR(INDEX($S$6:$S$806,ROW()-5),"")</f>
        <v/>
      </c>
      <c r="C436">
        <f>IFERROR(INDEX($W$6:$W$806,ROW()-5),"")</f>
        <v/>
      </c>
      <c r="D436" s="36">
        <f>IFERROR(B436/$B$6*100,"")</f>
        <v/>
      </c>
      <c r="E436" s="36">
        <f>IFERROR(C436/$C$6*100,"")</f>
        <v/>
      </c>
    </row>
    <row r="437">
      <c r="A437" s="23">
        <f>IFERROR(INDEX($R$6:$R$806,ROW()-5),"")</f>
        <v/>
      </c>
      <c r="B437">
        <f>IFERROR(INDEX($S$6:$S$806,ROW()-5),"")</f>
        <v/>
      </c>
      <c r="C437">
        <f>IFERROR(INDEX($W$6:$W$806,ROW()-5),"")</f>
        <v/>
      </c>
      <c r="D437" s="36">
        <f>IFERROR(B437/$B$6*100,"")</f>
        <v/>
      </c>
      <c r="E437" s="36">
        <f>IFERROR(C437/$C$6*100,"")</f>
        <v/>
      </c>
    </row>
    <row r="438">
      <c r="A438" s="23">
        <f>IFERROR(INDEX($R$6:$R$806,ROW()-5),"")</f>
        <v/>
      </c>
      <c r="B438">
        <f>IFERROR(INDEX($S$6:$S$806,ROW()-5),"")</f>
        <v/>
      </c>
      <c r="C438">
        <f>IFERROR(INDEX($W$6:$W$806,ROW()-5),"")</f>
        <v/>
      </c>
      <c r="D438" s="36">
        <f>IFERROR(B438/$B$6*100,"")</f>
        <v/>
      </c>
      <c r="E438" s="36">
        <f>IFERROR(C438/$C$6*100,"")</f>
        <v/>
      </c>
    </row>
    <row r="439">
      <c r="A439" s="23">
        <f>IFERROR(INDEX($R$6:$R$806,ROW()-5),"")</f>
        <v/>
      </c>
      <c r="B439">
        <f>IFERROR(INDEX($S$6:$S$806,ROW()-5),"")</f>
        <v/>
      </c>
      <c r="C439">
        <f>IFERROR(INDEX($W$6:$W$806,ROW()-5),"")</f>
        <v/>
      </c>
      <c r="D439" s="36">
        <f>IFERROR(B439/$B$6*100,"")</f>
        <v/>
      </c>
      <c r="E439" s="36">
        <f>IFERROR(C439/$C$6*100,"")</f>
        <v/>
      </c>
    </row>
    <row r="440">
      <c r="A440" s="23">
        <f>IFERROR(INDEX($R$6:$R$806,ROW()-5),"")</f>
        <v/>
      </c>
      <c r="B440">
        <f>IFERROR(INDEX($S$6:$S$806,ROW()-5),"")</f>
        <v/>
      </c>
      <c r="C440">
        <f>IFERROR(INDEX($W$6:$W$806,ROW()-5),"")</f>
        <v/>
      </c>
      <c r="D440" s="36">
        <f>IFERROR(B440/$B$6*100,"")</f>
        <v/>
      </c>
      <c r="E440" s="36">
        <f>IFERROR(C440/$C$6*100,"")</f>
        <v/>
      </c>
    </row>
    <row r="441">
      <c r="A441" s="23">
        <f>IFERROR(INDEX($R$6:$R$806,ROW()-5),"")</f>
        <v/>
      </c>
      <c r="B441">
        <f>IFERROR(INDEX($S$6:$S$806,ROW()-5),"")</f>
        <v/>
      </c>
      <c r="C441">
        <f>IFERROR(INDEX($W$6:$W$806,ROW()-5),"")</f>
        <v/>
      </c>
      <c r="D441" s="36">
        <f>IFERROR(B441/$B$6*100,"")</f>
        <v/>
      </c>
      <c r="E441" s="36">
        <f>IFERROR(C441/$C$6*100,"")</f>
        <v/>
      </c>
    </row>
    <row r="442">
      <c r="A442" s="23">
        <f>IFERROR(INDEX($R$6:$R$806,ROW()-5),"")</f>
        <v/>
      </c>
      <c r="B442">
        <f>IFERROR(INDEX($S$6:$S$806,ROW()-5),"")</f>
        <v/>
      </c>
      <c r="C442">
        <f>IFERROR(INDEX($W$6:$W$806,ROW()-5),"")</f>
        <v/>
      </c>
      <c r="D442" s="36">
        <f>IFERROR(B442/$B$6*100,"")</f>
        <v/>
      </c>
      <c r="E442" s="36">
        <f>IFERROR(C442/$C$6*100,"")</f>
        <v/>
      </c>
    </row>
    <row r="443">
      <c r="A443" s="23">
        <f>IFERROR(INDEX($R$6:$R$806,ROW()-5),"")</f>
        <v/>
      </c>
      <c r="B443">
        <f>IFERROR(INDEX($S$6:$S$806,ROW()-5),"")</f>
        <v/>
      </c>
      <c r="C443">
        <f>IFERROR(INDEX($W$6:$W$806,ROW()-5),"")</f>
        <v/>
      </c>
      <c r="D443" s="36">
        <f>IFERROR(B443/$B$6*100,"")</f>
        <v/>
      </c>
      <c r="E443" s="36">
        <f>IFERROR(C443/$C$6*100,"")</f>
        <v/>
      </c>
    </row>
    <row r="444">
      <c r="A444" s="23">
        <f>IFERROR(INDEX($R$6:$R$806,ROW()-5),"")</f>
        <v/>
      </c>
      <c r="B444">
        <f>IFERROR(INDEX($S$6:$S$806,ROW()-5),"")</f>
        <v/>
      </c>
      <c r="C444">
        <f>IFERROR(INDEX($W$6:$W$806,ROW()-5),"")</f>
        <v/>
      </c>
      <c r="D444" s="36">
        <f>IFERROR(B444/$B$6*100,"")</f>
        <v/>
      </c>
      <c r="E444" s="36">
        <f>IFERROR(C444/$C$6*100,"")</f>
        <v/>
      </c>
    </row>
    <row r="445">
      <c r="A445" s="23">
        <f>IFERROR(INDEX($R$6:$R$806,ROW()-5),"")</f>
        <v/>
      </c>
      <c r="B445">
        <f>IFERROR(INDEX($S$6:$S$806,ROW()-5),"")</f>
        <v/>
      </c>
      <c r="C445">
        <f>IFERROR(INDEX($W$6:$W$806,ROW()-5),"")</f>
        <v/>
      </c>
      <c r="D445" s="36">
        <f>IFERROR(B445/$B$6*100,"")</f>
        <v/>
      </c>
      <c r="E445" s="36">
        <f>IFERROR(C445/$C$6*100,"")</f>
        <v/>
      </c>
    </row>
    <row r="446">
      <c r="A446" s="23">
        <f>IFERROR(INDEX($R$6:$R$806,ROW()-5),"")</f>
        <v/>
      </c>
      <c r="B446">
        <f>IFERROR(INDEX($S$6:$S$806,ROW()-5),"")</f>
        <v/>
      </c>
      <c r="C446">
        <f>IFERROR(INDEX($W$6:$W$806,ROW()-5),"")</f>
        <v/>
      </c>
      <c r="D446" s="36">
        <f>IFERROR(B446/$B$6*100,"")</f>
        <v/>
      </c>
      <c r="E446" s="36">
        <f>IFERROR(C446/$C$6*100,"")</f>
        <v/>
      </c>
    </row>
    <row r="447">
      <c r="A447" s="23">
        <f>IFERROR(INDEX($R$6:$R$806,ROW()-5),"")</f>
        <v/>
      </c>
      <c r="B447">
        <f>IFERROR(INDEX($S$6:$S$806,ROW()-5),"")</f>
        <v/>
      </c>
      <c r="C447">
        <f>IFERROR(INDEX($W$6:$W$806,ROW()-5),"")</f>
        <v/>
      </c>
      <c r="D447" s="36">
        <f>IFERROR(B447/$B$6*100,"")</f>
        <v/>
      </c>
      <c r="E447" s="36">
        <f>IFERROR(C447/$C$6*100,"")</f>
        <v/>
      </c>
    </row>
    <row r="448">
      <c r="A448" s="23">
        <f>IFERROR(INDEX($R$6:$R$806,ROW()-5),"")</f>
        <v/>
      </c>
      <c r="B448">
        <f>IFERROR(INDEX($S$6:$S$806,ROW()-5),"")</f>
        <v/>
      </c>
      <c r="C448">
        <f>IFERROR(INDEX($W$6:$W$806,ROW()-5),"")</f>
        <v/>
      </c>
      <c r="D448" s="36">
        <f>IFERROR(B448/$B$6*100,"")</f>
        <v/>
      </c>
      <c r="E448" s="36">
        <f>IFERROR(C448/$C$6*100,"")</f>
        <v/>
      </c>
    </row>
    <row r="449">
      <c r="A449" s="23">
        <f>IFERROR(INDEX($R$6:$R$806,ROW()-5),"")</f>
        <v/>
      </c>
      <c r="B449">
        <f>IFERROR(INDEX($S$6:$S$806,ROW()-5),"")</f>
        <v/>
      </c>
      <c r="C449">
        <f>IFERROR(INDEX($W$6:$W$806,ROW()-5),"")</f>
        <v/>
      </c>
      <c r="D449" s="36">
        <f>IFERROR(B449/$B$6*100,"")</f>
        <v/>
      </c>
      <c r="E449" s="36">
        <f>IFERROR(C449/$C$6*100,"")</f>
        <v/>
      </c>
    </row>
    <row r="450">
      <c r="A450" s="23">
        <f>IFERROR(INDEX($R$6:$R$806,ROW()-5),"")</f>
        <v/>
      </c>
      <c r="B450">
        <f>IFERROR(INDEX($S$6:$S$806,ROW()-5),"")</f>
        <v/>
      </c>
      <c r="C450">
        <f>IFERROR(INDEX($W$6:$W$806,ROW()-5),"")</f>
        <v/>
      </c>
      <c r="D450" s="36">
        <f>IFERROR(B450/$B$6*100,"")</f>
        <v/>
      </c>
      <c r="E450" s="36">
        <f>IFERROR(C450/$C$6*100,"")</f>
        <v/>
      </c>
    </row>
    <row r="451">
      <c r="A451" s="23">
        <f>IFERROR(INDEX($R$6:$R$806,ROW()-5),"")</f>
        <v/>
      </c>
      <c r="B451">
        <f>IFERROR(INDEX($S$6:$S$806,ROW()-5),"")</f>
        <v/>
      </c>
      <c r="C451">
        <f>IFERROR(INDEX($W$6:$W$806,ROW()-5),"")</f>
        <v/>
      </c>
      <c r="D451" s="36">
        <f>IFERROR(B451/$B$6*100,"")</f>
        <v/>
      </c>
      <c r="E451" s="36">
        <f>IFERROR(C451/$C$6*100,"")</f>
        <v/>
      </c>
    </row>
    <row r="452">
      <c r="A452" s="23">
        <f>IFERROR(INDEX($R$6:$R$806,ROW()-5),"")</f>
        <v/>
      </c>
      <c r="B452">
        <f>IFERROR(INDEX($S$6:$S$806,ROW()-5),"")</f>
        <v/>
      </c>
      <c r="C452">
        <f>IFERROR(INDEX($W$6:$W$806,ROW()-5),"")</f>
        <v/>
      </c>
      <c r="D452" s="36">
        <f>IFERROR(B452/$B$6*100,"")</f>
        <v/>
      </c>
      <c r="E452" s="36">
        <f>IFERROR(C452/$C$6*100,"")</f>
        <v/>
      </c>
    </row>
    <row r="453">
      <c r="A453" s="23">
        <f>IFERROR(INDEX($R$6:$R$806,ROW()-5),"")</f>
        <v/>
      </c>
      <c r="B453">
        <f>IFERROR(INDEX($S$6:$S$806,ROW()-5),"")</f>
        <v/>
      </c>
      <c r="C453">
        <f>IFERROR(INDEX($W$6:$W$806,ROW()-5),"")</f>
        <v/>
      </c>
      <c r="D453" s="36">
        <f>IFERROR(B453/$B$6*100,"")</f>
        <v/>
      </c>
      <c r="E453" s="36">
        <f>IFERROR(C453/$C$6*100,"")</f>
        <v/>
      </c>
    </row>
    <row r="454">
      <c r="A454" s="23">
        <f>IFERROR(INDEX($R$6:$R$806,ROW()-5),"")</f>
        <v/>
      </c>
      <c r="B454">
        <f>IFERROR(INDEX($S$6:$S$806,ROW()-5),"")</f>
        <v/>
      </c>
      <c r="C454">
        <f>IFERROR(INDEX($W$6:$W$806,ROW()-5),"")</f>
        <v/>
      </c>
      <c r="D454" s="36">
        <f>IFERROR(B454/$B$6*100,"")</f>
        <v/>
      </c>
      <c r="E454" s="36">
        <f>IFERROR(C454/$C$6*100,"")</f>
        <v/>
      </c>
    </row>
    <row r="455">
      <c r="A455" s="23">
        <f>IFERROR(INDEX($R$6:$R$806,ROW()-5),"")</f>
        <v/>
      </c>
      <c r="B455">
        <f>IFERROR(INDEX($S$6:$S$806,ROW()-5),"")</f>
        <v/>
      </c>
      <c r="C455">
        <f>IFERROR(INDEX($W$6:$W$806,ROW()-5),"")</f>
        <v/>
      </c>
      <c r="D455" s="36">
        <f>IFERROR(B455/$B$6*100,"")</f>
        <v/>
      </c>
      <c r="E455" s="36">
        <f>IFERROR(C455/$C$6*100,"")</f>
        <v/>
      </c>
    </row>
    <row r="456">
      <c r="A456" s="23">
        <f>IFERROR(INDEX($R$6:$R$806,ROW()-5),"")</f>
        <v/>
      </c>
      <c r="B456">
        <f>IFERROR(INDEX($S$6:$S$806,ROW()-5),"")</f>
        <v/>
      </c>
      <c r="C456">
        <f>IFERROR(INDEX($W$6:$W$806,ROW()-5),"")</f>
        <v/>
      </c>
      <c r="D456" s="36">
        <f>IFERROR(B456/$B$6*100,"")</f>
        <v/>
      </c>
      <c r="E456" s="36">
        <f>IFERROR(C456/$C$6*100,"")</f>
        <v/>
      </c>
    </row>
    <row r="457">
      <c r="A457" s="23">
        <f>IFERROR(INDEX($R$6:$R$806,ROW()-5),"")</f>
        <v/>
      </c>
      <c r="B457">
        <f>IFERROR(INDEX($S$6:$S$806,ROW()-5),"")</f>
        <v/>
      </c>
      <c r="C457">
        <f>IFERROR(INDEX($W$6:$W$806,ROW()-5),"")</f>
        <v/>
      </c>
      <c r="D457" s="36">
        <f>IFERROR(B457/$B$6*100,"")</f>
        <v/>
      </c>
      <c r="E457" s="36">
        <f>IFERROR(C457/$C$6*100,"")</f>
        <v/>
      </c>
    </row>
    <row r="458">
      <c r="A458" s="23">
        <f>IFERROR(INDEX($R$6:$R$806,ROW()-5),"")</f>
        <v/>
      </c>
      <c r="B458">
        <f>IFERROR(INDEX($S$6:$S$806,ROW()-5),"")</f>
        <v/>
      </c>
      <c r="C458">
        <f>IFERROR(INDEX($W$6:$W$806,ROW()-5),"")</f>
        <v/>
      </c>
      <c r="D458" s="36">
        <f>IFERROR(B458/$B$6*100,"")</f>
        <v/>
      </c>
      <c r="E458" s="36">
        <f>IFERROR(C458/$C$6*100,"")</f>
        <v/>
      </c>
    </row>
    <row r="459">
      <c r="A459" s="23">
        <f>IFERROR(INDEX($R$6:$R$806,ROW()-5),"")</f>
        <v/>
      </c>
      <c r="B459">
        <f>IFERROR(INDEX($S$6:$S$806,ROW()-5),"")</f>
        <v/>
      </c>
      <c r="C459">
        <f>IFERROR(INDEX($W$6:$W$806,ROW()-5),"")</f>
        <v/>
      </c>
      <c r="D459" s="36">
        <f>IFERROR(B459/$B$6*100,"")</f>
        <v/>
      </c>
      <c r="E459" s="36">
        <f>IFERROR(C459/$C$6*100,"")</f>
        <v/>
      </c>
    </row>
    <row r="460">
      <c r="A460" s="23">
        <f>IFERROR(INDEX($R$6:$R$806,ROW()-5),"")</f>
        <v/>
      </c>
      <c r="B460">
        <f>IFERROR(INDEX($S$6:$S$806,ROW()-5),"")</f>
        <v/>
      </c>
      <c r="C460">
        <f>IFERROR(INDEX($W$6:$W$806,ROW()-5),"")</f>
        <v/>
      </c>
      <c r="D460" s="36">
        <f>IFERROR(B460/$B$6*100,"")</f>
        <v/>
      </c>
      <c r="E460" s="36">
        <f>IFERROR(C460/$C$6*100,"")</f>
        <v/>
      </c>
    </row>
    <row r="461">
      <c r="A461" s="23">
        <f>IFERROR(INDEX($R$6:$R$806,ROW()-5),"")</f>
        <v/>
      </c>
      <c r="B461">
        <f>IFERROR(INDEX($S$6:$S$806,ROW()-5),"")</f>
        <v/>
      </c>
      <c r="C461">
        <f>IFERROR(INDEX($W$6:$W$806,ROW()-5),"")</f>
        <v/>
      </c>
      <c r="D461" s="36">
        <f>IFERROR(B461/$B$6*100,"")</f>
        <v/>
      </c>
      <c r="E461" s="36">
        <f>IFERROR(C461/$C$6*100,"")</f>
        <v/>
      </c>
    </row>
    <row r="462">
      <c r="A462" s="23">
        <f>IFERROR(INDEX($R$6:$R$806,ROW()-5),"")</f>
        <v/>
      </c>
      <c r="B462">
        <f>IFERROR(INDEX($S$6:$S$806,ROW()-5),"")</f>
        <v/>
      </c>
      <c r="C462">
        <f>IFERROR(INDEX($W$6:$W$806,ROW()-5),"")</f>
        <v/>
      </c>
      <c r="D462" s="36">
        <f>IFERROR(B462/$B$6*100,"")</f>
        <v/>
      </c>
      <c r="E462" s="36">
        <f>IFERROR(C462/$C$6*100,"")</f>
        <v/>
      </c>
    </row>
    <row r="463">
      <c r="A463" s="23">
        <f>IFERROR(INDEX($R$6:$R$806,ROW()-5),"")</f>
        <v/>
      </c>
      <c r="B463">
        <f>IFERROR(INDEX($S$6:$S$806,ROW()-5),"")</f>
        <v/>
      </c>
      <c r="C463">
        <f>IFERROR(INDEX($W$6:$W$806,ROW()-5),"")</f>
        <v/>
      </c>
      <c r="D463" s="36">
        <f>IFERROR(B463/$B$6*100,"")</f>
        <v/>
      </c>
      <c r="E463" s="36">
        <f>IFERROR(C463/$C$6*100,"")</f>
        <v/>
      </c>
    </row>
    <row r="464">
      <c r="A464" s="23">
        <f>IFERROR(INDEX($R$6:$R$806,ROW()-5),"")</f>
        <v/>
      </c>
      <c r="B464">
        <f>IFERROR(INDEX($S$6:$S$806,ROW()-5),"")</f>
        <v/>
      </c>
      <c r="C464">
        <f>IFERROR(INDEX($W$6:$W$806,ROW()-5),"")</f>
        <v/>
      </c>
      <c r="D464" s="36">
        <f>IFERROR(B464/$B$6*100,"")</f>
        <v/>
      </c>
      <c r="E464" s="36">
        <f>IFERROR(C464/$C$6*100,"")</f>
        <v/>
      </c>
    </row>
    <row r="465">
      <c r="A465" s="23">
        <f>IFERROR(INDEX($R$6:$R$806,ROW()-5),"")</f>
        <v/>
      </c>
      <c r="B465">
        <f>IFERROR(INDEX($S$6:$S$806,ROW()-5),"")</f>
        <v/>
      </c>
      <c r="C465">
        <f>IFERROR(INDEX($W$6:$W$806,ROW()-5),"")</f>
        <v/>
      </c>
      <c r="D465" s="36">
        <f>IFERROR(B465/$B$6*100,"")</f>
        <v/>
      </c>
      <c r="E465" s="36">
        <f>IFERROR(C465/$C$6*100,"")</f>
        <v/>
      </c>
    </row>
    <row r="466">
      <c r="A466" s="23">
        <f>IFERROR(INDEX($R$6:$R$806,ROW()-5),"")</f>
        <v/>
      </c>
      <c r="B466">
        <f>IFERROR(INDEX($S$6:$S$806,ROW()-5),"")</f>
        <v/>
      </c>
      <c r="C466">
        <f>IFERROR(INDEX($W$6:$W$806,ROW()-5),"")</f>
        <v/>
      </c>
      <c r="D466" s="36">
        <f>IFERROR(B466/$B$6*100,"")</f>
        <v/>
      </c>
      <c r="E466" s="36">
        <f>IFERROR(C466/$C$6*100,"")</f>
        <v/>
      </c>
    </row>
    <row r="467">
      <c r="A467" s="23">
        <f>IFERROR(INDEX($R$6:$R$806,ROW()-5),"")</f>
        <v/>
      </c>
      <c r="B467">
        <f>IFERROR(INDEX($S$6:$S$806,ROW()-5),"")</f>
        <v/>
      </c>
      <c r="C467">
        <f>IFERROR(INDEX($W$6:$W$806,ROW()-5),"")</f>
        <v/>
      </c>
      <c r="D467" s="36">
        <f>IFERROR(B467/$B$6*100,"")</f>
        <v/>
      </c>
      <c r="E467" s="36">
        <f>IFERROR(C467/$C$6*100,"")</f>
        <v/>
      </c>
    </row>
    <row r="468">
      <c r="A468" s="23">
        <f>IFERROR(INDEX($R$6:$R$806,ROW()-5),"")</f>
        <v/>
      </c>
      <c r="B468">
        <f>IFERROR(INDEX($S$6:$S$806,ROW()-5),"")</f>
        <v/>
      </c>
      <c r="C468">
        <f>IFERROR(INDEX($W$6:$W$806,ROW()-5),"")</f>
        <v/>
      </c>
      <c r="D468" s="36">
        <f>IFERROR(B468/$B$6*100,"")</f>
        <v/>
      </c>
      <c r="E468" s="36">
        <f>IFERROR(C468/$C$6*100,"")</f>
        <v/>
      </c>
    </row>
    <row r="469">
      <c r="A469" s="23">
        <f>IFERROR(INDEX($R$6:$R$806,ROW()-5),"")</f>
        <v/>
      </c>
      <c r="B469">
        <f>IFERROR(INDEX($S$6:$S$806,ROW()-5),"")</f>
        <v/>
      </c>
      <c r="C469">
        <f>IFERROR(INDEX($W$6:$W$806,ROW()-5),"")</f>
        <v/>
      </c>
      <c r="D469" s="36">
        <f>IFERROR(B469/$B$6*100,"")</f>
        <v/>
      </c>
      <c r="E469" s="36">
        <f>IFERROR(C469/$C$6*100,"")</f>
        <v/>
      </c>
    </row>
    <row r="470">
      <c r="A470" s="23">
        <f>IFERROR(INDEX($R$6:$R$806,ROW()-5),"")</f>
        <v/>
      </c>
      <c r="B470">
        <f>IFERROR(INDEX($S$6:$S$806,ROW()-5),"")</f>
        <v/>
      </c>
      <c r="C470">
        <f>IFERROR(INDEX($W$6:$W$806,ROW()-5),"")</f>
        <v/>
      </c>
      <c r="D470" s="36">
        <f>IFERROR(B470/$B$6*100,"")</f>
        <v/>
      </c>
      <c r="E470" s="36">
        <f>IFERROR(C470/$C$6*100,"")</f>
        <v/>
      </c>
    </row>
    <row r="471">
      <c r="A471" s="23">
        <f>IFERROR(INDEX($R$6:$R$806,ROW()-5),"")</f>
        <v/>
      </c>
      <c r="B471">
        <f>IFERROR(INDEX($S$6:$S$806,ROW()-5),"")</f>
        <v/>
      </c>
      <c r="C471">
        <f>IFERROR(INDEX($W$6:$W$806,ROW()-5),"")</f>
        <v/>
      </c>
      <c r="D471" s="36">
        <f>IFERROR(B471/$B$6*100,"")</f>
        <v/>
      </c>
      <c r="E471" s="36">
        <f>IFERROR(C471/$C$6*100,"")</f>
        <v/>
      </c>
    </row>
    <row r="472">
      <c r="A472" s="23">
        <f>IFERROR(INDEX($R$6:$R$806,ROW()-5),"")</f>
        <v/>
      </c>
      <c r="B472">
        <f>IFERROR(INDEX($S$6:$S$806,ROW()-5),"")</f>
        <v/>
      </c>
      <c r="C472">
        <f>IFERROR(INDEX($W$6:$W$806,ROW()-5),"")</f>
        <v/>
      </c>
      <c r="D472" s="36">
        <f>IFERROR(B472/$B$6*100,"")</f>
        <v/>
      </c>
      <c r="E472" s="36">
        <f>IFERROR(C472/$C$6*100,"")</f>
        <v/>
      </c>
    </row>
    <row r="473">
      <c r="A473" s="23">
        <f>IFERROR(INDEX($R$6:$R$806,ROW()-5),"")</f>
        <v/>
      </c>
      <c r="B473">
        <f>IFERROR(INDEX($S$6:$S$806,ROW()-5),"")</f>
        <v/>
      </c>
      <c r="C473">
        <f>IFERROR(INDEX($W$6:$W$806,ROW()-5),"")</f>
        <v/>
      </c>
      <c r="D473" s="36">
        <f>IFERROR(B473/$B$6*100,"")</f>
        <v/>
      </c>
      <c r="E473" s="36">
        <f>IFERROR(C473/$C$6*100,"")</f>
        <v/>
      </c>
    </row>
    <row r="474">
      <c r="A474" s="23">
        <f>IFERROR(INDEX($R$6:$R$806,ROW()-5),"")</f>
        <v/>
      </c>
      <c r="B474">
        <f>IFERROR(INDEX($S$6:$S$806,ROW()-5),"")</f>
        <v/>
      </c>
      <c r="C474">
        <f>IFERROR(INDEX($W$6:$W$806,ROW()-5),"")</f>
        <v/>
      </c>
      <c r="D474" s="36">
        <f>IFERROR(B474/$B$6*100,"")</f>
        <v/>
      </c>
      <c r="E474" s="36">
        <f>IFERROR(C474/$C$6*100,"")</f>
        <v/>
      </c>
    </row>
    <row r="475">
      <c r="A475" s="23">
        <f>IFERROR(INDEX($R$6:$R$806,ROW()-5),"")</f>
        <v/>
      </c>
      <c r="B475">
        <f>IFERROR(INDEX($S$6:$S$806,ROW()-5),"")</f>
        <v/>
      </c>
      <c r="C475">
        <f>IFERROR(INDEX($W$6:$W$806,ROW()-5),"")</f>
        <v/>
      </c>
      <c r="D475" s="36">
        <f>IFERROR(B475/$B$6*100,"")</f>
        <v/>
      </c>
      <c r="E475" s="36">
        <f>IFERROR(C475/$C$6*100,"")</f>
        <v/>
      </c>
    </row>
    <row r="476">
      <c r="A476" s="23">
        <f>IFERROR(INDEX($R$6:$R$806,ROW()-5),"")</f>
        <v/>
      </c>
      <c r="B476">
        <f>IFERROR(INDEX($S$6:$S$806,ROW()-5),"")</f>
        <v/>
      </c>
      <c r="C476">
        <f>IFERROR(INDEX($W$6:$W$806,ROW()-5),"")</f>
        <v/>
      </c>
      <c r="D476" s="36">
        <f>IFERROR(B476/$B$6*100,"")</f>
        <v/>
      </c>
      <c r="E476" s="36">
        <f>IFERROR(C476/$C$6*100,"")</f>
        <v/>
      </c>
    </row>
    <row r="477">
      <c r="A477" s="23">
        <f>IFERROR(INDEX($R$6:$R$806,ROW()-5),"")</f>
        <v/>
      </c>
      <c r="B477">
        <f>IFERROR(INDEX($S$6:$S$806,ROW()-5),"")</f>
        <v/>
      </c>
      <c r="C477">
        <f>IFERROR(INDEX($W$6:$W$806,ROW()-5),"")</f>
        <v/>
      </c>
      <c r="D477" s="36">
        <f>IFERROR(B477/$B$6*100,"")</f>
        <v/>
      </c>
      <c r="E477" s="36">
        <f>IFERROR(C477/$C$6*100,"")</f>
        <v/>
      </c>
    </row>
    <row r="478">
      <c r="A478" s="23">
        <f>IFERROR(INDEX($R$6:$R$806,ROW()-5),"")</f>
        <v/>
      </c>
      <c r="B478">
        <f>IFERROR(INDEX($S$6:$S$806,ROW()-5),"")</f>
        <v/>
      </c>
      <c r="C478">
        <f>IFERROR(INDEX($W$6:$W$806,ROW()-5),"")</f>
        <v/>
      </c>
      <c r="D478" s="36">
        <f>IFERROR(B478/$B$6*100,"")</f>
        <v/>
      </c>
      <c r="E478" s="36">
        <f>IFERROR(C478/$C$6*100,"")</f>
        <v/>
      </c>
    </row>
    <row r="479">
      <c r="A479" s="23">
        <f>IFERROR(INDEX($R$6:$R$806,ROW()-5),"")</f>
        <v/>
      </c>
      <c r="B479">
        <f>IFERROR(INDEX($S$6:$S$806,ROW()-5),"")</f>
        <v/>
      </c>
      <c r="C479">
        <f>IFERROR(INDEX($W$6:$W$806,ROW()-5),"")</f>
        <v/>
      </c>
      <c r="D479" s="36">
        <f>IFERROR(B479/$B$6*100,"")</f>
        <v/>
      </c>
      <c r="E479" s="36">
        <f>IFERROR(C479/$C$6*100,"")</f>
        <v/>
      </c>
    </row>
    <row r="480">
      <c r="A480" s="23">
        <f>IFERROR(INDEX($R$6:$R$806,ROW()-5),"")</f>
        <v/>
      </c>
      <c r="B480">
        <f>IFERROR(INDEX($S$6:$S$806,ROW()-5),"")</f>
        <v/>
      </c>
      <c r="C480">
        <f>IFERROR(INDEX($W$6:$W$806,ROW()-5),"")</f>
        <v/>
      </c>
      <c r="D480" s="36">
        <f>IFERROR(B480/$B$6*100,"")</f>
        <v/>
      </c>
      <c r="E480" s="36">
        <f>IFERROR(C480/$C$6*100,"")</f>
        <v/>
      </c>
    </row>
    <row r="481">
      <c r="A481" s="23">
        <f>IFERROR(INDEX($R$6:$R$806,ROW()-5),"")</f>
        <v/>
      </c>
      <c r="B481">
        <f>IFERROR(INDEX($S$6:$S$806,ROW()-5),"")</f>
        <v/>
      </c>
      <c r="C481">
        <f>IFERROR(INDEX($W$6:$W$806,ROW()-5),"")</f>
        <v/>
      </c>
      <c r="D481" s="36">
        <f>IFERROR(B481/$B$6*100,"")</f>
        <v/>
      </c>
      <c r="E481" s="36">
        <f>IFERROR(C481/$C$6*100,"")</f>
        <v/>
      </c>
    </row>
    <row r="482">
      <c r="A482" s="23">
        <f>IFERROR(INDEX($R$6:$R$806,ROW()-5),"")</f>
        <v/>
      </c>
      <c r="B482">
        <f>IFERROR(INDEX($S$6:$S$806,ROW()-5),"")</f>
        <v/>
      </c>
      <c r="C482">
        <f>IFERROR(INDEX($W$6:$W$806,ROW()-5),"")</f>
        <v/>
      </c>
      <c r="D482" s="36">
        <f>IFERROR(B482/$B$6*100,"")</f>
        <v/>
      </c>
      <c r="E482" s="36">
        <f>IFERROR(C482/$C$6*100,"")</f>
        <v/>
      </c>
    </row>
    <row r="483">
      <c r="A483" s="23">
        <f>IFERROR(INDEX($R$6:$R$806,ROW()-5),"")</f>
        <v/>
      </c>
      <c r="B483">
        <f>IFERROR(INDEX($S$6:$S$806,ROW()-5),"")</f>
        <v/>
      </c>
      <c r="C483">
        <f>IFERROR(INDEX($W$6:$W$806,ROW()-5),"")</f>
        <v/>
      </c>
      <c r="D483" s="36">
        <f>IFERROR(B483/$B$6*100,"")</f>
        <v/>
      </c>
      <c r="E483" s="36">
        <f>IFERROR(C483/$C$6*100,"")</f>
        <v/>
      </c>
    </row>
    <row r="484">
      <c r="A484" s="23">
        <f>IFERROR(INDEX($R$6:$R$806,ROW()-5),"")</f>
        <v/>
      </c>
      <c r="B484">
        <f>IFERROR(INDEX($S$6:$S$806,ROW()-5),"")</f>
        <v/>
      </c>
      <c r="C484">
        <f>IFERROR(INDEX($W$6:$W$806,ROW()-5),"")</f>
        <v/>
      </c>
      <c r="D484" s="36">
        <f>IFERROR(B484/$B$6*100,"")</f>
        <v/>
      </c>
      <c r="E484" s="36">
        <f>IFERROR(C484/$C$6*100,"")</f>
        <v/>
      </c>
    </row>
    <row r="485">
      <c r="A485" s="23">
        <f>IFERROR(INDEX($R$6:$R$806,ROW()-5),"")</f>
        <v/>
      </c>
      <c r="B485">
        <f>IFERROR(INDEX($S$6:$S$806,ROW()-5),"")</f>
        <v/>
      </c>
      <c r="C485">
        <f>IFERROR(INDEX($W$6:$W$806,ROW()-5),"")</f>
        <v/>
      </c>
      <c r="D485" s="36">
        <f>IFERROR(B485/$B$6*100,"")</f>
        <v/>
      </c>
      <c r="E485" s="36">
        <f>IFERROR(C485/$C$6*100,"")</f>
        <v/>
      </c>
    </row>
    <row r="486">
      <c r="A486" s="23">
        <f>IFERROR(INDEX($R$6:$R$806,ROW()-5),"")</f>
        <v/>
      </c>
      <c r="B486">
        <f>IFERROR(INDEX($S$6:$S$806,ROW()-5),"")</f>
        <v/>
      </c>
      <c r="C486">
        <f>IFERROR(INDEX($W$6:$W$806,ROW()-5),"")</f>
        <v/>
      </c>
      <c r="D486" s="36">
        <f>IFERROR(B486/$B$6*100,"")</f>
        <v/>
      </c>
      <c r="E486" s="36">
        <f>IFERROR(C486/$C$6*100,"")</f>
        <v/>
      </c>
    </row>
    <row r="487">
      <c r="A487" s="23">
        <f>IFERROR(INDEX($R$6:$R$806,ROW()-5),"")</f>
        <v/>
      </c>
      <c r="B487">
        <f>IFERROR(INDEX($S$6:$S$806,ROW()-5),"")</f>
        <v/>
      </c>
      <c r="C487">
        <f>IFERROR(INDEX($W$6:$W$806,ROW()-5),"")</f>
        <v/>
      </c>
      <c r="D487" s="36">
        <f>IFERROR(B487/$B$6*100,"")</f>
        <v/>
      </c>
      <c r="E487" s="36">
        <f>IFERROR(C487/$C$6*100,"")</f>
        <v/>
      </c>
    </row>
    <row r="488">
      <c r="A488" s="23">
        <f>IFERROR(INDEX($R$6:$R$806,ROW()-5),"")</f>
        <v/>
      </c>
      <c r="B488">
        <f>IFERROR(INDEX($S$6:$S$806,ROW()-5),"")</f>
        <v/>
      </c>
      <c r="C488">
        <f>IFERROR(INDEX($W$6:$W$806,ROW()-5),"")</f>
        <v/>
      </c>
      <c r="D488" s="36">
        <f>IFERROR(B488/$B$6*100,"")</f>
        <v/>
      </c>
      <c r="E488" s="36">
        <f>IFERROR(C488/$C$6*100,"")</f>
        <v/>
      </c>
    </row>
    <row r="489">
      <c r="A489" s="23">
        <f>IFERROR(INDEX($R$6:$R$806,ROW()-5),"")</f>
        <v/>
      </c>
      <c r="B489">
        <f>IFERROR(INDEX($S$6:$S$806,ROW()-5),"")</f>
        <v/>
      </c>
      <c r="C489">
        <f>IFERROR(INDEX($W$6:$W$806,ROW()-5),"")</f>
        <v/>
      </c>
      <c r="D489" s="36">
        <f>IFERROR(B489/$B$6*100,"")</f>
        <v/>
      </c>
      <c r="E489" s="36">
        <f>IFERROR(C489/$C$6*100,"")</f>
        <v/>
      </c>
    </row>
    <row r="490">
      <c r="A490" s="23">
        <f>IFERROR(INDEX($R$6:$R$806,ROW()-5),"")</f>
        <v/>
      </c>
      <c r="B490">
        <f>IFERROR(INDEX($S$6:$S$806,ROW()-5),"")</f>
        <v/>
      </c>
      <c r="C490">
        <f>IFERROR(INDEX($W$6:$W$806,ROW()-5),"")</f>
        <v/>
      </c>
      <c r="D490" s="36">
        <f>IFERROR(B490/$B$6*100,"")</f>
        <v/>
      </c>
      <c r="E490" s="36">
        <f>IFERROR(C490/$C$6*100,"")</f>
        <v/>
      </c>
    </row>
    <row r="491">
      <c r="A491" s="23">
        <f>IFERROR(INDEX($R$6:$R$806,ROW()-5),"")</f>
        <v/>
      </c>
      <c r="B491">
        <f>IFERROR(INDEX($S$6:$S$806,ROW()-5),"")</f>
        <v/>
      </c>
      <c r="C491">
        <f>IFERROR(INDEX($W$6:$W$806,ROW()-5),"")</f>
        <v/>
      </c>
      <c r="D491" s="36">
        <f>IFERROR(B491/$B$6*100,"")</f>
        <v/>
      </c>
      <c r="E491" s="36">
        <f>IFERROR(C491/$C$6*100,"")</f>
        <v/>
      </c>
    </row>
    <row r="492">
      <c r="A492" s="23">
        <f>IFERROR(INDEX($R$6:$R$806,ROW()-5),"")</f>
        <v/>
      </c>
      <c r="B492">
        <f>IFERROR(INDEX($S$6:$S$806,ROW()-5),"")</f>
        <v/>
      </c>
      <c r="C492">
        <f>IFERROR(INDEX($W$6:$W$806,ROW()-5),"")</f>
        <v/>
      </c>
      <c r="D492" s="36">
        <f>IFERROR(B492/$B$6*100,"")</f>
        <v/>
      </c>
      <c r="E492" s="36">
        <f>IFERROR(C492/$C$6*100,"")</f>
        <v/>
      </c>
    </row>
    <row r="493">
      <c r="A493" s="23">
        <f>IFERROR(INDEX($R$6:$R$806,ROW()-5),"")</f>
        <v/>
      </c>
      <c r="B493">
        <f>IFERROR(INDEX($S$6:$S$806,ROW()-5),"")</f>
        <v/>
      </c>
      <c r="C493">
        <f>IFERROR(INDEX($W$6:$W$806,ROW()-5),"")</f>
        <v/>
      </c>
      <c r="D493" s="36">
        <f>IFERROR(B493/$B$6*100,"")</f>
        <v/>
      </c>
      <c r="E493" s="36">
        <f>IFERROR(C493/$C$6*100,"")</f>
        <v/>
      </c>
    </row>
    <row r="494">
      <c r="A494" s="23">
        <f>IFERROR(INDEX($R$6:$R$806,ROW()-5),"")</f>
        <v/>
      </c>
      <c r="B494">
        <f>IFERROR(INDEX($S$6:$S$806,ROW()-5),"")</f>
        <v/>
      </c>
      <c r="C494">
        <f>IFERROR(INDEX($W$6:$W$806,ROW()-5),"")</f>
        <v/>
      </c>
      <c r="D494" s="36">
        <f>IFERROR(B494/$B$6*100,"")</f>
        <v/>
      </c>
      <c r="E494" s="36">
        <f>IFERROR(C494/$C$6*100,"")</f>
        <v/>
      </c>
    </row>
    <row r="495">
      <c r="A495" s="23">
        <f>IFERROR(INDEX($R$6:$R$806,ROW()-5),"")</f>
        <v/>
      </c>
      <c r="B495">
        <f>IFERROR(INDEX($S$6:$S$806,ROW()-5),"")</f>
        <v/>
      </c>
      <c r="C495">
        <f>IFERROR(INDEX($W$6:$W$806,ROW()-5),"")</f>
        <v/>
      </c>
      <c r="D495" s="36">
        <f>IFERROR(B495/$B$6*100,"")</f>
        <v/>
      </c>
      <c r="E495" s="36">
        <f>IFERROR(C495/$C$6*100,"")</f>
        <v/>
      </c>
    </row>
    <row r="496">
      <c r="A496" s="23">
        <f>IFERROR(INDEX($R$6:$R$806,ROW()-5),"")</f>
        <v/>
      </c>
      <c r="B496">
        <f>IFERROR(INDEX($S$6:$S$806,ROW()-5),"")</f>
        <v/>
      </c>
      <c r="C496">
        <f>IFERROR(INDEX($W$6:$W$806,ROW()-5),"")</f>
        <v/>
      </c>
      <c r="D496" s="36">
        <f>IFERROR(B496/$B$6*100,"")</f>
        <v/>
      </c>
      <c r="E496" s="36">
        <f>IFERROR(C496/$C$6*100,"")</f>
        <v/>
      </c>
    </row>
    <row r="497">
      <c r="A497" s="23">
        <f>IFERROR(INDEX($R$6:$R$806,ROW()-5),"")</f>
        <v/>
      </c>
      <c r="B497">
        <f>IFERROR(INDEX($S$6:$S$806,ROW()-5),"")</f>
        <v/>
      </c>
      <c r="C497">
        <f>IFERROR(INDEX($W$6:$W$806,ROW()-5),"")</f>
        <v/>
      </c>
      <c r="D497" s="36">
        <f>IFERROR(B497/$B$6*100,"")</f>
        <v/>
      </c>
      <c r="E497" s="36">
        <f>IFERROR(C497/$C$6*100,"")</f>
        <v/>
      </c>
    </row>
    <row r="498">
      <c r="A498" s="23">
        <f>IFERROR(INDEX($R$6:$R$806,ROW()-5),"")</f>
        <v/>
      </c>
      <c r="B498">
        <f>IFERROR(INDEX($S$6:$S$806,ROW()-5),"")</f>
        <v/>
      </c>
      <c r="C498">
        <f>IFERROR(INDEX($W$6:$W$806,ROW()-5),"")</f>
        <v/>
      </c>
      <c r="D498" s="36">
        <f>IFERROR(B498/$B$6*100,"")</f>
        <v/>
      </c>
      <c r="E498" s="36">
        <f>IFERROR(C498/$C$6*100,"")</f>
        <v/>
      </c>
    </row>
    <row r="499">
      <c r="A499" s="23">
        <f>IFERROR(INDEX($R$6:$R$806,ROW()-5),"")</f>
        <v/>
      </c>
      <c r="B499">
        <f>IFERROR(INDEX($S$6:$S$806,ROW()-5),"")</f>
        <v/>
      </c>
      <c r="C499">
        <f>IFERROR(INDEX($W$6:$W$806,ROW()-5),"")</f>
        <v/>
      </c>
      <c r="D499" s="36">
        <f>IFERROR(B499/$B$6*100,"")</f>
        <v/>
      </c>
      <c r="E499" s="36">
        <f>IFERROR(C499/$C$6*100,"")</f>
        <v/>
      </c>
    </row>
    <row r="500">
      <c r="A500" s="23">
        <f>IFERROR(INDEX($R$6:$R$806,ROW()-5),"")</f>
        <v/>
      </c>
      <c r="B500">
        <f>IFERROR(INDEX($S$6:$S$806,ROW()-5),"")</f>
        <v/>
      </c>
      <c r="C500">
        <f>IFERROR(INDEX($W$6:$W$806,ROW()-5),"")</f>
        <v/>
      </c>
      <c r="D500" s="36">
        <f>IFERROR(B500/$B$6*100,"")</f>
        <v/>
      </c>
      <c r="E500" s="36">
        <f>IFERROR(C500/$C$6*100,"")</f>
        <v/>
      </c>
    </row>
    <row r="501">
      <c r="A501" s="23">
        <f>IFERROR(INDEX($R$6:$R$806,ROW()-5),"")</f>
        <v/>
      </c>
      <c r="B501">
        <f>IFERROR(INDEX($S$6:$S$806,ROW()-5),"")</f>
        <v/>
      </c>
      <c r="C501">
        <f>IFERROR(INDEX($W$6:$W$806,ROW()-5),"")</f>
        <v/>
      </c>
      <c r="D501" s="36">
        <f>IFERROR(B501/$B$6*100,"")</f>
        <v/>
      </c>
      <c r="E501" s="36">
        <f>IFERROR(C501/$C$6*100,"")</f>
        <v/>
      </c>
    </row>
    <row r="502">
      <c r="A502" s="23">
        <f>IFERROR(INDEX($R$6:$R$806,ROW()-5),"")</f>
        <v/>
      </c>
      <c r="B502">
        <f>IFERROR(INDEX($S$6:$S$806,ROW()-5),"")</f>
        <v/>
      </c>
      <c r="C502">
        <f>IFERROR(INDEX($W$6:$W$806,ROW()-5),"")</f>
        <v/>
      </c>
      <c r="D502" s="36">
        <f>IFERROR(B502/$B$6*100,"")</f>
        <v/>
      </c>
      <c r="E502" s="36">
        <f>IFERROR(C502/$C$6*100,"")</f>
        <v/>
      </c>
    </row>
    <row r="503">
      <c r="A503" s="23">
        <f>IFERROR(INDEX($R$6:$R$806,ROW()-5),"")</f>
        <v/>
      </c>
      <c r="B503">
        <f>IFERROR(INDEX($S$6:$S$806,ROW()-5),"")</f>
        <v/>
      </c>
      <c r="C503">
        <f>IFERROR(INDEX($W$6:$W$806,ROW()-5),"")</f>
        <v/>
      </c>
      <c r="D503" s="36">
        <f>IFERROR(B503/$B$6*100,"")</f>
        <v/>
      </c>
      <c r="E503" s="36">
        <f>IFERROR(C503/$C$6*100,"")</f>
        <v/>
      </c>
    </row>
    <row r="504">
      <c r="A504" s="23">
        <f>IFERROR(INDEX($R$6:$R$806,ROW()-5),"")</f>
        <v/>
      </c>
      <c r="B504">
        <f>IFERROR(INDEX($S$6:$S$806,ROW()-5),"")</f>
        <v/>
      </c>
      <c r="C504">
        <f>IFERROR(INDEX($W$6:$W$806,ROW()-5),"")</f>
        <v/>
      </c>
      <c r="D504" s="36">
        <f>IFERROR(B504/$B$6*100,"")</f>
        <v/>
      </c>
      <c r="E504" s="36">
        <f>IFERROR(C504/$C$6*100,"")</f>
        <v/>
      </c>
    </row>
    <row r="505">
      <c r="A505" s="23">
        <f>IFERROR(INDEX($R$6:$R$806,ROW()-5),"")</f>
        <v/>
      </c>
      <c r="B505">
        <f>IFERROR(INDEX($S$6:$S$806,ROW()-5),"")</f>
        <v/>
      </c>
      <c r="C505">
        <f>IFERROR(INDEX($W$6:$W$806,ROW()-5),"")</f>
        <v/>
      </c>
      <c r="D505" s="36">
        <f>IFERROR(B505/$B$6*100,"")</f>
        <v/>
      </c>
      <c r="E505" s="36">
        <f>IFERROR(C505/$C$6*100,"")</f>
        <v/>
      </c>
    </row>
    <row r="506">
      <c r="A506" s="23">
        <f>IFERROR(INDEX($R$6:$R$806,ROW()-5),"")</f>
        <v/>
      </c>
      <c r="B506">
        <f>IFERROR(INDEX($S$6:$S$806,ROW()-5),"")</f>
        <v/>
      </c>
      <c r="C506">
        <f>IFERROR(INDEX($W$6:$W$806,ROW()-5),"")</f>
        <v/>
      </c>
      <c r="D506" s="36">
        <f>IFERROR(B506/$B$6*100,"")</f>
        <v/>
      </c>
      <c r="E506" s="36">
        <f>IFERROR(C506/$C$6*100,"")</f>
        <v/>
      </c>
    </row>
    <row r="507">
      <c r="A507" s="23">
        <f>IFERROR(INDEX($R$6:$R$806,ROW()-5),"")</f>
        <v/>
      </c>
      <c r="B507">
        <f>IFERROR(INDEX($S$6:$S$806,ROW()-5),"")</f>
        <v/>
      </c>
      <c r="C507">
        <f>IFERROR(INDEX($W$6:$W$806,ROW()-5),"")</f>
        <v/>
      </c>
      <c r="D507" s="36">
        <f>IFERROR(B507/$B$6*100,"")</f>
        <v/>
      </c>
      <c r="E507" s="36">
        <f>IFERROR(C507/$C$6*100,"")</f>
        <v/>
      </c>
    </row>
    <row r="508">
      <c r="A508" s="23">
        <f>IFERROR(INDEX($R$6:$R$806,ROW()-5),"")</f>
        <v/>
      </c>
      <c r="B508">
        <f>IFERROR(INDEX($S$6:$S$806,ROW()-5),"")</f>
        <v/>
      </c>
      <c r="C508">
        <f>IFERROR(INDEX($W$6:$W$806,ROW()-5),"")</f>
        <v/>
      </c>
      <c r="D508" s="36">
        <f>IFERROR(B508/$B$6*100,"")</f>
        <v/>
      </c>
      <c r="E508" s="36">
        <f>IFERROR(C508/$C$6*100,"")</f>
        <v/>
      </c>
    </row>
    <row r="509">
      <c r="A509" s="23">
        <f>IFERROR(INDEX($R$6:$R$806,ROW()-5),"")</f>
        <v/>
      </c>
      <c r="B509">
        <f>IFERROR(INDEX($S$6:$S$806,ROW()-5),"")</f>
        <v/>
      </c>
      <c r="C509">
        <f>IFERROR(INDEX($W$6:$W$806,ROW()-5),"")</f>
        <v/>
      </c>
      <c r="D509" s="36">
        <f>IFERROR(B509/$B$6*100,"")</f>
        <v/>
      </c>
      <c r="E509" s="36">
        <f>IFERROR(C509/$C$6*100,"")</f>
        <v/>
      </c>
    </row>
    <row r="510">
      <c r="A510" s="23">
        <f>IFERROR(INDEX($R$6:$R$806,ROW()-5),"")</f>
        <v/>
      </c>
      <c r="B510">
        <f>IFERROR(INDEX($S$6:$S$806,ROW()-5),"")</f>
        <v/>
      </c>
      <c r="C510">
        <f>IFERROR(INDEX($W$6:$W$806,ROW()-5),"")</f>
        <v/>
      </c>
      <c r="D510" s="36">
        <f>IFERROR(B510/$B$6*100,"")</f>
        <v/>
      </c>
      <c r="E510" s="36">
        <f>IFERROR(C510/$C$6*100,"")</f>
        <v/>
      </c>
    </row>
    <row r="511">
      <c r="A511" s="23">
        <f>IFERROR(INDEX($R$6:$R$806,ROW()-5),"")</f>
        <v/>
      </c>
      <c r="B511">
        <f>IFERROR(INDEX($S$6:$S$806,ROW()-5),"")</f>
        <v/>
      </c>
      <c r="C511">
        <f>IFERROR(INDEX($W$6:$W$806,ROW()-5),"")</f>
        <v/>
      </c>
      <c r="D511" s="36">
        <f>IFERROR(B511/$B$6*100,"")</f>
        <v/>
      </c>
      <c r="E511" s="36">
        <f>IFERROR(C511/$C$6*100,"")</f>
        <v/>
      </c>
    </row>
    <row r="512">
      <c r="A512" s="23">
        <f>IFERROR(INDEX($R$6:$R$806,ROW()-5),"")</f>
        <v/>
      </c>
      <c r="B512">
        <f>IFERROR(INDEX($S$6:$S$806,ROW()-5),"")</f>
        <v/>
      </c>
      <c r="C512">
        <f>IFERROR(INDEX($W$6:$W$806,ROW()-5),"")</f>
        <v/>
      </c>
      <c r="D512" s="36">
        <f>IFERROR(B512/$B$6*100,"")</f>
        <v/>
      </c>
      <c r="E512" s="36">
        <f>IFERROR(C512/$C$6*100,"")</f>
        <v/>
      </c>
    </row>
    <row r="513">
      <c r="A513" s="23">
        <f>IFERROR(INDEX($R$6:$R$806,ROW()-5),"")</f>
        <v/>
      </c>
      <c r="B513">
        <f>IFERROR(INDEX($S$6:$S$806,ROW()-5),"")</f>
        <v/>
      </c>
      <c r="C513">
        <f>IFERROR(INDEX($W$6:$W$806,ROW()-5),"")</f>
        <v/>
      </c>
      <c r="D513" s="36">
        <f>IFERROR(B513/$B$6*100,"")</f>
        <v/>
      </c>
      <c r="E513" s="36">
        <f>IFERROR(C513/$C$6*100,"")</f>
        <v/>
      </c>
    </row>
    <row r="514">
      <c r="A514" s="23">
        <f>IFERROR(INDEX($R$6:$R$806,ROW()-5),"")</f>
        <v/>
      </c>
      <c r="B514">
        <f>IFERROR(INDEX($S$6:$S$806,ROW()-5),"")</f>
        <v/>
      </c>
      <c r="C514">
        <f>IFERROR(INDEX($W$6:$W$806,ROW()-5),"")</f>
        <v/>
      </c>
      <c r="D514" s="36">
        <f>IFERROR(B514/$B$6*100,"")</f>
        <v/>
      </c>
      <c r="E514" s="36">
        <f>IFERROR(C514/$C$6*100,"")</f>
        <v/>
      </c>
    </row>
    <row r="515">
      <c r="A515" s="23">
        <f>IFERROR(INDEX($R$6:$R$806,ROW()-5),"")</f>
        <v/>
      </c>
      <c r="B515">
        <f>IFERROR(INDEX($S$6:$S$806,ROW()-5),"")</f>
        <v/>
      </c>
      <c r="C515">
        <f>IFERROR(INDEX($W$6:$W$806,ROW()-5),"")</f>
        <v/>
      </c>
      <c r="D515" s="36">
        <f>IFERROR(B515/$B$6*100,"")</f>
        <v/>
      </c>
      <c r="E515" s="36">
        <f>IFERROR(C515/$C$6*100,"")</f>
        <v/>
      </c>
    </row>
    <row r="516">
      <c r="A516" s="23">
        <f>IFERROR(INDEX($R$6:$R$806,ROW()-5),"")</f>
        <v/>
      </c>
      <c r="B516">
        <f>IFERROR(INDEX($S$6:$S$806,ROW()-5),"")</f>
        <v/>
      </c>
      <c r="C516">
        <f>IFERROR(INDEX($W$6:$W$806,ROW()-5),"")</f>
        <v/>
      </c>
      <c r="D516" s="36">
        <f>IFERROR(B516/$B$6*100,"")</f>
        <v/>
      </c>
      <c r="E516" s="36">
        <f>IFERROR(C516/$C$6*100,"")</f>
        <v/>
      </c>
    </row>
    <row r="517">
      <c r="A517" s="23">
        <f>IFERROR(INDEX($R$6:$R$806,ROW()-5),"")</f>
        <v/>
      </c>
      <c r="B517">
        <f>IFERROR(INDEX($S$6:$S$806,ROW()-5),"")</f>
        <v/>
      </c>
      <c r="C517">
        <f>IFERROR(INDEX($W$6:$W$806,ROW()-5),"")</f>
        <v/>
      </c>
      <c r="D517" s="36">
        <f>IFERROR(B517/$B$6*100,"")</f>
        <v/>
      </c>
      <c r="E517" s="36">
        <f>IFERROR(C517/$C$6*100,"")</f>
        <v/>
      </c>
    </row>
    <row r="518">
      <c r="A518" s="23">
        <f>IFERROR(INDEX($R$6:$R$806,ROW()-5),"")</f>
        <v/>
      </c>
      <c r="B518">
        <f>IFERROR(INDEX($S$6:$S$806,ROW()-5),"")</f>
        <v/>
      </c>
      <c r="C518">
        <f>IFERROR(INDEX($W$6:$W$806,ROW()-5),"")</f>
        <v/>
      </c>
      <c r="D518" s="36">
        <f>IFERROR(B518/$B$6*100,"")</f>
        <v/>
      </c>
      <c r="E518" s="36">
        <f>IFERROR(C518/$C$6*100,"")</f>
        <v/>
      </c>
    </row>
    <row r="519">
      <c r="A519" s="23">
        <f>IFERROR(INDEX($R$6:$R$806,ROW()-5),"")</f>
        <v/>
      </c>
      <c r="B519">
        <f>IFERROR(INDEX($S$6:$S$806,ROW()-5),"")</f>
        <v/>
      </c>
      <c r="C519">
        <f>IFERROR(INDEX($W$6:$W$806,ROW()-5),"")</f>
        <v/>
      </c>
      <c r="D519" s="36">
        <f>IFERROR(B519/$B$6*100,"")</f>
        <v/>
      </c>
      <c r="E519" s="36">
        <f>IFERROR(C519/$C$6*100,"")</f>
        <v/>
      </c>
    </row>
    <row r="520">
      <c r="A520" s="23">
        <f>IFERROR(INDEX($R$6:$R$806,ROW()-5),"")</f>
        <v/>
      </c>
      <c r="B520">
        <f>IFERROR(INDEX($S$6:$S$806,ROW()-5),"")</f>
        <v/>
      </c>
      <c r="C520">
        <f>IFERROR(INDEX($W$6:$W$806,ROW()-5),"")</f>
        <v/>
      </c>
      <c r="D520" s="36">
        <f>IFERROR(B520/$B$6*100,"")</f>
        <v/>
      </c>
      <c r="E520" s="36">
        <f>IFERROR(C520/$C$6*100,"")</f>
        <v/>
      </c>
    </row>
    <row r="521">
      <c r="A521" s="23">
        <f>IFERROR(INDEX($R$6:$R$806,ROW()-5),"")</f>
        <v/>
      </c>
      <c r="B521">
        <f>IFERROR(INDEX($S$6:$S$806,ROW()-5),"")</f>
        <v/>
      </c>
      <c r="C521">
        <f>IFERROR(INDEX($W$6:$W$806,ROW()-5),"")</f>
        <v/>
      </c>
      <c r="D521" s="36">
        <f>IFERROR(B521/$B$6*100,"")</f>
        <v/>
      </c>
      <c r="E521" s="36">
        <f>IFERROR(C521/$C$6*100,"")</f>
        <v/>
      </c>
    </row>
    <row r="522">
      <c r="A522" s="23">
        <f>IFERROR(INDEX($R$6:$R$806,ROW()-5),"")</f>
        <v/>
      </c>
      <c r="B522">
        <f>IFERROR(INDEX($S$6:$S$806,ROW()-5),"")</f>
        <v/>
      </c>
      <c r="C522">
        <f>IFERROR(INDEX($W$6:$W$806,ROW()-5),"")</f>
        <v/>
      </c>
      <c r="D522" s="36">
        <f>IFERROR(B522/$B$6*100,"")</f>
        <v/>
      </c>
      <c r="E522" s="36">
        <f>IFERROR(C522/$C$6*100,"")</f>
        <v/>
      </c>
    </row>
    <row r="523">
      <c r="A523" s="23">
        <f>IFERROR(INDEX($R$6:$R$806,ROW()-5),"")</f>
        <v/>
      </c>
      <c r="B523">
        <f>IFERROR(INDEX($S$6:$S$806,ROW()-5),"")</f>
        <v/>
      </c>
      <c r="C523">
        <f>IFERROR(INDEX($W$6:$W$806,ROW()-5),"")</f>
        <v/>
      </c>
      <c r="D523" s="36">
        <f>IFERROR(B523/$B$6*100,"")</f>
        <v/>
      </c>
      <c r="E523" s="36">
        <f>IFERROR(C523/$C$6*100,"")</f>
        <v/>
      </c>
    </row>
    <row r="524">
      <c r="A524" s="23">
        <f>IFERROR(INDEX($R$6:$R$806,ROW()-5),"")</f>
        <v/>
      </c>
      <c r="B524">
        <f>IFERROR(INDEX($S$6:$S$806,ROW()-5),"")</f>
        <v/>
      </c>
      <c r="C524">
        <f>IFERROR(INDEX($W$6:$W$806,ROW()-5),"")</f>
        <v/>
      </c>
      <c r="D524" s="36">
        <f>IFERROR(B524/$B$6*100,"")</f>
        <v/>
      </c>
      <c r="E524" s="36">
        <f>IFERROR(C524/$C$6*100,"")</f>
        <v/>
      </c>
    </row>
    <row r="525">
      <c r="A525" s="23">
        <f>IFERROR(INDEX($R$6:$R$806,ROW()-5),"")</f>
        <v/>
      </c>
      <c r="B525">
        <f>IFERROR(INDEX($S$6:$S$806,ROW()-5),"")</f>
        <v/>
      </c>
      <c r="C525">
        <f>IFERROR(INDEX($W$6:$W$806,ROW()-5),"")</f>
        <v/>
      </c>
      <c r="D525" s="36">
        <f>IFERROR(B525/$B$6*100,"")</f>
        <v/>
      </c>
      <c r="E525" s="36">
        <f>IFERROR(C525/$C$6*100,"")</f>
        <v/>
      </c>
    </row>
    <row r="526">
      <c r="A526" s="23">
        <f>IFERROR(INDEX($R$6:$R$806,ROW()-5),"")</f>
        <v/>
      </c>
      <c r="B526">
        <f>IFERROR(INDEX($S$6:$S$806,ROW()-5),"")</f>
        <v/>
      </c>
      <c r="C526">
        <f>IFERROR(INDEX($W$6:$W$806,ROW()-5),"")</f>
        <v/>
      </c>
      <c r="D526" s="36">
        <f>IFERROR(B526/$B$6*100,"")</f>
        <v/>
      </c>
      <c r="E526" s="36">
        <f>IFERROR(C526/$C$6*100,"")</f>
        <v/>
      </c>
    </row>
    <row r="527">
      <c r="A527" s="23">
        <f>IFERROR(INDEX($R$6:$R$806,ROW()-5),"")</f>
        <v/>
      </c>
      <c r="B527">
        <f>IFERROR(INDEX($S$6:$S$806,ROW()-5),"")</f>
        <v/>
      </c>
      <c r="C527">
        <f>IFERROR(INDEX($W$6:$W$806,ROW()-5),"")</f>
        <v/>
      </c>
      <c r="D527" s="36">
        <f>IFERROR(B527/$B$6*100,"")</f>
        <v/>
      </c>
      <c r="E527" s="36">
        <f>IFERROR(C527/$C$6*100,"")</f>
        <v/>
      </c>
    </row>
    <row r="528">
      <c r="A528" s="23">
        <f>IFERROR(INDEX($R$6:$R$806,ROW()-5),"")</f>
        <v/>
      </c>
      <c r="B528">
        <f>IFERROR(INDEX($S$6:$S$806,ROW()-5),"")</f>
        <v/>
      </c>
      <c r="C528">
        <f>IFERROR(INDEX($W$6:$W$806,ROW()-5),"")</f>
        <v/>
      </c>
      <c r="D528" s="36">
        <f>IFERROR(B528/$B$6*100,"")</f>
        <v/>
      </c>
      <c r="E528" s="36">
        <f>IFERROR(C528/$C$6*100,"")</f>
        <v/>
      </c>
    </row>
    <row r="529">
      <c r="A529" s="23">
        <f>IFERROR(INDEX($R$6:$R$806,ROW()-5),"")</f>
        <v/>
      </c>
      <c r="B529">
        <f>IFERROR(INDEX($S$6:$S$806,ROW()-5),"")</f>
        <v/>
      </c>
      <c r="C529">
        <f>IFERROR(INDEX($W$6:$W$806,ROW()-5),"")</f>
        <v/>
      </c>
      <c r="D529" s="36">
        <f>IFERROR(B529/$B$6*100,"")</f>
        <v/>
      </c>
      <c r="E529" s="36">
        <f>IFERROR(C529/$C$6*100,"")</f>
        <v/>
      </c>
    </row>
    <row r="530">
      <c r="A530" s="23">
        <f>IFERROR(INDEX($R$6:$R$806,ROW()-5),"")</f>
        <v/>
      </c>
      <c r="B530">
        <f>IFERROR(INDEX($S$6:$S$806,ROW()-5),"")</f>
        <v/>
      </c>
      <c r="C530">
        <f>IFERROR(INDEX($W$6:$W$806,ROW()-5),"")</f>
        <v/>
      </c>
      <c r="D530" s="36">
        <f>IFERROR(B530/$B$6*100,"")</f>
        <v/>
      </c>
      <c r="E530" s="36">
        <f>IFERROR(C530/$C$6*100,"")</f>
        <v/>
      </c>
    </row>
    <row r="531">
      <c r="A531" s="23">
        <f>IFERROR(INDEX($R$6:$R$806,ROW()-5),"")</f>
        <v/>
      </c>
      <c r="B531">
        <f>IFERROR(INDEX($S$6:$S$806,ROW()-5),"")</f>
        <v/>
      </c>
      <c r="C531">
        <f>IFERROR(INDEX($W$6:$W$806,ROW()-5),"")</f>
        <v/>
      </c>
      <c r="D531" s="36">
        <f>IFERROR(B531/$B$6*100,"")</f>
        <v/>
      </c>
      <c r="E531" s="36">
        <f>IFERROR(C531/$C$6*100,"")</f>
        <v/>
      </c>
    </row>
    <row r="532">
      <c r="A532" s="23">
        <f>IFERROR(INDEX($R$6:$R$806,ROW()-5),"")</f>
        <v/>
      </c>
      <c r="B532">
        <f>IFERROR(INDEX($S$6:$S$806,ROW()-5),"")</f>
        <v/>
      </c>
      <c r="C532">
        <f>IFERROR(INDEX($W$6:$W$806,ROW()-5),"")</f>
        <v/>
      </c>
      <c r="D532" s="36">
        <f>IFERROR(B532/$B$6*100,"")</f>
        <v/>
      </c>
      <c r="E532" s="36">
        <f>IFERROR(C532/$C$6*100,"")</f>
        <v/>
      </c>
    </row>
    <row r="533">
      <c r="A533" s="23">
        <f>IFERROR(INDEX($R$6:$R$806,ROW()-5),"")</f>
        <v/>
      </c>
      <c r="B533">
        <f>IFERROR(INDEX($S$6:$S$806,ROW()-5),"")</f>
        <v/>
      </c>
      <c r="C533">
        <f>IFERROR(INDEX($W$6:$W$806,ROW()-5),"")</f>
        <v/>
      </c>
      <c r="D533" s="36">
        <f>IFERROR(B533/$B$6*100,"")</f>
        <v/>
      </c>
      <c r="E533" s="36">
        <f>IFERROR(C533/$C$6*100,"")</f>
        <v/>
      </c>
    </row>
    <row r="534">
      <c r="A534" s="23">
        <f>IFERROR(INDEX($R$6:$R$806,ROW()-5),"")</f>
        <v/>
      </c>
      <c r="B534">
        <f>IFERROR(INDEX($S$6:$S$806,ROW()-5),"")</f>
        <v/>
      </c>
      <c r="C534">
        <f>IFERROR(INDEX($W$6:$W$806,ROW()-5),"")</f>
        <v/>
      </c>
      <c r="D534" s="36">
        <f>IFERROR(B534/$B$6*100,"")</f>
        <v/>
      </c>
      <c r="E534" s="36">
        <f>IFERROR(C534/$C$6*100,"")</f>
        <v/>
      </c>
    </row>
    <row r="535">
      <c r="A535" s="23">
        <f>IFERROR(INDEX($R$6:$R$806,ROW()-5),"")</f>
        <v/>
      </c>
      <c r="B535">
        <f>IFERROR(INDEX($S$6:$S$806,ROW()-5),"")</f>
        <v/>
      </c>
      <c r="C535">
        <f>IFERROR(INDEX($W$6:$W$806,ROW()-5),"")</f>
        <v/>
      </c>
      <c r="D535" s="36">
        <f>IFERROR(B535/$B$6*100,"")</f>
        <v/>
      </c>
      <c r="E535" s="36">
        <f>IFERROR(C535/$C$6*100,"")</f>
        <v/>
      </c>
    </row>
    <row r="536">
      <c r="A536" s="23">
        <f>IFERROR(INDEX($R$6:$R$806,ROW()-5),"")</f>
        <v/>
      </c>
      <c r="B536">
        <f>IFERROR(INDEX($S$6:$S$806,ROW()-5),"")</f>
        <v/>
      </c>
      <c r="C536">
        <f>IFERROR(INDEX($W$6:$W$806,ROW()-5),"")</f>
        <v/>
      </c>
      <c r="D536" s="36">
        <f>IFERROR(B536/$B$6*100,"")</f>
        <v/>
      </c>
      <c r="E536" s="36">
        <f>IFERROR(C536/$C$6*100,"")</f>
        <v/>
      </c>
    </row>
    <row r="537">
      <c r="A537" s="23">
        <f>IFERROR(INDEX($R$6:$R$806,ROW()-5),"")</f>
        <v/>
      </c>
      <c r="B537">
        <f>IFERROR(INDEX($S$6:$S$806,ROW()-5),"")</f>
        <v/>
      </c>
      <c r="C537">
        <f>IFERROR(INDEX($W$6:$W$806,ROW()-5),"")</f>
        <v/>
      </c>
      <c r="D537" s="36">
        <f>IFERROR(B537/$B$6*100,"")</f>
        <v/>
      </c>
      <c r="E537" s="36">
        <f>IFERROR(C537/$C$6*100,"")</f>
        <v/>
      </c>
    </row>
    <row r="538">
      <c r="A538" s="23">
        <f>IFERROR(INDEX($R$6:$R$806,ROW()-5),"")</f>
        <v/>
      </c>
      <c r="B538">
        <f>IFERROR(INDEX($S$6:$S$806,ROW()-5),"")</f>
        <v/>
      </c>
      <c r="C538">
        <f>IFERROR(INDEX($W$6:$W$806,ROW()-5),"")</f>
        <v/>
      </c>
      <c r="D538" s="36">
        <f>IFERROR(B538/$B$6*100,"")</f>
        <v/>
      </c>
      <c r="E538" s="36">
        <f>IFERROR(C538/$C$6*100,"")</f>
        <v/>
      </c>
    </row>
    <row r="539">
      <c r="A539" s="23">
        <f>IFERROR(INDEX($R$6:$R$806,ROW()-5),"")</f>
        <v/>
      </c>
      <c r="B539">
        <f>IFERROR(INDEX($S$6:$S$806,ROW()-5),"")</f>
        <v/>
      </c>
      <c r="C539">
        <f>IFERROR(INDEX($W$6:$W$806,ROW()-5),"")</f>
        <v/>
      </c>
      <c r="D539" s="36">
        <f>IFERROR(B539/$B$6*100,"")</f>
        <v/>
      </c>
      <c r="E539" s="36">
        <f>IFERROR(C539/$C$6*100,"")</f>
        <v/>
      </c>
    </row>
    <row r="540">
      <c r="A540" s="23">
        <f>IFERROR(INDEX($R$6:$R$806,ROW()-5),"")</f>
        <v/>
      </c>
      <c r="B540">
        <f>IFERROR(INDEX($S$6:$S$806,ROW()-5),"")</f>
        <v/>
      </c>
      <c r="C540">
        <f>IFERROR(INDEX($W$6:$W$806,ROW()-5),"")</f>
        <v/>
      </c>
      <c r="D540" s="36">
        <f>IFERROR(B540/$B$6*100,"")</f>
        <v/>
      </c>
      <c r="E540" s="36">
        <f>IFERROR(C540/$C$6*100,"")</f>
        <v/>
      </c>
    </row>
    <row r="541">
      <c r="A541" s="23">
        <f>IFERROR(INDEX($R$6:$R$806,ROW()-5),"")</f>
        <v/>
      </c>
      <c r="B541">
        <f>IFERROR(INDEX($S$6:$S$806,ROW()-5),"")</f>
        <v/>
      </c>
      <c r="C541">
        <f>IFERROR(INDEX($W$6:$W$806,ROW()-5),"")</f>
        <v/>
      </c>
      <c r="D541" s="36">
        <f>IFERROR(B541/$B$6*100,"")</f>
        <v/>
      </c>
      <c r="E541" s="36">
        <f>IFERROR(C541/$C$6*100,"")</f>
        <v/>
      </c>
    </row>
    <row r="542">
      <c r="A542" s="23">
        <f>IFERROR(INDEX($R$6:$R$806,ROW()-5),"")</f>
        <v/>
      </c>
      <c r="B542">
        <f>IFERROR(INDEX($S$6:$S$806,ROW()-5),"")</f>
        <v/>
      </c>
      <c r="C542">
        <f>IFERROR(INDEX($W$6:$W$806,ROW()-5),"")</f>
        <v/>
      </c>
      <c r="D542" s="36">
        <f>IFERROR(B542/$B$6*100,"")</f>
        <v/>
      </c>
      <c r="E542" s="36">
        <f>IFERROR(C542/$C$6*100,"")</f>
        <v/>
      </c>
    </row>
    <row r="543">
      <c r="A543" s="23">
        <f>IFERROR(INDEX($R$6:$R$806,ROW()-5),"")</f>
        <v/>
      </c>
      <c r="B543">
        <f>IFERROR(INDEX($S$6:$S$806,ROW()-5),"")</f>
        <v/>
      </c>
      <c r="C543">
        <f>IFERROR(INDEX($W$6:$W$806,ROW()-5),"")</f>
        <v/>
      </c>
      <c r="D543" s="36">
        <f>IFERROR(B543/$B$6*100,"")</f>
        <v/>
      </c>
      <c r="E543" s="36">
        <f>IFERROR(C543/$C$6*100,"")</f>
        <v/>
      </c>
    </row>
    <row r="544">
      <c r="A544" s="23">
        <f>IFERROR(INDEX($R$6:$R$806,ROW()-5),"")</f>
        <v/>
      </c>
      <c r="B544">
        <f>IFERROR(INDEX($S$6:$S$806,ROW()-5),"")</f>
        <v/>
      </c>
      <c r="C544">
        <f>IFERROR(INDEX($W$6:$W$806,ROW()-5),"")</f>
        <v/>
      </c>
      <c r="D544" s="36">
        <f>IFERROR(B544/$B$6*100,"")</f>
        <v/>
      </c>
      <c r="E544" s="36">
        <f>IFERROR(C544/$C$6*100,"")</f>
        <v/>
      </c>
    </row>
    <row r="545">
      <c r="A545" s="23">
        <f>IFERROR(INDEX($R$6:$R$806,ROW()-5),"")</f>
        <v/>
      </c>
      <c r="B545">
        <f>IFERROR(INDEX($S$6:$S$806,ROW()-5),"")</f>
        <v/>
      </c>
      <c r="C545">
        <f>IFERROR(INDEX($W$6:$W$806,ROW()-5),"")</f>
        <v/>
      </c>
      <c r="D545" s="36">
        <f>IFERROR(B545/$B$6*100,"")</f>
        <v/>
      </c>
      <c r="E545" s="36">
        <f>IFERROR(C545/$C$6*100,"")</f>
        <v/>
      </c>
    </row>
    <row r="546">
      <c r="A546" s="23">
        <f>IFERROR(INDEX($R$6:$R$806,ROW()-5),"")</f>
        <v/>
      </c>
      <c r="B546">
        <f>IFERROR(INDEX($S$6:$S$806,ROW()-5),"")</f>
        <v/>
      </c>
      <c r="C546">
        <f>IFERROR(INDEX($W$6:$W$806,ROW()-5),"")</f>
        <v/>
      </c>
      <c r="D546" s="36">
        <f>IFERROR(B546/$B$6*100,"")</f>
        <v/>
      </c>
      <c r="E546" s="36">
        <f>IFERROR(C546/$C$6*100,"")</f>
        <v/>
      </c>
    </row>
    <row r="547">
      <c r="A547" s="23">
        <f>IFERROR(INDEX($R$6:$R$806,ROW()-5),"")</f>
        <v/>
      </c>
      <c r="B547">
        <f>IFERROR(INDEX($S$6:$S$806,ROW()-5),"")</f>
        <v/>
      </c>
      <c r="C547">
        <f>IFERROR(INDEX($W$6:$W$806,ROW()-5),"")</f>
        <v/>
      </c>
      <c r="D547" s="36">
        <f>IFERROR(B547/$B$6*100,"")</f>
        <v/>
      </c>
      <c r="E547" s="36">
        <f>IFERROR(C547/$C$6*100,"")</f>
        <v/>
      </c>
    </row>
    <row r="548">
      <c r="A548" s="23">
        <f>IFERROR(INDEX($R$6:$R$806,ROW()-5),"")</f>
        <v/>
      </c>
      <c r="B548">
        <f>IFERROR(INDEX($S$6:$S$806,ROW()-5),"")</f>
        <v/>
      </c>
      <c r="C548">
        <f>IFERROR(INDEX($W$6:$W$806,ROW()-5),"")</f>
        <v/>
      </c>
      <c r="D548" s="36">
        <f>IFERROR(B548/$B$6*100,"")</f>
        <v/>
      </c>
      <c r="E548" s="36">
        <f>IFERROR(C548/$C$6*100,"")</f>
        <v/>
      </c>
    </row>
    <row r="549">
      <c r="A549" s="23">
        <f>IFERROR(INDEX($R$6:$R$806,ROW()-5),"")</f>
        <v/>
      </c>
      <c r="B549">
        <f>IFERROR(INDEX($S$6:$S$806,ROW()-5),"")</f>
        <v/>
      </c>
      <c r="C549">
        <f>IFERROR(INDEX($W$6:$W$806,ROW()-5),"")</f>
        <v/>
      </c>
      <c r="D549" s="36">
        <f>IFERROR(B549/$B$6*100,"")</f>
        <v/>
      </c>
      <c r="E549" s="36">
        <f>IFERROR(C549/$C$6*100,"")</f>
        <v/>
      </c>
    </row>
    <row r="550">
      <c r="A550" s="23">
        <f>IFERROR(INDEX($R$6:$R$806,ROW()-5),"")</f>
        <v/>
      </c>
      <c r="B550">
        <f>IFERROR(INDEX($S$6:$S$806,ROW()-5),"")</f>
        <v/>
      </c>
      <c r="C550">
        <f>IFERROR(INDEX($W$6:$W$806,ROW()-5),"")</f>
        <v/>
      </c>
      <c r="D550" s="36">
        <f>IFERROR(B550/$B$6*100,"")</f>
        <v/>
      </c>
      <c r="E550" s="36">
        <f>IFERROR(C550/$C$6*100,"")</f>
        <v/>
      </c>
    </row>
    <row r="551">
      <c r="A551" s="23">
        <f>IFERROR(INDEX($R$6:$R$806,ROW()-5),"")</f>
        <v/>
      </c>
      <c r="B551">
        <f>IFERROR(INDEX($S$6:$S$806,ROW()-5),"")</f>
        <v/>
      </c>
      <c r="C551">
        <f>IFERROR(INDEX($W$6:$W$806,ROW()-5),"")</f>
        <v/>
      </c>
      <c r="D551" s="36">
        <f>IFERROR(B551/$B$6*100,"")</f>
        <v/>
      </c>
      <c r="E551" s="36">
        <f>IFERROR(C551/$C$6*100,"")</f>
        <v/>
      </c>
    </row>
    <row r="552">
      <c r="A552" s="23">
        <f>IFERROR(INDEX($R$6:$R$806,ROW()-5),"")</f>
        <v/>
      </c>
      <c r="B552">
        <f>IFERROR(INDEX($S$6:$S$806,ROW()-5),"")</f>
        <v/>
      </c>
      <c r="C552">
        <f>IFERROR(INDEX($W$6:$W$806,ROW()-5),"")</f>
        <v/>
      </c>
      <c r="D552" s="36">
        <f>IFERROR(B552/$B$6*100,"")</f>
        <v/>
      </c>
      <c r="E552" s="36">
        <f>IFERROR(C552/$C$6*100,"")</f>
        <v/>
      </c>
    </row>
    <row r="553">
      <c r="A553" s="23">
        <f>IFERROR(INDEX($R$6:$R$806,ROW()-5),"")</f>
        <v/>
      </c>
      <c r="B553">
        <f>IFERROR(INDEX($S$6:$S$806,ROW()-5),"")</f>
        <v/>
      </c>
      <c r="C553">
        <f>IFERROR(INDEX($W$6:$W$806,ROW()-5),"")</f>
        <v/>
      </c>
      <c r="D553" s="36">
        <f>IFERROR(B553/$B$6*100,"")</f>
        <v/>
      </c>
      <c r="E553" s="36">
        <f>IFERROR(C553/$C$6*100,"")</f>
        <v/>
      </c>
    </row>
    <row r="554">
      <c r="A554" s="23">
        <f>IFERROR(INDEX($R$6:$R$806,ROW()-5),"")</f>
        <v/>
      </c>
      <c r="B554">
        <f>IFERROR(INDEX($S$6:$S$806,ROW()-5),"")</f>
        <v/>
      </c>
      <c r="C554">
        <f>IFERROR(INDEX($W$6:$W$806,ROW()-5),"")</f>
        <v/>
      </c>
      <c r="D554" s="36">
        <f>IFERROR(B554/$B$6*100,"")</f>
        <v/>
      </c>
      <c r="E554" s="36">
        <f>IFERROR(C554/$C$6*100,"")</f>
        <v/>
      </c>
    </row>
    <row r="555">
      <c r="A555" s="23">
        <f>IFERROR(INDEX($R$6:$R$806,ROW()-5),"")</f>
        <v/>
      </c>
      <c r="B555">
        <f>IFERROR(INDEX($S$6:$S$806,ROW()-5),"")</f>
        <v/>
      </c>
      <c r="C555">
        <f>IFERROR(INDEX($W$6:$W$806,ROW()-5),"")</f>
        <v/>
      </c>
      <c r="D555" s="36">
        <f>IFERROR(B555/$B$6*100,"")</f>
        <v/>
      </c>
      <c r="E555" s="36">
        <f>IFERROR(C555/$C$6*100,"")</f>
        <v/>
      </c>
    </row>
    <row r="556">
      <c r="A556" s="23">
        <f>IFERROR(INDEX($R$6:$R$806,ROW()-5),"")</f>
        <v/>
      </c>
      <c r="B556">
        <f>IFERROR(INDEX($S$6:$S$806,ROW()-5),"")</f>
        <v/>
      </c>
      <c r="C556">
        <f>IFERROR(INDEX($W$6:$W$806,ROW()-5),"")</f>
        <v/>
      </c>
      <c r="D556" s="36">
        <f>IFERROR(B556/$B$6*100,"")</f>
        <v/>
      </c>
      <c r="E556" s="36">
        <f>IFERROR(C556/$C$6*100,"")</f>
        <v/>
      </c>
    </row>
    <row r="557">
      <c r="A557" s="23">
        <f>IFERROR(INDEX($R$6:$R$806,ROW()-5),"")</f>
        <v/>
      </c>
      <c r="B557">
        <f>IFERROR(INDEX($S$6:$S$806,ROW()-5),"")</f>
        <v/>
      </c>
      <c r="C557">
        <f>IFERROR(INDEX($W$6:$W$806,ROW()-5),"")</f>
        <v/>
      </c>
      <c r="D557" s="36">
        <f>IFERROR(B557/$B$6*100,"")</f>
        <v/>
      </c>
      <c r="E557" s="36">
        <f>IFERROR(C557/$C$6*100,"")</f>
        <v/>
      </c>
    </row>
    <row r="558">
      <c r="A558" s="23">
        <f>IFERROR(INDEX($R$6:$R$806,ROW()-5),"")</f>
        <v/>
      </c>
      <c r="B558">
        <f>IFERROR(INDEX($S$6:$S$806,ROW()-5),"")</f>
        <v/>
      </c>
      <c r="C558">
        <f>IFERROR(INDEX($W$6:$W$806,ROW()-5),"")</f>
        <v/>
      </c>
      <c r="D558" s="36">
        <f>IFERROR(B558/$B$6*100,"")</f>
        <v/>
      </c>
      <c r="E558" s="36">
        <f>IFERROR(C558/$C$6*100,"")</f>
        <v/>
      </c>
    </row>
    <row r="559">
      <c r="A559" s="23">
        <f>IFERROR(INDEX($R$6:$R$806,ROW()-5),"")</f>
        <v/>
      </c>
      <c r="B559">
        <f>IFERROR(INDEX($S$6:$S$806,ROW()-5),"")</f>
        <v/>
      </c>
      <c r="C559">
        <f>IFERROR(INDEX($W$6:$W$806,ROW()-5),"")</f>
        <v/>
      </c>
      <c r="D559" s="36">
        <f>IFERROR(B559/$B$6*100,"")</f>
        <v/>
      </c>
      <c r="E559" s="36">
        <f>IFERROR(C559/$C$6*100,"")</f>
        <v/>
      </c>
    </row>
    <row r="560">
      <c r="A560" s="23">
        <f>IFERROR(INDEX($R$6:$R$806,ROW()-5),"")</f>
        <v/>
      </c>
      <c r="B560">
        <f>IFERROR(INDEX($S$6:$S$806,ROW()-5),"")</f>
        <v/>
      </c>
      <c r="C560">
        <f>IFERROR(INDEX($W$6:$W$806,ROW()-5),"")</f>
        <v/>
      </c>
      <c r="D560" s="36">
        <f>IFERROR(B560/$B$6*100,"")</f>
        <v/>
      </c>
      <c r="E560" s="36">
        <f>IFERROR(C560/$C$6*100,"")</f>
        <v/>
      </c>
    </row>
    <row r="561">
      <c r="A561" s="23">
        <f>IFERROR(INDEX($R$6:$R$806,ROW()-5),"")</f>
        <v/>
      </c>
      <c r="B561">
        <f>IFERROR(INDEX($S$6:$S$806,ROW()-5),"")</f>
        <v/>
      </c>
      <c r="C561">
        <f>IFERROR(INDEX($W$6:$W$806,ROW()-5),"")</f>
        <v/>
      </c>
      <c r="D561" s="36">
        <f>IFERROR(B561/$B$6*100,"")</f>
        <v/>
      </c>
      <c r="E561" s="36">
        <f>IFERROR(C561/$C$6*100,"")</f>
        <v/>
      </c>
    </row>
    <row r="562">
      <c r="A562" s="23">
        <f>IFERROR(INDEX($R$6:$R$806,ROW()-5),"")</f>
        <v/>
      </c>
      <c r="B562">
        <f>IFERROR(INDEX($S$6:$S$806,ROW()-5),"")</f>
        <v/>
      </c>
      <c r="C562">
        <f>IFERROR(INDEX($W$6:$W$806,ROW()-5),"")</f>
        <v/>
      </c>
      <c r="D562" s="36">
        <f>IFERROR(B562/$B$6*100,"")</f>
        <v/>
      </c>
      <c r="E562" s="36">
        <f>IFERROR(C562/$C$6*100,"")</f>
        <v/>
      </c>
    </row>
    <row r="563">
      <c r="A563" s="23">
        <f>IFERROR(INDEX($R$6:$R$806,ROW()-5),"")</f>
        <v/>
      </c>
      <c r="B563">
        <f>IFERROR(INDEX($S$6:$S$806,ROW()-5),"")</f>
        <v/>
      </c>
      <c r="C563">
        <f>IFERROR(INDEX($W$6:$W$806,ROW()-5),"")</f>
        <v/>
      </c>
      <c r="D563" s="36">
        <f>IFERROR(B563/$B$6*100,"")</f>
        <v/>
      </c>
      <c r="E563" s="36">
        <f>IFERROR(C563/$C$6*100,"")</f>
        <v/>
      </c>
    </row>
    <row r="564">
      <c r="A564" s="23">
        <f>IFERROR(INDEX($R$6:$R$806,ROW()-5),"")</f>
        <v/>
      </c>
      <c r="B564">
        <f>IFERROR(INDEX($S$6:$S$806,ROW()-5),"")</f>
        <v/>
      </c>
      <c r="C564">
        <f>IFERROR(INDEX($W$6:$W$806,ROW()-5),"")</f>
        <v/>
      </c>
      <c r="D564" s="36">
        <f>IFERROR(B564/$B$6*100,"")</f>
        <v/>
      </c>
      <c r="E564" s="36">
        <f>IFERROR(C564/$C$6*100,"")</f>
        <v/>
      </c>
    </row>
    <row r="565">
      <c r="A565" s="23">
        <f>IFERROR(INDEX($R$6:$R$806,ROW()-5),"")</f>
        <v/>
      </c>
      <c r="B565">
        <f>IFERROR(INDEX($S$6:$S$806,ROW()-5),"")</f>
        <v/>
      </c>
      <c r="C565">
        <f>IFERROR(INDEX($W$6:$W$806,ROW()-5),"")</f>
        <v/>
      </c>
      <c r="D565" s="36">
        <f>IFERROR(B565/$B$6*100,"")</f>
        <v/>
      </c>
      <c r="E565" s="36">
        <f>IFERROR(C565/$C$6*100,"")</f>
        <v/>
      </c>
    </row>
    <row r="566">
      <c r="A566" s="23">
        <f>IFERROR(INDEX($R$6:$R$806,ROW()-5),"")</f>
        <v/>
      </c>
      <c r="B566">
        <f>IFERROR(INDEX($S$6:$S$806,ROW()-5),"")</f>
        <v/>
      </c>
      <c r="C566">
        <f>IFERROR(INDEX($W$6:$W$806,ROW()-5),"")</f>
        <v/>
      </c>
      <c r="D566" s="36">
        <f>IFERROR(B566/$B$6*100,"")</f>
        <v/>
      </c>
      <c r="E566" s="36">
        <f>IFERROR(C566/$C$6*100,"")</f>
        <v/>
      </c>
    </row>
    <row r="567">
      <c r="A567" s="23">
        <f>IFERROR(INDEX($R$6:$R$806,ROW()-5),"")</f>
        <v/>
      </c>
      <c r="B567">
        <f>IFERROR(INDEX($S$6:$S$806,ROW()-5),"")</f>
        <v/>
      </c>
      <c r="C567">
        <f>IFERROR(INDEX($W$6:$W$806,ROW()-5),"")</f>
        <v/>
      </c>
      <c r="D567" s="36">
        <f>IFERROR(B567/$B$6*100,"")</f>
        <v/>
      </c>
      <c r="E567" s="36">
        <f>IFERROR(C567/$C$6*100,"")</f>
        <v/>
      </c>
    </row>
    <row r="568">
      <c r="A568" s="23">
        <f>IFERROR(INDEX($R$6:$R$806,ROW()-5),"")</f>
        <v/>
      </c>
      <c r="B568">
        <f>IFERROR(INDEX($S$6:$S$806,ROW()-5),"")</f>
        <v/>
      </c>
      <c r="C568">
        <f>IFERROR(INDEX($W$6:$W$806,ROW()-5),"")</f>
        <v/>
      </c>
      <c r="D568" s="36">
        <f>IFERROR(B568/$B$6*100,"")</f>
        <v/>
      </c>
      <c r="E568" s="36">
        <f>IFERROR(C568/$C$6*100,"")</f>
        <v/>
      </c>
    </row>
    <row r="569">
      <c r="A569" s="23">
        <f>IFERROR(INDEX($R$6:$R$806,ROW()-5),"")</f>
        <v/>
      </c>
      <c r="B569">
        <f>IFERROR(INDEX($S$6:$S$806,ROW()-5),"")</f>
        <v/>
      </c>
      <c r="C569">
        <f>IFERROR(INDEX($W$6:$W$806,ROW()-5),"")</f>
        <v/>
      </c>
      <c r="D569" s="36">
        <f>IFERROR(B569/$B$6*100,"")</f>
        <v/>
      </c>
      <c r="E569" s="36">
        <f>IFERROR(C569/$C$6*100,"")</f>
        <v/>
      </c>
    </row>
    <row r="570">
      <c r="A570" s="23">
        <f>IFERROR(INDEX($R$6:$R$806,ROW()-5),"")</f>
        <v/>
      </c>
      <c r="B570">
        <f>IFERROR(INDEX($S$6:$S$806,ROW()-5),"")</f>
        <v/>
      </c>
      <c r="C570">
        <f>IFERROR(INDEX($W$6:$W$806,ROW()-5),"")</f>
        <v/>
      </c>
      <c r="D570" s="36">
        <f>IFERROR(B570/$B$6*100,"")</f>
        <v/>
      </c>
      <c r="E570" s="36">
        <f>IFERROR(C570/$C$6*100,"")</f>
        <v/>
      </c>
    </row>
    <row r="571">
      <c r="A571" s="23">
        <f>IFERROR(INDEX($R$6:$R$806,ROW()-5),"")</f>
        <v/>
      </c>
      <c r="B571">
        <f>IFERROR(INDEX($S$6:$S$806,ROW()-5),"")</f>
        <v/>
      </c>
      <c r="C571">
        <f>IFERROR(INDEX($W$6:$W$806,ROW()-5),"")</f>
        <v/>
      </c>
      <c r="D571" s="36">
        <f>IFERROR(B571/$B$6*100,"")</f>
        <v/>
      </c>
      <c r="E571" s="36">
        <f>IFERROR(C571/$C$6*100,"")</f>
        <v/>
      </c>
    </row>
    <row r="572">
      <c r="A572" s="23">
        <f>IFERROR(INDEX($R$6:$R$806,ROW()-5),"")</f>
        <v/>
      </c>
      <c r="B572">
        <f>IFERROR(INDEX($S$6:$S$806,ROW()-5),"")</f>
        <v/>
      </c>
      <c r="C572">
        <f>IFERROR(INDEX($W$6:$W$806,ROW()-5),"")</f>
        <v/>
      </c>
      <c r="D572" s="36">
        <f>IFERROR(B572/$B$6*100,"")</f>
        <v/>
      </c>
      <c r="E572" s="36">
        <f>IFERROR(C572/$C$6*100,"")</f>
        <v/>
      </c>
    </row>
    <row r="573">
      <c r="A573" s="23">
        <f>IFERROR(INDEX($R$6:$R$806,ROW()-5),"")</f>
        <v/>
      </c>
      <c r="B573">
        <f>IFERROR(INDEX($S$6:$S$806,ROW()-5),"")</f>
        <v/>
      </c>
      <c r="C573">
        <f>IFERROR(INDEX($W$6:$W$806,ROW()-5),"")</f>
        <v/>
      </c>
      <c r="D573" s="36">
        <f>IFERROR(B573/$B$6*100,"")</f>
        <v/>
      </c>
      <c r="E573" s="36">
        <f>IFERROR(C573/$C$6*100,"")</f>
        <v/>
      </c>
    </row>
    <row r="574">
      <c r="A574" s="23">
        <f>IFERROR(INDEX($R$6:$R$806,ROW()-5),"")</f>
        <v/>
      </c>
      <c r="B574">
        <f>IFERROR(INDEX($S$6:$S$806,ROW()-5),"")</f>
        <v/>
      </c>
      <c r="C574">
        <f>IFERROR(INDEX($W$6:$W$806,ROW()-5),"")</f>
        <v/>
      </c>
      <c r="D574" s="36">
        <f>IFERROR(B574/$B$6*100,"")</f>
        <v/>
      </c>
      <c r="E574" s="36">
        <f>IFERROR(C574/$C$6*100,"")</f>
        <v/>
      </c>
    </row>
    <row r="575">
      <c r="A575" s="23">
        <f>IFERROR(INDEX($R$6:$R$806,ROW()-5),"")</f>
        <v/>
      </c>
      <c r="B575">
        <f>IFERROR(INDEX($S$6:$S$806,ROW()-5),"")</f>
        <v/>
      </c>
      <c r="C575">
        <f>IFERROR(INDEX($W$6:$W$806,ROW()-5),"")</f>
        <v/>
      </c>
      <c r="D575" s="36">
        <f>IFERROR(B575/$B$6*100,"")</f>
        <v/>
      </c>
      <c r="E575" s="36">
        <f>IFERROR(C575/$C$6*100,"")</f>
        <v/>
      </c>
    </row>
    <row r="576">
      <c r="A576" s="23">
        <f>IFERROR(INDEX($R$6:$R$806,ROW()-5),"")</f>
        <v/>
      </c>
      <c r="B576">
        <f>IFERROR(INDEX($S$6:$S$806,ROW()-5),"")</f>
        <v/>
      </c>
      <c r="C576">
        <f>IFERROR(INDEX($W$6:$W$806,ROW()-5),"")</f>
        <v/>
      </c>
      <c r="D576" s="36">
        <f>IFERROR(B576/$B$6*100,"")</f>
        <v/>
      </c>
      <c r="E576" s="36">
        <f>IFERROR(C576/$C$6*100,"")</f>
        <v/>
      </c>
    </row>
    <row r="577">
      <c r="A577" s="23">
        <f>IFERROR(INDEX($R$6:$R$806,ROW()-5),"")</f>
        <v/>
      </c>
      <c r="B577">
        <f>IFERROR(INDEX($S$6:$S$806,ROW()-5),"")</f>
        <v/>
      </c>
      <c r="C577">
        <f>IFERROR(INDEX($W$6:$W$806,ROW()-5),"")</f>
        <v/>
      </c>
      <c r="D577" s="36">
        <f>IFERROR(B577/$B$6*100,"")</f>
        <v/>
      </c>
      <c r="E577" s="36">
        <f>IFERROR(C577/$C$6*100,"")</f>
        <v/>
      </c>
    </row>
    <row r="578">
      <c r="A578" s="23">
        <f>IFERROR(INDEX($R$6:$R$806,ROW()-5),"")</f>
        <v/>
      </c>
      <c r="B578">
        <f>IFERROR(INDEX($S$6:$S$806,ROW()-5),"")</f>
        <v/>
      </c>
      <c r="C578">
        <f>IFERROR(INDEX($W$6:$W$806,ROW()-5),"")</f>
        <v/>
      </c>
      <c r="D578" s="36">
        <f>IFERROR(B578/$B$6*100,"")</f>
        <v/>
      </c>
      <c r="E578" s="36">
        <f>IFERROR(C578/$C$6*100,"")</f>
        <v/>
      </c>
    </row>
    <row r="579">
      <c r="A579" s="23">
        <f>IFERROR(INDEX($R$6:$R$806,ROW()-5),"")</f>
        <v/>
      </c>
      <c r="B579">
        <f>IFERROR(INDEX($S$6:$S$806,ROW()-5),"")</f>
        <v/>
      </c>
      <c r="C579">
        <f>IFERROR(INDEX($W$6:$W$806,ROW()-5),"")</f>
        <v/>
      </c>
      <c r="D579" s="36">
        <f>IFERROR(B579/$B$6*100,"")</f>
        <v/>
      </c>
      <c r="E579" s="36">
        <f>IFERROR(C579/$C$6*100,"")</f>
        <v/>
      </c>
    </row>
    <row r="580">
      <c r="A580" s="23">
        <f>IFERROR(INDEX($R$6:$R$806,ROW()-5),"")</f>
        <v/>
      </c>
      <c r="B580">
        <f>IFERROR(INDEX($S$6:$S$806,ROW()-5),"")</f>
        <v/>
      </c>
      <c r="C580">
        <f>IFERROR(INDEX($W$6:$W$806,ROW()-5),"")</f>
        <v/>
      </c>
      <c r="D580" s="36">
        <f>IFERROR(B580/$B$6*100,"")</f>
        <v/>
      </c>
      <c r="E580" s="36">
        <f>IFERROR(C580/$C$6*100,"")</f>
        <v/>
      </c>
    </row>
    <row r="581">
      <c r="A581" s="23">
        <f>IFERROR(INDEX($R$6:$R$806,ROW()-5),"")</f>
        <v/>
      </c>
      <c r="B581">
        <f>IFERROR(INDEX($S$6:$S$806,ROW()-5),"")</f>
        <v/>
      </c>
      <c r="C581">
        <f>IFERROR(INDEX($W$6:$W$806,ROW()-5),"")</f>
        <v/>
      </c>
      <c r="D581" s="36">
        <f>IFERROR(B581/$B$6*100,"")</f>
        <v/>
      </c>
      <c r="E581" s="36">
        <f>IFERROR(C581/$C$6*100,"")</f>
        <v/>
      </c>
    </row>
    <row r="582">
      <c r="A582" s="23">
        <f>IFERROR(INDEX($R$6:$R$806,ROW()-5),"")</f>
        <v/>
      </c>
      <c r="B582">
        <f>IFERROR(INDEX($S$6:$S$806,ROW()-5),"")</f>
        <v/>
      </c>
      <c r="C582">
        <f>IFERROR(INDEX($W$6:$W$806,ROW()-5),"")</f>
        <v/>
      </c>
      <c r="D582" s="36">
        <f>IFERROR(B582/$B$6*100,"")</f>
        <v/>
      </c>
      <c r="E582" s="36">
        <f>IFERROR(C582/$C$6*100,"")</f>
        <v/>
      </c>
    </row>
    <row r="583">
      <c r="A583" s="23">
        <f>IFERROR(INDEX($R$6:$R$806,ROW()-5),"")</f>
        <v/>
      </c>
      <c r="B583">
        <f>IFERROR(INDEX($S$6:$S$806,ROW()-5),"")</f>
        <v/>
      </c>
      <c r="C583">
        <f>IFERROR(INDEX($W$6:$W$806,ROW()-5),"")</f>
        <v/>
      </c>
      <c r="D583" s="36">
        <f>IFERROR(B583/$B$6*100,"")</f>
        <v/>
      </c>
      <c r="E583" s="36">
        <f>IFERROR(C583/$C$6*100,"")</f>
        <v/>
      </c>
    </row>
    <row r="584">
      <c r="A584" s="23">
        <f>IFERROR(INDEX($R$6:$R$806,ROW()-5),"")</f>
        <v/>
      </c>
      <c r="B584">
        <f>IFERROR(INDEX($S$6:$S$806,ROW()-5),"")</f>
        <v/>
      </c>
      <c r="C584">
        <f>IFERROR(INDEX($W$6:$W$806,ROW()-5),"")</f>
        <v/>
      </c>
      <c r="D584" s="36">
        <f>IFERROR(B584/$B$6*100,"")</f>
        <v/>
      </c>
      <c r="E584" s="36">
        <f>IFERROR(C584/$C$6*100,"")</f>
        <v/>
      </c>
    </row>
    <row r="585">
      <c r="A585" s="23">
        <f>IFERROR(INDEX($R$6:$R$806,ROW()-5),"")</f>
        <v/>
      </c>
      <c r="B585">
        <f>IFERROR(INDEX($S$6:$S$806,ROW()-5),"")</f>
        <v/>
      </c>
      <c r="C585">
        <f>IFERROR(INDEX($W$6:$W$806,ROW()-5),"")</f>
        <v/>
      </c>
      <c r="D585" s="36">
        <f>IFERROR(B585/$B$6*100,"")</f>
        <v/>
      </c>
      <c r="E585" s="36">
        <f>IFERROR(C585/$C$6*100,"")</f>
        <v/>
      </c>
    </row>
    <row r="586">
      <c r="A586" s="23">
        <f>IFERROR(INDEX($R$6:$R$806,ROW()-5),"")</f>
        <v/>
      </c>
      <c r="B586">
        <f>IFERROR(INDEX($S$6:$S$806,ROW()-5),"")</f>
        <v/>
      </c>
      <c r="C586">
        <f>IFERROR(INDEX($W$6:$W$806,ROW()-5),"")</f>
        <v/>
      </c>
      <c r="D586" s="36">
        <f>IFERROR(B586/$B$6*100,"")</f>
        <v/>
      </c>
      <c r="E586" s="36">
        <f>IFERROR(C586/$C$6*100,"")</f>
        <v/>
      </c>
    </row>
    <row r="587">
      <c r="A587" s="23">
        <f>IFERROR(INDEX($R$6:$R$806,ROW()-5),"")</f>
        <v/>
      </c>
      <c r="B587">
        <f>IFERROR(INDEX($S$6:$S$806,ROW()-5),"")</f>
        <v/>
      </c>
      <c r="C587">
        <f>IFERROR(INDEX($W$6:$W$806,ROW()-5),"")</f>
        <v/>
      </c>
      <c r="D587" s="36">
        <f>IFERROR(B587/$B$6*100,"")</f>
        <v/>
      </c>
      <c r="E587" s="36">
        <f>IFERROR(C587/$C$6*100,"")</f>
        <v/>
      </c>
    </row>
    <row r="588">
      <c r="A588" s="23">
        <f>IFERROR(INDEX($R$6:$R$806,ROW()-5),"")</f>
        <v/>
      </c>
      <c r="B588">
        <f>IFERROR(INDEX($S$6:$S$806,ROW()-5),"")</f>
        <v/>
      </c>
      <c r="C588">
        <f>IFERROR(INDEX($W$6:$W$806,ROW()-5),"")</f>
        <v/>
      </c>
      <c r="D588" s="36">
        <f>IFERROR(B588/$B$6*100,"")</f>
        <v/>
      </c>
      <c r="E588" s="36">
        <f>IFERROR(C588/$C$6*100,"")</f>
        <v/>
      </c>
    </row>
    <row r="589">
      <c r="A589" s="23">
        <f>IFERROR(INDEX($R$6:$R$806,ROW()-5),"")</f>
        <v/>
      </c>
      <c r="B589">
        <f>IFERROR(INDEX($S$6:$S$806,ROW()-5),"")</f>
        <v/>
      </c>
      <c r="C589">
        <f>IFERROR(INDEX($W$6:$W$806,ROW()-5),"")</f>
        <v/>
      </c>
      <c r="D589" s="36">
        <f>IFERROR(B589/$B$6*100,"")</f>
        <v/>
      </c>
      <c r="E589" s="36">
        <f>IFERROR(C589/$C$6*100,"")</f>
        <v/>
      </c>
    </row>
    <row r="590">
      <c r="A590" s="23">
        <f>IFERROR(INDEX($R$6:$R$806,ROW()-5),"")</f>
        <v/>
      </c>
      <c r="B590">
        <f>IFERROR(INDEX($S$6:$S$806,ROW()-5),"")</f>
        <v/>
      </c>
      <c r="C590">
        <f>IFERROR(INDEX($W$6:$W$806,ROW()-5),"")</f>
        <v/>
      </c>
      <c r="D590" s="36">
        <f>IFERROR(B590/$B$6*100,"")</f>
        <v/>
      </c>
      <c r="E590" s="36">
        <f>IFERROR(C590/$C$6*100,"")</f>
        <v/>
      </c>
    </row>
    <row r="591">
      <c r="A591" s="23">
        <f>IFERROR(INDEX($R$6:$R$806,ROW()-5),"")</f>
        <v/>
      </c>
      <c r="B591">
        <f>IFERROR(INDEX($S$6:$S$806,ROW()-5),"")</f>
        <v/>
      </c>
      <c r="C591">
        <f>IFERROR(INDEX($W$6:$W$806,ROW()-5),"")</f>
        <v/>
      </c>
      <c r="D591" s="36">
        <f>IFERROR(B591/$B$6*100,"")</f>
        <v/>
      </c>
      <c r="E591" s="36">
        <f>IFERROR(C591/$C$6*100,"")</f>
        <v/>
      </c>
    </row>
    <row r="592">
      <c r="A592" s="23">
        <f>IFERROR(INDEX($R$6:$R$806,ROW()-5),"")</f>
        <v/>
      </c>
      <c r="B592">
        <f>IFERROR(INDEX($S$6:$S$806,ROW()-5),"")</f>
        <v/>
      </c>
      <c r="C592">
        <f>IFERROR(INDEX($W$6:$W$806,ROW()-5),"")</f>
        <v/>
      </c>
      <c r="D592" s="36">
        <f>IFERROR(B592/$B$6*100,"")</f>
        <v/>
      </c>
      <c r="E592" s="36">
        <f>IFERROR(C592/$C$6*100,"")</f>
        <v/>
      </c>
    </row>
    <row r="593">
      <c r="A593" s="23">
        <f>IFERROR(INDEX($R$6:$R$806,ROW()-5),"")</f>
        <v/>
      </c>
      <c r="B593">
        <f>IFERROR(INDEX($S$6:$S$806,ROW()-5),"")</f>
        <v/>
      </c>
      <c r="C593">
        <f>IFERROR(INDEX($W$6:$W$806,ROW()-5),"")</f>
        <v/>
      </c>
      <c r="D593" s="36">
        <f>IFERROR(B593/$B$6*100,"")</f>
        <v/>
      </c>
      <c r="E593" s="36">
        <f>IFERROR(C593/$C$6*100,"")</f>
        <v/>
      </c>
    </row>
    <row r="594">
      <c r="A594" s="23">
        <f>IFERROR(INDEX($R$6:$R$806,ROW()-5),"")</f>
        <v/>
      </c>
      <c r="B594">
        <f>IFERROR(INDEX($S$6:$S$806,ROW()-5),"")</f>
        <v/>
      </c>
      <c r="C594">
        <f>IFERROR(INDEX($W$6:$W$806,ROW()-5),"")</f>
        <v/>
      </c>
      <c r="D594" s="36">
        <f>IFERROR(B594/$B$6*100,"")</f>
        <v/>
      </c>
      <c r="E594" s="36">
        <f>IFERROR(C594/$C$6*100,"")</f>
        <v/>
      </c>
    </row>
    <row r="595">
      <c r="A595" s="23">
        <f>IFERROR(INDEX($R$6:$R$806,ROW()-5),"")</f>
        <v/>
      </c>
      <c r="B595">
        <f>IFERROR(INDEX($S$6:$S$806,ROW()-5),"")</f>
        <v/>
      </c>
      <c r="C595">
        <f>IFERROR(INDEX($W$6:$W$806,ROW()-5),"")</f>
        <v/>
      </c>
      <c r="D595" s="36">
        <f>IFERROR(B595/$B$6*100,"")</f>
        <v/>
      </c>
      <c r="E595" s="36">
        <f>IFERROR(C595/$C$6*100,"")</f>
        <v/>
      </c>
    </row>
    <row r="596">
      <c r="A596" s="23">
        <f>IFERROR(INDEX($R$6:$R$806,ROW()-5),"")</f>
        <v/>
      </c>
      <c r="B596">
        <f>IFERROR(INDEX($S$6:$S$806,ROW()-5),"")</f>
        <v/>
      </c>
      <c r="C596">
        <f>IFERROR(INDEX($W$6:$W$806,ROW()-5),"")</f>
        <v/>
      </c>
      <c r="D596" s="36">
        <f>IFERROR(B596/$B$6*100,"")</f>
        <v/>
      </c>
      <c r="E596" s="36">
        <f>IFERROR(C596/$C$6*100,"")</f>
        <v/>
      </c>
    </row>
    <row r="597">
      <c r="A597" s="23">
        <f>IFERROR(INDEX($R$6:$R$806,ROW()-5),"")</f>
        <v/>
      </c>
      <c r="B597">
        <f>IFERROR(INDEX($S$6:$S$806,ROW()-5),"")</f>
        <v/>
      </c>
      <c r="C597">
        <f>IFERROR(INDEX($W$6:$W$806,ROW()-5),"")</f>
        <v/>
      </c>
      <c r="D597" s="36">
        <f>IFERROR(B597/$B$6*100,"")</f>
        <v/>
      </c>
      <c r="E597" s="36">
        <f>IFERROR(C597/$C$6*100,"")</f>
        <v/>
      </c>
    </row>
    <row r="598">
      <c r="A598" s="23">
        <f>IFERROR(INDEX($R$6:$R$806,ROW()-5),"")</f>
        <v/>
      </c>
      <c r="B598">
        <f>IFERROR(INDEX($S$6:$S$806,ROW()-5),"")</f>
        <v/>
      </c>
      <c r="C598">
        <f>IFERROR(INDEX($W$6:$W$806,ROW()-5),"")</f>
        <v/>
      </c>
      <c r="D598" s="36">
        <f>IFERROR(B598/$B$6*100,"")</f>
        <v/>
      </c>
      <c r="E598" s="36">
        <f>IFERROR(C598/$C$6*100,"")</f>
        <v/>
      </c>
    </row>
    <row r="599">
      <c r="A599" s="23">
        <f>IFERROR(INDEX($R$6:$R$806,ROW()-5),"")</f>
        <v/>
      </c>
      <c r="B599">
        <f>IFERROR(INDEX($S$6:$S$806,ROW()-5),"")</f>
        <v/>
      </c>
      <c r="C599">
        <f>IFERROR(INDEX($W$6:$W$806,ROW()-5),"")</f>
        <v/>
      </c>
      <c r="D599" s="36">
        <f>IFERROR(B599/$B$6*100,"")</f>
        <v/>
      </c>
      <c r="E599" s="36">
        <f>IFERROR(C599/$C$6*100,"")</f>
        <v/>
      </c>
    </row>
    <row r="600">
      <c r="A600" s="23">
        <f>IFERROR(INDEX($R$6:$R$806,ROW()-5),"")</f>
        <v/>
      </c>
      <c r="B600">
        <f>IFERROR(INDEX($S$6:$S$806,ROW()-5),"")</f>
        <v/>
      </c>
      <c r="C600">
        <f>IFERROR(INDEX($W$6:$W$806,ROW()-5),"")</f>
        <v/>
      </c>
      <c r="D600" s="36">
        <f>IFERROR(B600/$B$6*100,"")</f>
        <v/>
      </c>
      <c r="E600" s="36">
        <f>IFERROR(C600/$C$6*100,"")</f>
        <v/>
      </c>
    </row>
    <row r="601">
      <c r="A601" s="23">
        <f>IFERROR(INDEX($R$6:$R$806,ROW()-5),"")</f>
        <v/>
      </c>
      <c r="B601">
        <f>IFERROR(INDEX($S$6:$S$806,ROW()-5),"")</f>
        <v/>
      </c>
      <c r="C601">
        <f>IFERROR(INDEX($W$6:$W$806,ROW()-5),"")</f>
        <v/>
      </c>
      <c r="D601" s="36">
        <f>IFERROR(B601/$B$6*100,"")</f>
        <v/>
      </c>
      <c r="E601" s="36">
        <f>IFERROR(C601/$C$6*100,"")</f>
        <v/>
      </c>
    </row>
    <row r="602">
      <c r="A602" s="23">
        <f>IFERROR(INDEX($R$6:$R$806,ROW()-5),"")</f>
        <v/>
      </c>
      <c r="B602">
        <f>IFERROR(INDEX($S$6:$S$806,ROW()-5),"")</f>
        <v/>
      </c>
      <c r="C602">
        <f>IFERROR(INDEX($W$6:$W$806,ROW()-5),"")</f>
        <v/>
      </c>
      <c r="D602" s="36">
        <f>IFERROR(B602/$B$6*100,"")</f>
        <v/>
      </c>
      <c r="E602" s="36">
        <f>IFERROR(C602/$C$6*100,"")</f>
        <v/>
      </c>
    </row>
    <row r="603">
      <c r="A603" s="23">
        <f>IFERROR(INDEX($R$6:$R$806,ROW()-5),"")</f>
        <v/>
      </c>
      <c r="B603">
        <f>IFERROR(INDEX($S$6:$S$806,ROW()-5),"")</f>
        <v/>
      </c>
      <c r="C603">
        <f>IFERROR(INDEX($W$6:$W$806,ROW()-5),"")</f>
        <v/>
      </c>
      <c r="D603" s="36">
        <f>IFERROR(B603/$B$6*100,"")</f>
        <v/>
      </c>
      <c r="E603" s="36">
        <f>IFERROR(C603/$C$6*100,"")</f>
        <v/>
      </c>
    </row>
    <row r="604">
      <c r="A604" s="23">
        <f>IFERROR(INDEX($R$6:$R$806,ROW()-5),"")</f>
        <v/>
      </c>
      <c r="B604">
        <f>IFERROR(INDEX($S$6:$S$806,ROW()-5),"")</f>
        <v/>
      </c>
      <c r="C604">
        <f>IFERROR(INDEX($W$6:$W$806,ROW()-5),"")</f>
        <v/>
      </c>
      <c r="D604" s="36">
        <f>IFERROR(B604/$B$6*100,"")</f>
        <v/>
      </c>
      <c r="E604" s="36">
        <f>IFERROR(C604/$C$6*100,"")</f>
        <v/>
      </c>
    </row>
    <row r="605">
      <c r="A605" s="23">
        <f>IFERROR(INDEX($R$6:$R$806,ROW()-5),"")</f>
        <v/>
      </c>
      <c r="B605">
        <f>IFERROR(INDEX($S$6:$S$806,ROW()-5),"")</f>
        <v/>
      </c>
      <c r="C605">
        <f>IFERROR(INDEX($W$6:$W$806,ROW()-5),"")</f>
        <v/>
      </c>
      <c r="D605" s="36">
        <f>IFERROR(B605/$B$6*100,"")</f>
        <v/>
      </c>
      <c r="E605" s="36">
        <f>IFERROR(C605/$C$6*100,"")</f>
        <v/>
      </c>
    </row>
    <row r="606">
      <c r="A606" s="23">
        <f>IFERROR(INDEX($R$6:$R$806,ROW()-5),"")</f>
        <v/>
      </c>
      <c r="B606">
        <f>IFERROR(INDEX($S$6:$S$806,ROW()-5),"")</f>
        <v/>
      </c>
      <c r="C606">
        <f>IFERROR(INDEX($W$6:$W$806,ROW()-5),"")</f>
        <v/>
      </c>
      <c r="D606" s="36">
        <f>IFERROR(B606/$B$6*100,"")</f>
        <v/>
      </c>
      <c r="E606" s="36">
        <f>IFERROR(C606/$C$6*100,"")</f>
        <v/>
      </c>
    </row>
    <row r="607">
      <c r="A607" s="23">
        <f>IFERROR(INDEX($R$6:$R$806,ROW()-5),"")</f>
        <v/>
      </c>
      <c r="B607">
        <f>IFERROR(INDEX($S$6:$S$806,ROW()-5),"")</f>
        <v/>
      </c>
      <c r="C607">
        <f>IFERROR(INDEX($W$6:$W$806,ROW()-5),"")</f>
        <v/>
      </c>
      <c r="D607" s="36">
        <f>IFERROR(B607/$B$6*100,"")</f>
        <v/>
      </c>
      <c r="E607" s="36">
        <f>IFERROR(C607/$C$6*100,"")</f>
        <v/>
      </c>
    </row>
    <row r="608">
      <c r="A608" s="23">
        <f>IFERROR(INDEX($R$6:$R$806,ROW()-5),"")</f>
        <v/>
      </c>
      <c r="B608">
        <f>IFERROR(INDEX($S$6:$S$806,ROW()-5),"")</f>
        <v/>
      </c>
      <c r="C608">
        <f>IFERROR(INDEX($W$6:$W$806,ROW()-5),"")</f>
        <v/>
      </c>
      <c r="D608" s="36">
        <f>IFERROR(B608/$B$6*100,"")</f>
        <v/>
      </c>
      <c r="E608" s="36">
        <f>IFERROR(C608/$C$6*100,"")</f>
        <v/>
      </c>
    </row>
    <row r="609">
      <c r="A609" s="23">
        <f>IFERROR(INDEX($R$6:$R$806,ROW()-5),"")</f>
        <v/>
      </c>
      <c r="B609">
        <f>IFERROR(INDEX($S$6:$S$806,ROW()-5),"")</f>
        <v/>
      </c>
      <c r="C609">
        <f>IFERROR(INDEX($W$6:$W$806,ROW()-5),"")</f>
        <v/>
      </c>
      <c r="D609" s="36">
        <f>IFERROR(B609/$B$6*100,"")</f>
        <v/>
      </c>
      <c r="E609" s="36">
        <f>IFERROR(C609/$C$6*100,"")</f>
        <v/>
      </c>
    </row>
    <row r="610">
      <c r="A610" s="23">
        <f>IFERROR(INDEX($R$6:$R$806,ROW()-5),"")</f>
        <v/>
      </c>
      <c r="B610">
        <f>IFERROR(INDEX($S$6:$S$806,ROW()-5),"")</f>
        <v/>
      </c>
      <c r="C610">
        <f>IFERROR(INDEX($W$6:$W$806,ROW()-5),"")</f>
        <v/>
      </c>
      <c r="D610" s="36">
        <f>IFERROR(B610/$B$6*100,"")</f>
        <v/>
      </c>
      <c r="E610" s="36">
        <f>IFERROR(C610/$C$6*100,"")</f>
        <v/>
      </c>
    </row>
    <row r="611">
      <c r="A611" s="23">
        <f>IFERROR(INDEX($R$6:$R$806,ROW()-5),"")</f>
        <v/>
      </c>
      <c r="B611">
        <f>IFERROR(INDEX($S$6:$S$806,ROW()-5),"")</f>
        <v/>
      </c>
      <c r="C611">
        <f>IFERROR(INDEX($W$6:$W$806,ROW()-5),"")</f>
        <v/>
      </c>
      <c r="D611" s="36">
        <f>IFERROR(B611/$B$6*100,"")</f>
        <v/>
      </c>
      <c r="E611" s="36">
        <f>IFERROR(C611/$C$6*100,"")</f>
        <v/>
      </c>
    </row>
    <row r="612">
      <c r="A612" s="23">
        <f>IFERROR(INDEX($R$6:$R$806,ROW()-5),"")</f>
        <v/>
      </c>
      <c r="B612">
        <f>IFERROR(INDEX($S$6:$S$806,ROW()-5),"")</f>
        <v/>
      </c>
      <c r="C612">
        <f>IFERROR(INDEX($W$6:$W$806,ROW()-5),"")</f>
        <v/>
      </c>
      <c r="D612" s="36">
        <f>IFERROR(B612/$B$6*100,"")</f>
        <v/>
      </c>
      <c r="E612" s="36">
        <f>IFERROR(C612/$C$6*100,"")</f>
        <v/>
      </c>
    </row>
    <row r="613">
      <c r="A613" s="23">
        <f>IFERROR(INDEX($R$6:$R$806,ROW()-5),"")</f>
        <v/>
      </c>
      <c r="B613">
        <f>IFERROR(INDEX($S$6:$S$806,ROW()-5),"")</f>
        <v/>
      </c>
      <c r="C613">
        <f>IFERROR(INDEX($W$6:$W$806,ROW()-5),"")</f>
        <v/>
      </c>
      <c r="D613" s="36">
        <f>IFERROR(B613/$B$6*100,"")</f>
        <v/>
      </c>
      <c r="E613" s="36">
        <f>IFERROR(C613/$C$6*100,"")</f>
        <v/>
      </c>
    </row>
    <row r="614">
      <c r="A614" s="23">
        <f>IFERROR(INDEX($R$6:$R$806,ROW()-5),"")</f>
        <v/>
      </c>
      <c r="B614">
        <f>IFERROR(INDEX($S$6:$S$806,ROW()-5),"")</f>
        <v/>
      </c>
      <c r="C614">
        <f>IFERROR(INDEX($W$6:$W$806,ROW()-5),"")</f>
        <v/>
      </c>
      <c r="D614" s="36">
        <f>IFERROR(B614/$B$6*100,"")</f>
        <v/>
      </c>
      <c r="E614" s="36">
        <f>IFERROR(C614/$C$6*100,"")</f>
        <v/>
      </c>
    </row>
    <row r="615">
      <c r="A615" s="23">
        <f>IFERROR(INDEX($R$6:$R$806,ROW()-5),"")</f>
        <v/>
      </c>
      <c r="B615">
        <f>IFERROR(INDEX($S$6:$S$806,ROW()-5),"")</f>
        <v/>
      </c>
      <c r="C615">
        <f>IFERROR(INDEX($W$6:$W$806,ROW()-5),"")</f>
        <v/>
      </c>
      <c r="D615" s="36">
        <f>IFERROR(B615/$B$6*100,"")</f>
        <v/>
      </c>
      <c r="E615" s="36">
        <f>IFERROR(C615/$C$6*100,"")</f>
        <v/>
      </c>
    </row>
    <row r="616">
      <c r="A616" s="23">
        <f>IFERROR(INDEX($R$6:$R$806,ROW()-5),"")</f>
        <v/>
      </c>
      <c r="B616">
        <f>IFERROR(INDEX($S$6:$S$806,ROW()-5),"")</f>
        <v/>
      </c>
      <c r="C616">
        <f>IFERROR(INDEX($W$6:$W$806,ROW()-5),"")</f>
        <v/>
      </c>
      <c r="D616" s="36">
        <f>IFERROR(B616/$B$6*100,"")</f>
        <v/>
      </c>
      <c r="E616" s="36">
        <f>IFERROR(C616/$C$6*100,"")</f>
        <v/>
      </c>
    </row>
    <row r="617">
      <c r="A617" s="23">
        <f>IFERROR(INDEX($R$6:$R$806,ROW()-5),"")</f>
        <v/>
      </c>
      <c r="B617">
        <f>IFERROR(INDEX($S$6:$S$806,ROW()-5),"")</f>
        <v/>
      </c>
      <c r="C617">
        <f>IFERROR(INDEX($W$6:$W$806,ROW()-5),"")</f>
        <v/>
      </c>
      <c r="D617" s="36">
        <f>IFERROR(B617/$B$6*100,"")</f>
        <v/>
      </c>
      <c r="E617" s="36">
        <f>IFERROR(C617/$C$6*100,"")</f>
        <v/>
      </c>
    </row>
    <row r="618">
      <c r="A618" s="23">
        <f>IFERROR(INDEX($R$6:$R$806,ROW()-5),"")</f>
        <v/>
      </c>
      <c r="B618">
        <f>IFERROR(INDEX($S$6:$S$806,ROW()-5),"")</f>
        <v/>
      </c>
      <c r="C618">
        <f>IFERROR(INDEX($W$6:$W$806,ROW()-5),"")</f>
        <v/>
      </c>
      <c r="D618" s="36">
        <f>IFERROR(B618/$B$6*100,"")</f>
        <v/>
      </c>
      <c r="E618" s="36">
        <f>IFERROR(C618/$C$6*100,"")</f>
        <v/>
      </c>
    </row>
    <row r="619">
      <c r="A619" s="23">
        <f>IFERROR(INDEX($R$6:$R$806,ROW()-5),"")</f>
        <v/>
      </c>
      <c r="B619">
        <f>IFERROR(INDEX($S$6:$S$806,ROW()-5),"")</f>
        <v/>
      </c>
      <c r="C619">
        <f>IFERROR(INDEX($W$6:$W$806,ROW()-5),"")</f>
        <v/>
      </c>
      <c r="D619" s="36">
        <f>IFERROR(B619/$B$6*100,"")</f>
        <v/>
      </c>
      <c r="E619" s="36">
        <f>IFERROR(C619/$C$6*100,"")</f>
        <v/>
      </c>
    </row>
    <row r="620">
      <c r="A620" s="23">
        <f>IFERROR(INDEX($R$6:$R$806,ROW()-5),"")</f>
        <v/>
      </c>
      <c r="B620">
        <f>IFERROR(INDEX($S$6:$S$806,ROW()-5),"")</f>
        <v/>
      </c>
      <c r="C620">
        <f>IFERROR(INDEX($W$6:$W$806,ROW()-5),"")</f>
        <v/>
      </c>
      <c r="D620" s="36">
        <f>IFERROR(B620/$B$6*100,"")</f>
        <v/>
      </c>
      <c r="E620" s="36">
        <f>IFERROR(C620/$C$6*100,"")</f>
        <v/>
      </c>
    </row>
    <row r="621">
      <c r="A621" s="23">
        <f>IFERROR(INDEX($R$6:$R$806,ROW()-5),"")</f>
        <v/>
      </c>
      <c r="B621">
        <f>IFERROR(INDEX($S$6:$S$806,ROW()-5),"")</f>
        <v/>
      </c>
      <c r="C621">
        <f>IFERROR(INDEX($W$6:$W$806,ROW()-5),"")</f>
        <v/>
      </c>
      <c r="D621" s="36">
        <f>IFERROR(B621/$B$6*100,"")</f>
        <v/>
      </c>
      <c r="E621" s="36">
        <f>IFERROR(C621/$C$6*100,"")</f>
        <v/>
      </c>
    </row>
    <row r="622">
      <c r="A622" s="23">
        <f>IFERROR(INDEX($R$6:$R$806,ROW()-5),"")</f>
        <v/>
      </c>
      <c r="B622">
        <f>IFERROR(INDEX($S$6:$S$806,ROW()-5),"")</f>
        <v/>
      </c>
      <c r="C622">
        <f>IFERROR(INDEX($W$6:$W$806,ROW()-5),"")</f>
        <v/>
      </c>
      <c r="D622" s="36">
        <f>IFERROR(B622/$B$6*100,"")</f>
        <v/>
      </c>
      <c r="E622" s="36">
        <f>IFERROR(C622/$C$6*100,"")</f>
        <v/>
      </c>
    </row>
    <row r="623">
      <c r="A623" s="23">
        <f>IFERROR(INDEX($R$6:$R$806,ROW()-5),"")</f>
        <v/>
      </c>
      <c r="B623">
        <f>IFERROR(INDEX($S$6:$S$806,ROW()-5),"")</f>
        <v/>
      </c>
      <c r="C623">
        <f>IFERROR(INDEX($W$6:$W$806,ROW()-5),"")</f>
        <v/>
      </c>
      <c r="D623" s="36">
        <f>IFERROR(B623/$B$6*100,"")</f>
        <v/>
      </c>
      <c r="E623" s="36">
        <f>IFERROR(C623/$C$6*100,"")</f>
        <v/>
      </c>
    </row>
    <row r="624">
      <c r="A624" s="23">
        <f>IFERROR(INDEX($R$6:$R$806,ROW()-5),"")</f>
        <v/>
      </c>
      <c r="B624">
        <f>IFERROR(INDEX($S$6:$S$806,ROW()-5),"")</f>
        <v/>
      </c>
      <c r="C624">
        <f>IFERROR(INDEX($W$6:$W$806,ROW()-5),"")</f>
        <v/>
      </c>
      <c r="D624" s="36">
        <f>IFERROR(B624/$B$6*100,"")</f>
        <v/>
      </c>
      <c r="E624" s="36">
        <f>IFERROR(C624/$C$6*100,"")</f>
        <v/>
      </c>
    </row>
    <row r="625">
      <c r="A625" s="23">
        <f>IFERROR(INDEX($R$6:$R$806,ROW()-5),"")</f>
        <v/>
      </c>
      <c r="B625">
        <f>IFERROR(INDEX($S$6:$S$806,ROW()-5),"")</f>
        <v/>
      </c>
      <c r="C625">
        <f>IFERROR(INDEX($W$6:$W$806,ROW()-5),"")</f>
        <v/>
      </c>
      <c r="D625" s="36">
        <f>IFERROR(B625/$B$6*100,"")</f>
        <v/>
      </c>
      <c r="E625" s="36">
        <f>IFERROR(C625/$C$6*100,"")</f>
        <v/>
      </c>
    </row>
    <row r="626">
      <c r="A626" s="23">
        <f>IFERROR(INDEX($R$6:$R$806,ROW()-5),"")</f>
        <v/>
      </c>
      <c r="B626">
        <f>IFERROR(INDEX($S$6:$S$806,ROW()-5),"")</f>
        <v/>
      </c>
      <c r="C626">
        <f>IFERROR(INDEX($W$6:$W$806,ROW()-5),"")</f>
        <v/>
      </c>
      <c r="D626" s="36">
        <f>IFERROR(B626/$B$6*100,"")</f>
        <v/>
      </c>
      <c r="E626" s="36">
        <f>IFERROR(C626/$C$6*100,"")</f>
        <v/>
      </c>
    </row>
    <row r="627">
      <c r="A627" s="23">
        <f>IFERROR(INDEX($R$6:$R$806,ROW()-5),"")</f>
        <v/>
      </c>
      <c r="B627">
        <f>IFERROR(INDEX($S$6:$S$806,ROW()-5),"")</f>
        <v/>
      </c>
      <c r="C627">
        <f>IFERROR(INDEX($W$6:$W$806,ROW()-5),"")</f>
        <v/>
      </c>
      <c r="D627" s="36">
        <f>IFERROR(B627/$B$6*100,"")</f>
        <v/>
      </c>
      <c r="E627" s="36">
        <f>IFERROR(C627/$C$6*100,"")</f>
        <v/>
      </c>
    </row>
    <row r="628">
      <c r="A628" s="23">
        <f>IFERROR(INDEX($R$6:$R$806,ROW()-5),"")</f>
        <v/>
      </c>
      <c r="B628">
        <f>IFERROR(INDEX($S$6:$S$806,ROW()-5),"")</f>
        <v/>
      </c>
      <c r="C628">
        <f>IFERROR(INDEX($W$6:$W$806,ROW()-5),"")</f>
        <v/>
      </c>
      <c r="D628" s="36">
        <f>IFERROR(B628/$B$6*100,"")</f>
        <v/>
      </c>
      <c r="E628" s="36">
        <f>IFERROR(C628/$C$6*100,"")</f>
        <v/>
      </c>
    </row>
    <row r="629">
      <c r="A629" s="23">
        <f>IFERROR(INDEX($R$6:$R$806,ROW()-5),"")</f>
        <v/>
      </c>
      <c r="B629">
        <f>IFERROR(INDEX($S$6:$S$806,ROW()-5),"")</f>
        <v/>
      </c>
      <c r="C629">
        <f>IFERROR(INDEX($W$6:$W$806,ROW()-5),"")</f>
        <v/>
      </c>
      <c r="D629" s="36">
        <f>IFERROR(B629/$B$6*100,"")</f>
        <v/>
      </c>
      <c r="E629" s="36">
        <f>IFERROR(C629/$C$6*100,"")</f>
        <v/>
      </c>
    </row>
    <row r="630">
      <c r="A630" s="23">
        <f>IFERROR(INDEX($R$6:$R$806,ROW()-5),"")</f>
        <v/>
      </c>
      <c r="B630">
        <f>IFERROR(INDEX($S$6:$S$806,ROW()-5),"")</f>
        <v/>
      </c>
      <c r="C630">
        <f>IFERROR(INDEX($W$6:$W$806,ROW()-5),"")</f>
        <v/>
      </c>
      <c r="D630" s="36">
        <f>IFERROR(B630/$B$6*100,"")</f>
        <v/>
      </c>
      <c r="E630" s="36">
        <f>IFERROR(C630/$C$6*100,"")</f>
        <v/>
      </c>
    </row>
    <row r="631">
      <c r="A631" s="23">
        <f>IFERROR(INDEX($R$6:$R$806,ROW()-5),"")</f>
        <v/>
      </c>
      <c r="B631">
        <f>IFERROR(INDEX($S$6:$S$806,ROW()-5),"")</f>
        <v/>
      </c>
      <c r="C631">
        <f>IFERROR(INDEX($W$6:$W$806,ROW()-5),"")</f>
        <v/>
      </c>
      <c r="D631" s="36">
        <f>IFERROR(B631/$B$6*100,"")</f>
        <v/>
      </c>
      <c r="E631" s="36">
        <f>IFERROR(C631/$C$6*100,"")</f>
        <v/>
      </c>
    </row>
    <row r="632">
      <c r="A632" s="23">
        <f>IFERROR(INDEX($R$6:$R$806,ROW()-5),"")</f>
        <v/>
      </c>
      <c r="B632">
        <f>IFERROR(INDEX($S$6:$S$806,ROW()-5),"")</f>
        <v/>
      </c>
      <c r="C632">
        <f>IFERROR(INDEX($W$6:$W$806,ROW()-5),"")</f>
        <v/>
      </c>
      <c r="D632" s="36">
        <f>IFERROR(B632/$B$6*100,"")</f>
        <v/>
      </c>
      <c r="E632" s="36">
        <f>IFERROR(C632/$C$6*100,"")</f>
        <v/>
      </c>
    </row>
    <row r="633">
      <c r="A633" s="23">
        <f>IFERROR(INDEX($R$6:$R$806,ROW()-5),"")</f>
        <v/>
      </c>
      <c r="B633">
        <f>IFERROR(INDEX($S$6:$S$806,ROW()-5),"")</f>
        <v/>
      </c>
      <c r="C633">
        <f>IFERROR(INDEX($W$6:$W$806,ROW()-5),"")</f>
        <v/>
      </c>
      <c r="D633" s="36">
        <f>IFERROR(B633/$B$6*100,"")</f>
        <v/>
      </c>
      <c r="E633" s="36">
        <f>IFERROR(C633/$C$6*100,"")</f>
        <v/>
      </c>
    </row>
    <row r="634">
      <c r="A634" s="23">
        <f>IFERROR(INDEX($R$6:$R$806,ROW()-5),"")</f>
        <v/>
      </c>
      <c r="B634">
        <f>IFERROR(INDEX($S$6:$S$806,ROW()-5),"")</f>
        <v/>
      </c>
      <c r="C634">
        <f>IFERROR(INDEX($W$6:$W$806,ROW()-5),"")</f>
        <v/>
      </c>
      <c r="D634" s="36">
        <f>IFERROR(B634/$B$6*100,"")</f>
        <v/>
      </c>
      <c r="E634" s="36">
        <f>IFERROR(C634/$C$6*100,"")</f>
        <v/>
      </c>
    </row>
    <row r="635">
      <c r="A635" s="23">
        <f>IFERROR(INDEX($R$6:$R$806,ROW()-5),"")</f>
        <v/>
      </c>
      <c r="B635">
        <f>IFERROR(INDEX($S$6:$S$806,ROW()-5),"")</f>
        <v/>
      </c>
      <c r="C635">
        <f>IFERROR(INDEX($W$6:$W$806,ROW()-5),"")</f>
        <v/>
      </c>
      <c r="D635" s="36">
        <f>IFERROR(B635/$B$6*100,"")</f>
        <v/>
      </c>
      <c r="E635" s="36">
        <f>IFERROR(C635/$C$6*100,"")</f>
        <v/>
      </c>
    </row>
    <row r="636">
      <c r="A636" s="23">
        <f>IFERROR(INDEX($R$6:$R$806,ROW()-5),"")</f>
        <v/>
      </c>
      <c r="B636">
        <f>IFERROR(INDEX($S$6:$S$806,ROW()-5),"")</f>
        <v/>
      </c>
      <c r="C636">
        <f>IFERROR(INDEX($W$6:$W$806,ROW()-5),"")</f>
        <v/>
      </c>
      <c r="D636" s="36">
        <f>IFERROR(B636/$B$6*100,"")</f>
        <v/>
      </c>
      <c r="E636" s="36">
        <f>IFERROR(C636/$C$6*100,"")</f>
        <v/>
      </c>
    </row>
    <row r="637">
      <c r="A637" s="23">
        <f>IFERROR(INDEX($R$6:$R$806,ROW()-5),"")</f>
        <v/>
      </c>
      <c r="B637">
        <f>IFERROR(INDEX($S$6:$S$806,ROW()-5),"")</f>
        <v/>
      </c>
      <c r="C637">
        <f>IFERROR(INDEX($W$6:$W$806,ROW()-5),"")</f>
        <v/>
      </c>
      <c r="D637" s="36">
        <f>IFERROR(B637/$B$6*100,"")</f>
        <v/>
      </c>
      <c r="E637" s="36">
        <f>IFERROR(C637/$C$6*100,"")</f>
        <v/>
      </c>
    </row>
    <row r="638">
      <c r="A638" s="23">
        <f>IFERROR(INDEX($R$6:$R$806,ROW()-5),"")</f>
        <v/>
      </c>
      <c r="B638">
        <f>IFERROR(INDEX($S$6:$S$806,ROW()-5),"")</f>
        <v/>
      </c>
      <c r="C638">
        <f>IFERROR(INDEX($W$6:$W$806,ROW()-5),"")</f>
        <v/>
      </c>
      <c r="D638" s="36">
        <f>IFERROR(B638/$B$6*100,"")</f>
        <v/>
      </c>
      <c r="E638" s="36">
        <f>IFERROR(C638/$C$6*100,"")</f>
        <v/>
      </c>
    </row>
    <row r="639">
      <c r="A639" s="23">
        <f>IFERROR(INDEX($R$6:$R$806,ROW()-5),"")</f>
        <v/>
      </c>
      <c r="B639">
        <f>IFERROR(INDEX($S$6:$S$806,ROW()-5),"")</f>
        <v/>
      </c>
      <c r="C639">
        <f>IFERROR(INDEX($W$6:$W$806,ROW()-5),"")</f>
        <v/>
      </c>
      <c r="D639" s="36">
        <f>IFERROR(B639/$B$6*100,"")</f>
        <v/>
      </c>
      <c r="E639" s="36">
        <f>IFERROR(C639/$C$6*100,"")</f>
        <v/>
      </c>
    </row>
    <row r="640">
      <c r="A640" s="23">
        <f>IFERROR(INDEX($R$6:$R$806,ROW()-5),"")</f>
        <v/>
      </c>
      <c r="B640">
        <f>IFERROR(INDEX($S$6:$S$806,ROW()-5),"")</f>
        <v/>
      </c>
      <c r="C640">
        <f>IFERROR(INDEX($W$6:$W$806,ROW()-5),"")</f>
        <v/>
      </c>
      <c r="D640" s="36">
        <f>IFERROR(B640/$B$6*100,"")</f>
        <v/>
      </c>
      <c r="E640" s="36">
        <f>IFERROR(C640/$C$6*100,"")</f>
        <v/>
      </c>
    </row>
    <row r="641">
      <c r="A641" s="23">
        <f>IFERROR(INDEX($R$6:$R$806,ROW()-5),"")</f>
        <v/>
      </c>
      <c r="B641">
        <f>IFERROR(INDEX($S$6:$S$806,ROW()-5),"")</f>
        <v/>
      </c>
      <c r="C641">
        <f>IFERROR(INDEX($W$6:$W$806,ROW()-5),"")</f>
        <v/>
      </c>
      <c r="D641" s="36">
        <f>IFERROR(B641/$B$6*100,"")</f>
        <v/>
      </c>
      <c r="E641" s="36">
        <f>IFERROR(C641/$C$6*100,"")</f>
        <v/>
      </c>
    </row>
    <row r="642">
      <c r="A642" s="23">
        <f>IFERROR(INDEX($R$6:$R$806,ROW()-5),"")</f>
        <v/>
      </c>
      <c r="B642">
        <f>IFERROR(INDEX($S$6:$S$806,ROW()-5),"")</f>
        <v/>
      </c>
      <c r="C642">
        <f>IFERROR(INDEX($W$6:$W$806,ROW()-5),"")</f>
        <v/>
      </c>
      <c r="D642" s="36">
        <f>IFERROR(B642/$B$6*100,"")</f>
        <v/>
      </c>
      <c r="E642" s="36">
        <f>IFERROR(C642/$C$6*100,"")</f>
        <v/>
      </c>
    </row>
    <row r="643">
      <c r="A643" s="23">
        <f>IFERROR(INDEX($R$6:$R$806,ROW()-5),"")</f>
        <v/>
      </c>
      <c r="B643">
        <f>IFERROR(INDEX($S$6:$S$806,ROW()-5),"")</f>
        <v/>
      </c>
      <c r="C643">
        <f>IFERROR(INDEX($W$6:$W$806,ROW()-5),"")</f>
        <v/>
      </c>
      <c r="D643" s="36">
        <f>IFERROR(B643/$B$6*100,"")</f>
        <v/>
      </c>
      <c r="E643" s="36">
        <f>IFERROR(C643/$C$6*100,"")</f>
        <v/>
      </c>
    </row>
    <row r="644">
      <c r="A644" s="23">
        <f>IFERROR(INDEX($R$6:$R$806,ROW()-5),"")</f>
        <v/>
      </c>
      <c r="B644">
        <f>IFERROR(INDEX($S$6:$S$806,ROW()-5),"")</f>
        <v/>
      </c>
      <c r="C644">
        <f>IFERROR(INDEX($W$6:$W$806,ROW()-5),"")</f>
        <v/>
      </c>
      <c r="D644" s="36">
        <f>IFERROR(B644/$B$6*100,"")</f>
        <v/>
      </c>
      <c r="E644" s="36">
        <f>IFERROR(C644/$C$6*100,"")</f>
        <v/>
      </c>
    </row>
    <row r="645">
      <c r="A645" s="23">
        <f>IFERROR(INDEX($R$6:$R$806,ROW()-5),"")</f>
        <v/>
      </c>
      <c r="B645">
        <f>IFERROR(INDEX($S$6:$S$806,ROW()-5),"")</f>
        <v/>
      </c>
      <c r="C645">
        <f>IFERROR(INDEX($W$6:$W$806,ROW()-5),"")</f>
        <v/>
      </c>
      <c r="D645" s="36">
        <f>IFERROR(B645/$B$6*100,"")</f>
        <v/>
      </c>
      <c r="E645" s="36">
        <f>IFERROR(C645/$C$6*100,"")</f>
        <v/>
      </c>
    </row>
    <row r="646">
      <c r="A646" s="23">
        <f>IFERROR(INDEX($R$6:$R$806,ROW()-5),"")</f>
        <v/>
      </c>
      <c r="B646">
        <f>IFERROR(INDEX($S$6:$S$806,ROW()-5),"")</f>
        <v/>
      </c>
      <c r="C646">
        <f>IFERROR(INDEX($W$6:$W$806,ROW()-5),"")</f>
        <v/>
      </c>
      <c r="D646" s="36">
        <f>IFERROR(B646/$B$6*100,"")</f>
        <v/>
      </c>
      <c r="E646" s="36">
        <f>IFERROR(C646/$C$6*100,"")</f>
        <v/>
      </c>
    </row>
    <row r="647">
      <c r="A647" s="23">
        <f>IFERROR(INDEX($R$6:$R$806,ROW()-5),"")</f>
        <v/>
      </c>
      <c r="B647">
        <f>IFERROR(INDEX($S$6:$S$806,ROW()-5),"")</f>
        <v/>
      </c>
      <c r="C647">
        <f>IFERROR(INDEX($W$6:$W$806,ROW()-5),"")</f>
        <v/>
      </c>
      <c r="D647" s="36">
        <f>IFERROR(B647/$B$6*100,"")</f>
        <v/>
      </c>
      <c r="E647" s="36">
        <f>IFERROR(C647/$C$6*100,"")</f>
        <v/>
      </c>
    </row>
    <row r="648">
      <c r="A648" s="23">
        <f>IFERROR(INDEX($R$6:$R$806,ROW()-5),"")</f>
        <v/>
      </c>
      <c r="B648">
        <f>IFERROR(INDEX($S$6:$S$806,ROW()-5),"")</f>
        <v/>
      </c>
      <c r="C648">
        <f>IFERROR(INDEX($W$6:$W$806,ROW()-5),"")</f>
        <v/>
      </c>
      <c r="D648" s="36">
        <f>IFERROR(B648/$B$6*100,"")</f>
        <v/>
      </c>
      <c r="E648" s="36">
        <f>IFERROR(C648/$C$6*100,"")</f>
        <v/>
      </c>
    </row>
    <row r="649">
      <c r="A649" s="23">
        <f>IFERROR(INDEX($R$6:$R$806,ROW()-5),"")</f>
        <v/>
      </c>
      <c r="B649">
        <f>IFERROR(INDEX($S$6:$S$806,ROW()-5),"")</f>
        <v/>
      </c>
      <c r="C649">
        <f>IFERROR(INDEX($W$6:$W$806,ROW()-5),"")</f>
        <v/>
      </c>
      <c r="D649" s="36">
        <f>IFERROR(B649/$B$6*100,"")</f>
        <v/>
      </c>
      <c r="E649" s="36">
        <f>IFERROR(C649/$C$6*100,"")</f>
        <v/>
      </c>
    </row>
    <row r="650">
      <c r="A650" s="23">
        <f>IFERROR(INDEX($R$6:$R$806,ROW()-5),"")</f>
        <v/>
      </c>
      <c r="B650">
        <f>IFERROR(INDEX($S$6:$S$806,ROW()-5),"")</f>
        <v/>
      </c>
      <c r="C650">
        <f>IFERROR(INDEX($W$6:$W$806,ROW()-5),"")</f>
        <v/>
      </c>
      <c r="D650" s="36">
        <f>IFERROR(B650/$B$6*100,"")</f>
        <v/>
      </c>
      <c r="E650" s="36">
        <f>IFERROR(C650/$C$6*100,"")</f>
        <v/>
      </c>
    </row>
    <row r="651">
      <c r="A651" s="23">
        <f>IFERROR(INDEX($R$6:$R$806,ROW()-5),"")</f>
        <v/>
      </c>
      <c r="B651">
        <f>IFERROR(INDEX($S$6:$S$806,ROW()-5),"")</f>
        <v/>
      </c>
      <c r="C651">
        <f>IFERROR(INDEX($W$6:$W$806,ROW()-5),"")</f>
        <v/>
      </c>
      <c r="D651" s="36">
        <f>IFERROR(B651/$B$6*100,"")</f>
        <v/>
      </c>
      <c r="E651" s="36">
        <f>IFERROR(C651/$C$6*100,"")</f>
        <v/>
      </c>
    </row>
    <row r="652">
      <c r="A652" s="23">
        <f>IFERROR(INDEX($R$6:$R$806,ROW()-5),"")</f>
        <v/>
      </c>
      <c r="B652">
        <f>IFERROR(INDEX($S$6:$S$806,ROW()-5),"")</f>
        <v/>
      </c>
      <c r="C652">
        <f>IFERROR(INDEX($W$6:$W$806,ROW()-5),"")</f>
        <v/>
      </c>
      <c r="D652" s="36">
        <f>IFERROR(B652/$B$6*100,"")</f>
        <v/>
      </c>
      <c r="E652" s="36">
        <f>IFERROR(C652/$C$6*100,"")</f>
        <v/>
      </c>
    </row>
    <row r="653">
      <c r="A653" s="23">
        <f>IFERROR(INDEX($R$6:$R$806,ROW()-5),"")</f>
        <v/>
      </c>
      <c r="B653">
        <f>IFERROR(INDEX($S$6:$S$806,ROW()-5),"")</f>
        <v/>
      </c>
      <c r="C653">
        <f>IFERROR(INDEX($W$6:$W$806,ROW()-5),"")</f>
        <v/>
      </c>
      <c r="D653" s="36">
        <f>IFERROR(B653/$B$6*100,"")</f>
        <v/>
      </c>
      <c r="E653" s="36">
        <f>IFERROR(C653/$C$6*100,"")</f>
        <v/>
      </c>
    </row>
    <row r="654">
      <c r="A654" s="23">
        <f>IFERROR(INDEX($R$6:$R$806,ROW()-5),"")</f>
        <v/>
      </c>
      <c r="B654">
        <f>IFERROR(INDEX($S$6:$S$806,ROW()-5),"")</f>
        <v/>
      </c>
      <c r="C654">
        <f>IFERROR(INDEX($W$6:$W$806,ROW()-5),"")</f>
        <v/>
      </c>
      <c r="D654" s="36">
        <f>IFERROR(B654/$B$6*100,"")</f>
        <v/>
      </c>
      <c r="E654" s="36">
        <f>IFERROR(C654/$C$6*100,"")</f>
        <v/>
      </c>
    </row>
    <row r="655">
      <c r="A655" s="23">
        <f>IFERROR(INDEX($R$6:$R$806,ROW()-5),"")</f>
        <v/>
      </c>
      <c r="B655">
        <f>IFERROR(INDEX($S$6:$S$806,ROW()-5),"")</f>
        <v/>
      </c>
      <c r="C655">
        <f>IFERROR(INDEX($W$6:$W$806,ROW()-5),"")</f>
        <v/>
      </c>
      <c r="D655" s="36">
        <f>IFERROR(B655/$B$6*100,"")</f>
        <v/>
      </c>
      <c r="E655" s="36">
        <f>IFERROR(C655/$C$6*100,"")</f>
        <v/>
      </c>
    </row>
    <row r="656">
      <c r="A656" s="23">
        <f>IFERROR(INDEX($R$6:$R$806,ROW()-5),"")</f>
        <v/>
      </c>
      <c r="B656">
        <f>IFERROR(INDEX($S$6:$S$806,ROW()-5),"")</f>
        <v/>
      </c>
      <c r="C656">
        <f>IFERROR(INDEX($W$6:$W$806,ROW()-5),"")</f>
        <v/>
      </c>
      <c r="D656" s="36">
        <f>IFERROR(B656/$B$6*100,"")</f>
        <v/>
      </c>
      <c r="E656" s="36">
        <f>IFERROR(C656/$C$6*100,"")</f>
        <v/>
      </c>
    </row>
    <row r="657">
      <c r="A657" s="23">
        <f>IFERROR(INDEX($R$6:$R$806,ROW()-5),"")</f>
        <v/>
      </c>
      <c r="B657">
        <f>IFERROR(INDEX($S$6:$S$806,ROW()-5),"")</f>
        <v/>
      </c>
      <c r="C657">
        <f>IFERROR(INDEX($W$6:$W$806,ROW()-5),"")</f>
        <v/>
      </c>
      <c r="D657" s="36">
        <f>IFERROR(B657/$B$6*100,"")</f>
        <v/>
      </c>
      <c r="E657" s="36">
        <f>IFERROR(C657/$C$6*100,"")</f>
        <v/>
      </c>
    </row>
    <row r="658">
      <c r="A658" s="23">
        <f>IFERROR(INDEX($R$6:$R$806,ROW()-5),"")</f>
        <v/>
      </c>
      <c r="B658">
        <f>IFERROR(INDEX($S$6:$S$806,ROW()-5),"")</f>
        <v/>
      </c>
      <c r="C658">
        <f>IFERROR(INDEX($W$6:$W$806,ROW()-5),"")</f>
        <v/>
      </c>
      <c r="D658" s="36">
        <f>IFERROR(B658/$B$6*100,"")</f>
        <v/>
      </c>
      <c r="E658" s="36">
        <f>IFERROR(C658/$C$6*100,"")</f>
        <v/>
      </c>
    </row>
    <row r="659">
      <c r="A659" s="23">
        <f>IFERROR(INDEX($R$6:$R$806,ROW()-5),"")</f>
        <v/>
      </c>
      <c r="B659">
        <f>IFERROR(INDEX($S$6:$S$806,ROW()-5),"")</f>
        <v/>
      </c>
      <c r="C659">
        <f>IFERROR(INDEX($W$6:$W$806,ROW()-5),"")</f>
        <v/>
      </c>
      <c r="D659" s="36">
        <f>IFERROR(B659/$B$6*100,"")</f>
        <v/>
      </c>
      <c r="E659" s="36">
        <f>IFERROR(C659/$C$6*100,"")</f>
        <v/>
      </c>
    </row>
    <row r="660">
      <c r="A660" s="23">
        <f>IFERROR(INDEX($R$6:$R$806,ROW()-5),"")</f>
        <v/>
      </c>
      <c r="B660">
        <f>IFERROR(INDEX($S$6:$S$806,ROW()-5),"")</f>
        <v/>
      </c>
      <c r="C660">
        <f>IFERROR(INDEX($W$6:$W$806,ROW()-5),"")</f>
        <v/>
      </c>
      <c r="D660" s="36">
        <f>IFERROR(B660/$B$6*100,"")</f>
        <v/>
      </c>
      <c r="E660" s="36">
        <f>IFERROR(C660/$C$6*100,"")</f>
        <v/>
      </c>
    </row>
    <row r="661">
      <c r="A661" s="23">
        <f>IFERROR(INDEX($R$6:$R$806,ROW()-5),"")</f>
        <v/>
      </c>
      <c r="B661">
        <f>IFERROR(INDEX($S$6:$S$806,ROW()-5),"")</f>
        <v/>
      </c>
      <c r="C661">
        <f>IFERROR(INDEX($W$6:$W$806,ROW()-5),"")</f>
        <v/>
      </c>
      <c r="D661" s="36">
        <f>IFERROR(B661/$B$6*100,"")</f>
        <v/>
      </c>
      <c r="E661" s="36">
        <f>IFERROR(C661/$C$6*100,"")</f>
        <v/>
      </c>
    </row>
    <row r="662">
      <c r="A662" s="23">
        <f>IFERROR(INDEX($R$6:$R$806,ROW()-5),"")</f>
        <v/>
      </c>
      <c r="B662">
        <f>IFERROR(INDEX($S$6:$S$806,ROW()-5),"")</f>
        <v/>
      </c>
      <c r="C662">
        <f>IFERROR(INDEX($W$6:$W$806,ROW()-5),"")</f>
        <v/>
      </c>
      <c r="D662" s="36">
        <f>IFERROR(B662/$B$6*100,"")</f>
        <v/>
      </c>
      <c r="E662" s="36">
        <f>IFERROR(C662/$C$6*100,"")</f>
        <v/>
      </c>
    </row>
    <row r="663">
      <c r="A663" s="23">
        <f>IFERROR(INDEX($R$6:$R$806,ROW()-5),"")</f>
        <v/>
      </c>
      <c r="B663">
        <f>IFERROR(INDEX($S$6:$S$806,ROW()-5),"")</f>
        <v/>
      </c>
      <c r="C663">
        <f>IFERROR(INDEX($W$6:$W$806,ROW()-5),"")</f>
        <v/>
      </c>
      <c r="D663" s="36">
        <f>IFERROR(B663/$B$6*100,"")</f>
        <v/>
      </c>
      <c r="E663" s="36">
        <f>IFERROR(C663/$C$6*100,"")</f>
        <v/>
      </c>
    </row>
    <row r="664">
      <c r="A664" s="23">
        <f>IFERROR(INDEX($R$6:$R$806,ROW()-5),"")</f>
        <v/>
      </c>
      <c r="B664">
        <f>IFERROR(INDEX($S$6:$S$806,ROW()-5),"")</f>
        <v/>
      </c>
      <c r="C664">
        <f>IFERROR(INDEX($W$6:$W$806,ROW()-5),"")</f>
        <v/>
      </c>
      <c r="D664" s="36">
        <f>IFERROR(B664/$B$6*100,"")</f>
        <v/>
      </c>
      <c r="E664" s="36">
        <f>IFERROR(C664/$C$6*100,"")</f>
        <v/>
      </c>
    </row>
    <row r="665">
      <c r="A665" s="23">
        <f>IFERROR(INDEX($R$6:$R$806,ROW()-5),"")</f>
        <v/>
      </c>
      <c r="B665">
        <f>IFERROR(INDEX($S$6:$S$806,ROW()-5),"")</f>
        <v/>
      </c>
      <c r="C665">
        <f>IFERROR(INDEX($W$6:$W$806,ROW()-5),"")</f>
        <v/>
      </c>
      <c r="D665" s="36">
        <f>IFERROR(B665/$B$6*100,"")</f>
        <v/>
      </c>
      <c r="E665" s="36">
        <f>IFERROR(C665/$C$6*100,"")</f>
        <v/>
      </c>
    </row>
    <row r="666">
      <c r="A666" s="23">
        <f>IFERROR(INDEX($R$6:$R$806,ROW()-5),"")</f>
        <v/>
      </c>
      <c r="B666">
        <f>IFERROR(INDEX($S$6:$S$806,ROW()-5),"")</f>
        <v/>
      </c>
      <c r="C666">
        <f>IFERROR(INDEX($W$6:$W$806,ROW()-5),"")</f>
        <v/>
      </c>
      <c r="D666" s="36">
        <f>IFERROR(B666/$B$6*100,"")</f>
        <v/>
      </c>
      <c r="E666" s="36">
        <f>IFERROR(C666/$C$6*100,"")</f>
        <v/>
      </c>
    </row>
    <row r="667">
      <c r="A667" s="23">
        <f>IFERROR(INDEX($R$6:$R$806,ROW()-5),"")</f>
        <v/>
      </c>
      <c r="B667">
        <f>IFERROR(INDEX($S$6:$S$806,ROW()-5),"")</f>
        <v/>
      </c>
      <c r="C667">
        <f>IFERROR(INDEX($W$6:$W$806,ROW()-5),"")</f>
        <v/>
      </c>
      <c r="D667" s="36">
        <f>IFERROR(B667/$B$6*100,"")</f>
        <v/>
      </c>
      <c r="E667" s="36">
        <f>IFERROR(C667/$C$6*100,"")</f>
        <v/>
      </c>
    </row>
    <row r="668">
      <c r="A668" s="23">
        <f>IFERROR(INDEX($R$6:$R$806,ROW()-5),"")</f>
        <v/>
      </c>
      <c r="B668">
        <f>IFERROR(INDEX($S$6:$S$806,ROW()-5),"")</f>
        <v/>
      </c>
      <c r="C668">
        <f>IFERROR(INDEX($W$6:$W$806,ROW()-5),"")</f>
        <v/>
      </c>
      <c r="D668" s="36">
        <f>IFERROR(B668/$B$6*100,"")</f>
        <v/>
      </c>
      <c r="E668" s="36">
        <f>IFERROR(C668/$C$6*100,"")</f>
        <v/>
      </c>
    </row>
    <row r="669">
      <c r="A669" s="23">
        <f>IFERROR(INDEX($R$6:$R$806,ROW()-5),"")</f>
        <v/>
      </c>
      <c r="B669">
        <f>IFERROR(INDEX($S$6:$S$806,ROW()-5),"")</f>
        <v/>
      </c>
      <c r="C669">
        <f>IFERROR(INDEX($W$6:$W$806,ROW()-5),"")</f>
        <v/>
      </c>
      <c r="D669" s="36">
        <f>IFERROR(B669/$B$6*100,"")</f>
        <v/>
      </c>
      <c r="E669" s="36">
        <f>IFERROR(C669/$C$6*100,"")</f>
        <v/>
      </c>
    </row>
    <row r="670">
      <c r="A670" s="23">
        <f>IFERROR(INDEX($R$6:$R$806,ROW()-5),"")</f>
        <v/>
      </c>
      <c r="B670">
        <f>IFERROR(INDEX($S$6:$S$806,ROW()-5),"")</f>
        <v/>
      </c>
      <c r="C670">
        <f>IFERROR(INDEX($W$6:$W$806,ROW()-5),"")</f>
        <v/>
      </c>
      <c r="D670" s="36">
        <f>IFERROR(B670/$B$6*100,"")</f>
        <v/>
      </c>
      <c r="E670" s="36">
        <f>IFERROR(C670/$C$6*100,"")</f>
        <v/>
      </c>
    </row>
    <row r="671">
      <c r="A671" s="23">
        <f>IFERROR(INDEX($R$6:$R$806,ROW()-5),"")</f>
        <v/>
      </c>
      <c r="B671">
        <f>IFERROR(INDEX($S$6:$S$806,ROW()-5),"")</f>
        <v/>
      </c>
      <c r="C671">
        <f>IFERROR(INDEX($W$6:$W$806,ROW()-5),"")</f>
        <v/>
      </c>
      <c r="D671" s="36">
        <f>IFERROR(B671/$B$6*100,"")</f>
        <v/>
      </c>
      <c r="E671" s="36">
        <f>IFERROR(C671/$C$6*100,"")</f>
        <v/>
      </c>
    </row>
    <row r="672">
      <c r="A672" s="23">
        <f>IFERROR(INDEX($R$6:$R$806,ROW()-5),"")</f>
        <v/>
      </c>
      <c r="B672">
        <f>IFERROR(INDEX($S$6:$S$806,ROW()-5),"")</f>
        <v/>
      </c>
      <c r="C672">
        <f>IFERROR(INDEX($W$6:$W$806,ROW()-5),"")</f>
        <v/>
      </c>
      <c r="D672" s="36">
        <f>IFERROR(B672/$B$6*100,"")</f>
        <v/>
      </c>
      <c r="E672" s="36">
        <f>IFERROR(C672/$C$6*100,"")</f>
        <v/>
      </c>
    </row>
    <row r="673">
      <c r="A673" s="23">
        <f>IFERROR(INDEX($R$6:$R$806,ROW()-5),"")</f>
        <v/>
      </c>
      <c r="B673">
        <f>IFERROR(INDEX($S$6:$S$806,ROW()-5),"")</f>
        <v/>
      </c>
      <c r="C673">
        <f>IFERROR(INDEX($W$6:$W$806,ROW()-5),"")</f>
        <v/>
      </c>
      <c r="D673" s="36">
        <f>IFERROR(B673/$B$6*100,"")</f>
        <v/>
      </c>
      <c r="E673" s="36">
        <f>IFERROR(C673/$C$6*100,"")</f>
        <v/>
      </c>
    </row>
    <row r="674">
      <c r="A674" s="23">
        <f>IFERROR(INDEX($R$6:$R$806,ROW()-5),"")</f>
        <v/>
      </c>
      <c r="B674">
        <f>IFERROR(INDEX($S$6:$S$806,ROW()-5),"")</f>
        <v/>
      </c>
      <c r="C674">
        <f>IFERROR(INDEX($W$6:$W$806,ROW()-5),"")</f>
        <v/>
      </c>
      <c r="D674" s="36">
        <f>IFERROR(B674/$B$6*100,"")</f>
        <v/>
      </c>
      <c r="E674" s="36">
        <f>IFERROR(C674/$C$6*100,"")</f>
        <v/>
      </c>
    </row>
    <row r="675">
      <c r="A675" s="23">
        <f>IFERROR(INDEX($R$6:$R$806,ROW()-5),"")</f>
        <v/>
      </c>
      <c r="B675">
        <f>IFERROR(INDEX($S$6:$S$806,ROW()-5),"")</f>
        <v/>
      </c>
      <c r="C675">
        <f>IFERROR(INDEX($W$6:$W$806,ROW()-5),"")</f>
        <v/>
      </c>
      <c r="D675" s="36">
        <f>IFERROR(B675/$B$6*100,"")</f>
        <v/>
      </c>
      <c r="E675" s="36">
        <f>IFERROR(C675/$C$6*100,"")</f>
        <v/>
      </c>
    </row>
    <row r="676">
      <c r="A676" s="23">
        <f>IFERROR(INDEX($R$6:$R$806,ROW()-5),"")</f>
        <v/>
      </c>
      <c r="B676">
        <f>IFERROR(INDEX($S$6:$S$806,ROW()-5),"")</f>
        <v/>
      </c>
      <c r="C676">
        <f>IFERROR(INDEX($W$6:$W$806,ROW()-5),"")</f>
        <v/>
      </c>
      <c r="D676" s="36">
        <f>IFERROR(B676/$B$6*100,"")</f>
        <v/>
      </c>
      <c r="E676" s="36">
        <f>IFERROR(C676/$C$6*100,"")</f>
        <v/>
      </c>
    </row>
    <row r="677">
      <c r="A677" s="23">
        <f>IFERROR(INDEX($R$6:$R$806,ROW()-5),"")</f>
        <v/>
      </c>
      <c r="B677">
        <f>IFERROR(INDEX($S$6:$S$806,ROW()-5),"")</f>
        <v/>
      </c>
      <c r="C677">
        <f>IFERROR(INDEX($W$6:$W$806,ROW()-5),"")</f>
        <v/>
      </c>
      <c r="D677" s="36">
        <f>IFERROR(B677/$B$6*100,"")</f>
        <v/>
      </c>
      <c r="E677" s="36">
        <f>IFERROR(C677/$C$6*100,"")</f>
        <v/>
      </c>
    </row>
    <row r="678">
      <c r="A678" s="23">
        <f>IFERROR(INDEX($R$6:$R$806,ROW()-5),"")</f>
        <v/>
      </c>
      <c r="B678">
        <f>IFERROR(INDEX($S$6:$S$806,ROW()-5),"")</f>
        <v/>
      </c>
      <c r="C678">
        <f>IFERROR(INDEX($W$6:$W$806,ROW()-5),"")</f>
        <v/>
      </c>
      <c r="D678" s="36">
        <f>IFERROR(B678/$B$6*100,"")</f>
        <v/>
      </c>
      <c r="E678" s="36">
        <f>IFERROR(C678/$C$6*100,"")</f>
        <v/>
      </c>
    </row>
    <row r="679">
      <c r="A679" s="23">
        <f>IFERROR(INDEX($R$6:$R$806,ROW()-5),"")</f>
        <v/>
      </c>
      <c r="B679">
        <f>IFERROR(INDEX($S$6:$S$806,ROW()-5),"")</f>
        <v/>
      </c>
      <c r="C679">
        <f>IFERROR(INDEX($W$6:$W$806,ROW()-5),"")</f>
        <v/>
      </c>
      <c r="D679" s="36">
        <f>IFERROR(B679/$B$6*100,"")</f>
        <v/>
      </c>
      <c r="E679" s="36">
        <f>IFERROR(C679/$C$6*100,"")</f>
        <v/>
      </c>
    </row>
    <row r="680">
      <c r="A680" s="23">
        <f>IFERROR(INDEX($R$6:$R$806,ROW()-5),"")</f>
        <v/>
      </c>
      <c r="B680">
        <f>IFERROR(INDEX($S$6:$S$806,ROW()-5),"")</f>
        <v/>
      </c>
      <c r="C680">
        <f>IFERROR(INDEX($W$6:$W$806,ROW()-5),"")</f>
        <v/>
      </c>
      <c r="D680" s="36">
        <f>IFERROR(B680/$B$6*100,"")</f>
        <v/>
      </c>
      <c r="E680" s="36">
        <f>IFERROR(C680/$C$6*100,"")</f>
        <v/>
      </c>
    </row>
    <row r="681">
      <c r="A681" s="23">
        <f>IFERROR(INDEX($R$6:$R$806,ROW()-5),"")</f>
        <v/>
      </c>
      <c r="B681">
        <f>IFERROR(INDEX($S$6:$S$806,ROW()-5),"")</f>
        <v/>
      </c>
      <c r="C681">
        <f>IFERROR(INDEX($W$6:$W$806,ROW()-5),"")</f>
        <v/>
      </c>
      <c r="D681" s="36">
        <f>IFERROR(B681/$B$6*100,"")</f>
        <v/>
      </c>
      <c r="E681" s="36">
        <f>IFERROR(C681/$C$6*100,"")</f>
        <v/>
      </c>
    </row>
    <row r="682">
      <c r="A682" s="23">
        <f>IFERROR(INDEX($R$6:$R$806,ROW()-5),"")</f>
        <v/>
      </c>
      <c r="B682">
        <f>IFERROR(INDEX($S$6:$S$806,ROW()-5),"")</f>
        <v/>
      </c>
      <c r="C682">
        <f>IFERROR(INDEX($W$6:$W$806,ROW()-5),"")</f>
        <v/>
      </c>
      <c r="D682" s="36">
        <f>IFERROR(B682/$B$6*100,"")</f>
        <v/>
      </c>
      <c r="E682" s="36">
        <f>IFERROR(C682/$C$6*100,"")</f>
        <v/>
      </c>
    </row>
    <row r="683">
      <c r="A683" s="23">
        <f>IFERROR(INDEX($R$6:$R$806,ROW()-5),"")</f>
        <v/>
      </c>
      <c r="B683">
        <f>IFERROR(INDEX($S$6:$S$806,ROW()-5),"")</f>
        <v/>
      </c>
      <c r="C683">
        <f>IFERROR(INDEX($W$6:$W$806,ROW()-5),"")</f>
        <v/>
      </c>
      <c r="D683" s="36">
        <f>IFERROR(B683/$B$6*100,"")</f>
        <v/>
      </c>
      <c r="E683" s="36">
        <f>IFERROR(C683/$C$6*100,"")</f>
        <v/>
      </c>
    </row>
    <row r="684">
      <c r="A684" s="23">
        <f>IFERROR(INDEX($R$6:$R$806,ROW()-5),"")</f>
        <v/>
      </c>
      <c r="B684">
        <f>IFERROR(INDEX($S$6:$S$806,ROW()-5),"")</f>
        <v/>
      </c>
      <c r="C684">
        <f>IFERROR(INDEX($W$6:$W$806,ROW()-5),"")</f>
        <v/>
      </c>
      <c r="D684" s="36">
        <f>IFERROR(B684/$B$6*100,"")</f>
        <v/>
      </c>
      <c r="E684" s="36">
        <f>IFERROR(C684/$C$6*100,"")</f>
        <v/>
      </c>
    </row>
    <row r="685">
      <c r="A685" s="23">
        <f>IFERROR(INDEX($R$6:$R$806,ROW()-5),"")</f>
        <v/>
      </c>
      <c r="B685">
        <f>IFERROR(INDEX($S$6:$S$806,ROW()-5),"")</f>
        <v/>
      </c>
      <c r="C685">
        <f>IFERROR(INDEX($W$6:$W$806,ROW()-5),"")</f>
        <v/>
      </c>
      <c r="D685" s="36">
        <f>IFERROR(B685/$B$6*100,"")</f>
        <v/>
      </c>
      <c r="E685" s="36">
        <f>IFERROR(C685/$C$6*100,"")</f>
        <v/>
      </c>
    </row>
    <row r="686">
      <c r="A686" s="23">
        <f>IFERROR(INDEX($R$6:$R$806,ROW()-5),"")</f>
        <v/>
      </c>
      <c r="B686">
        <f>IFERROR(INDEX($S$6:$S$806,ROW()-5),"")</f>
        <v/>
      </c>
      <c r="C686">
        <f>IFERROR(INDEX($W$6:$W$806,ROW()-5),"")</f>
        <v/>
      </c>
      <c r="D686" s="36">
        <f>IFERROR(B686/$B$6*100,"")</f>
        <v/>
      </c>
      <c r="E686" s="36">
        <f>IFERROR(C686/$C$6*100,"")</f>
        <v/>
      </c>
    </row>
    <row r="687">
      <c r="A687" s="23">
        <f>IFERROR(INDEX($R$6:$R$806,ROW()-5),"")</f>
        <v/>
      </c>
      <c r="B687">
        <f>IFERROR(INDEX($S$6:$S$806,ROW()-5),"")</f>
        <v/>
      </c>
      <c r="C687">
        <f>IFERROR(INDEX($W$6:$W$806,ROW()-5),"")</f>
        <v/>
      </c>
      <c r="D687" s="36">
        <f>IFERROR(B687/$B$6*100,"")</f>
        <v/>
      </c>
      <c r="E687" s="36">
        <f>IFERROR(C687/$C$6*100,"")</f>
        <v/>
      </c>
    </row>
    <row r="688">
      <c r="A688" s="23">
        <f>IFERROR(INDEX($R$6:$R$806,ROW()-5),"")</f>
        <v/>
      </c>
      <c r="B688">
        <f>IFERROR(INDEX($S$6:$S$806,ROW()-5),"")</f>
        <v/>
      </c>
      <c r="C688">
        <f>IFERROR(INDEX($W$6:$W$806,ROW()-5),"")</f>
        <v/>
      </c>
      <c r="D688" s="36">
        <f>IFERROR(B688/$B$6*100,"")</f>
        <v/>
      </c>
      <c r="E688" s="36">
        <f>IFERROR(C688/$C$6*100,"")</f>
        <v/>
      </c>
    </row>
    <row r="689">
      <c r="A689" s="23">
        <f>IFERROR(INDEX($R$6:$R$806,ROW()-5),"")</f>
        <v/>
      </c>
      <c r="B689">
        <f>IFERROR(INDEX($S$6:$S$806,ROW()-5),"")</f>
        <v/>
      </c>
      <c r="C689">
        <f>IFERROR(INDEX($W$6:$W$806,ROW()-5),"")</f>
        <v/>
      </c>
      <c r="D689" s="36">
        <f>IFERROR(B689/$B$6*100,"")</f>
        <v/>
      </c>
      <c r="E689" s="36">
        <f>IFERROR(C689/$C$6*100,"")</f>
        <v/>
      </c>
    </row>
    <row r="690">
      <c r="A690" s="23">
        <f>IFERROR(INDEX($R$6:$R$806,ROW()-5),"")</f>
        <v/>
      </c>
      <c r="B690">
        <f>IFERROR(INDEX($S$6:$S$806,ROW()-5),"")</f>
        <v/>
      </c>
      <c r="C690">
        <f>IFERROR(INDEX($W$6:$W$806,ROW()-5),"")</f>
        <v/>
      </c>
      <c r="D690" s="36">
        <f>IFERROR(B690/$B$6*100,"")</f>
        <v/>
      </c>
      <c r="E690" s="36">
        <f>IFERROR(C690/$C$6*100,"")</f>
        <v/>
      </c>
    </row>
    <row r="691">
      <c r="A691" s="23">
        <f>IFERROR(INDEX($R$6:$R$806,ROW()-5),"")</f>
        <v/>
      </c>
      <c r="B691">
        <f>IFERROR(INDEX($S$6:$S$806,ROW()-5),"")</f>
        <v/>
      </c>
      <c r="C691">
        <f>IFERROR(INDEX($W$6:$W$806,ROW()-5),"")</f>
        <v/>
      </c>
      <c r="D691" s="36">
        <f>IFERROR(B691/$B$6*100,"")</f>
        <v/>
      </c>
      <c r="E691" s="36">
        <f>IFERROR(C691/$C$6*100,"")</f>
        <v/>
      </c>
    </row>
    <row r="692">
      <c r="A692" s="23">
        <f>IFERROR(INDEX($R$6:$R$806,ROW()-5),"")</f>
        <v/>
      </c>
      <c r="B692">
        <f>IFERROR(INDEX($S$6:$S$806,ROW()-5),"")</f>
        <v/>
      </c>
      <c r="C692">
        <f>IFERROR(INDEX($W$6:$W$806,ROW()-5),"")</f>
        <v/>
      </c>
      <c r="D692" s="36">
        <f>IFERROR(B692/$B$6*100,"")</f>
        <v/>
      </c>
      <c r="E692" s="36">
        <f>IFERROR(C692/$C$6*100,"")</f>
        <v/>
      </c>
    </row>
    <row r="693">
      <c r="A693" s="23">
        <f>IFERROR(INDEX($R$6:$R$806,ROW()-5),"")</f>
        <v/>
      </c>
      <c r="B693">
        <f>IFERROR(INDEX($S$6:$S$806,ROW()-5),"")</f>
        <v/>
      </c>
      <c r="C693">
        <f>IFERROR(INDEX($W$6:$W$806,ROW()-5),"")</f>
        <v/>
      </c>
      <c r="D693" s="36">
        <f>IFERROR(B693/$B$6*100,"")</f>
        <v/>
      </c>
      <c r="E693" s="36">
        <f>IFERROR(C693/$C$6*100,"")</f>
        <v/>
      </c>
    </row>
    <row r="694">
      <c r="A694" s="23">
        <f>IFERROR(INDEX($R$6:$R$806,ROW()-5),"")</f>
        <v/>
      </c>
      <c r="B694">
        <f>IFERROR(INDEX($S$6:$S$806,ROW()-5),"")</f>
        <v/>
      </c>
      <c r="C694">
        <f>IFERROR(INDEX($W$6:$W$806,ROW()-5),"")</f>
        <v/>
      </c>
      <c r="D694" s="36">
        <f>IFERROR(B694/$B$6*100,"")</f>
        <v/>
      </c>
      <c r="E694" s="36">
        <f>IFERROR(C694/$C$6*100,"")</f>
        <v/>
      </c>
    </row>
    <row r="695">
      <c r="A695" s="23">
        <f>IFERROR(INDEX($R$6:$R$806,ROW()-5),"")</f>
        <v/>
      </c>
      <c r="B695">
        <f>IFERROR(INDEX($S$6:$S$806,ROW()-5),"")</f>
        <v/>
      </c>
      <c r="C695">
        <f>IFERROR(INDEX($W$6:$W$806,ROW()-5),"")</f>
        <v/>
      </c>
      <c r="D695" s="36">
        <f>IFERROR(B695/$B$6*100,"")</f>
        <v/>
      </c>
      <c r="E695" s="36">
        <f>IFERROR(C695/$C$6*100,"")</f>
        <v/>
      </c>
    </row>
    <row r="696">
      <c r="A696" s="23">
        <f>IFERROR(INDEX($R$6:$R$806,ROW()-5),"")</f>
        <v/>
      </c>
      <c r="B696">
        <f>IFERROR(INDEX($S$6:$S$806,ROW()-5),"")</f>
        <v/>
      </c>
      <c r="C696">
        <f>IFERROR(INDEX($W$6:$W$806,ROW()-5),"")</f>
        <v/>
      </c>
      <c r="D696" s="36">
        <f>IFERROR(B696/$B$6*100,"")</f>
        <v/>
      </c>
      <c r="E696" s="36">
        <f>IFERROR(C696/$C$6*100,"")</f>
        <v/>
      </c>
    </row>
    <row r="697">
      <c r="A697" s="23">
        <f>IFERROR(INDEX($R$6:$R$806,ROW()-5),"")</f>
        <v/>
      </c>
      <c r="B697">
        <f>IFERROR(INDEX($S$6:$S$806,ROW()-5),"")</f>
        <v/>
      </c>
      <c r="C697">
        <f>IFERROR(INDEX($W$6:$W$806,ROW()-5),"")</f>
        <v/>
      </c>
      <c r="D697" s="36">
        <f>IFERROR(B697/$B$6*100,"")</f>
        <v/>
      </c>
      <c r="E697" s="36">
        <f>IFERROR(C697/$C$6*100,"")</f>
        <v/>
      </c>
    </row>
    <row r="698">
      <c r="A698" s="23">
        <f>IFERROR(INDEX($R$6:$R$806,ROW()-5),"")</f>
        <v/>
      </c>
      <c r="B698">
        <f>IFERROR(INDEX($S$6:$S$806,ROW()-5),"")</f>
        <v/>
      </c>
      <c r="C698">
        <f>IFERROR(INDEX($W$6:$W$806,ROW()-5),"")</f>
        <v/>
      </c>
      <c r="D698" s="36">
        <f>IFERROR(B698/$B$6*100,"")</f>
        <v/>
      </c>
      <c r="E698" s="36">
        <f>IFERROR(C698/$C$6*100,"")</f>
        <v/>
      </c>
    </row>
    <row r="699">
      <c r="A699" s="23">
        <f>IFERROR(INDEX($R$6:$R$806,ROW()-5),"")</f>
        <v/>
      </c>
      <c r="B699">
        <f>IFERROR(INDEX($S$6:$S$806,ROW()-5),"")</f>
        <v/>
      </c>
      <c r="C699">
        <f>IFERROR(INDEX($W$6:$W$806,ROW()-5),"")</f>
        <v/>
      </c>
      <c r="D699" s="36">
        <f>IFERROR(B699/$B$6*100,"")</f>
        <v/>
      </c>
      <c r="E699" s="36">
        <f>IFERROR(C699/$C$6*100,"")</f>
        <v/>
      </c>
    </row>
    <row r="700">
      <c r="A700" s="23">
        <f>IFERROR(INDEX($R$6:$R$806,ROW()-5),"")</f>
        <v/>
      </c>
      <c r="B700">
        <f>IFERROR(INDEX($S$6:$S$806,ROW()-5),"")</f>
        <v/>
      </c>
      <c r="C700">
        <f>IFERROR(INDEX($W$6:$W$806,ROW()-5),"")</f>
        <v/>
      </c>
      <c r="D700" s="36">
        <f>IFERROR(B700/$B$6*100,"")</f>
        <v/>
      </c>
      <c r="E700" s="36">
        <f>IFERROR(C700/$C$6*100,"")</f>
        <v/>
      </c>
    </row>
    <row r="701">
      <c r="A701" s="23">
        <f>IFERROR(INDEX($R$6:$R$806,ROW()-5),"")</f>
        <v/>
      </c>
      <c r="B701">
        <f>IFERROR(INDEX($S$6:$S$806,ROW()-5),"")</f>
        <v/>
      </c>
      <c r="C701">
        <f>IFERROR(INDEX($W$6:$W$806,ROW()-5),"")</f>
        <v/>
      </c>
      <c r="D701" s="36">
        <f>IFERROR(B701/$B$6*100,"")</f>
        <v/>
      </c>
      <c r="E701" s="36">
        <f>IFERROR(C701/$C$6*100,"")</f>
        <v/>
      </c>
    </row>
    <row r="702">
      <c r="A702" s="23">
        <f>IFERROR(INDEX($R$6:$R$806,ROW()-5),"")</f>
        <v/>
      </c>
      <c r="B702">
        <f>IFERROR(INDEX($S$6:$S$806,ROW()-5),"")</f>
        <v/>
      </c>
      <c r="C702">
        <f>IFERROR(INDEX($W$6:$W$806,ROW()-5),"")</f>
        <v/>
      </c>
      <c r="D702" s="36">
        <f>IFERROR(B702/$B$6*100,"")</f>
        <v/>
      </c>
      <c r="E702" s="36">
        <f>IFERROR(C702/$C$6*100,"")</f>
        <v/>
      </c>
    </row>
    <row r="703">
      <c r="A703" s="23">
        <f>IFERROR(INDEX($R$6:$R$806,ROW()-5),"")</f>
        <v/>
      </c>
      <c r="B703">
        <f>IFERROR(INDEX($S$6:$S$806,ROW()-5),"")</f>
        <v/>
      </c>
      <c r="C703">
        <f>IFERROR(INDEX($W$6:$W$806,ROW()-5),"")</f>
        <v/>
      </c>
      <c r="D703" s="36">
        <f>IFERROR(B703/$B$6*100,"")</f>
        <v/>
      </c>
      <c r="E703" s="36">
        <f>IFERROR(C703/$C$6*100,"")</f>
        <v/>
      </c>
    </row>
    <row r="704">
      <c r="A704" s="23">
        <f>IFERROR(INDEX($R$6:$R$806,ROW()-5),"")</f>
        <v/>
      </c>
      <c r="B704">
        <f>IFERROR(INDEX($S$6:$S$806,ROW()-5),"")</f>
        <v/>
      </c>
      <c r="C704">
        <f>IFERROR(INDEX($W$6:$W$806,ROW()-5),"")</f>
        <v/>
      </c>
      <c r="D704" s="36">
        <f>IFERROR(B704/$B$6*100,"")</f>
        <v/>
      </c>
      <c r="E704" s="36">
        <f>IFERROR(C704/$C$6*100,"")</f>
        <v/>
      </c>
    </row>
    <row r="705">
      <c r="A705" s="23">
        <f>IFERROR(INDEX($R$6:$R$806,ROW()-5),"")</f>
        <v/>
      </c>
      <c r="B705">
        <f>IFERROR(INDEX($S$6:$S$806,ROW()-5),"")</f>
        <v/>
      </c>
      <c r="C705">
        <f>IFERROR(INDEX($W$6:$W$806,ROW()-5),"")</f>
        <v/>
      </c>
      <c r="D705" s="36">
        <f>IFERROR(B705/$B$6*100,"")</f>
        <v/>
      </c>
      <c r="E705" s="36">
        <f>IFERROR(C705/$C$6*100,"")</f>
        <v/>
      </c>
    </row>
    <row r="706">
      <c r="A706" s="23">
        <f>IFERROR(INDEX($R$6:$R$806,ROW()-5),"")</f>
        <v/>
      </c>
      <c r="B706">
        <f>IFERROR(INDEX($S$6:$S$806,ROW()-5),"")</f>
        <v/>
      </c>
      <c r="C706">
        <f>IFERROR(INDEX($W$6:$W$806,ROW()-5),"")</f>
        <v/>
      </c>
      <c r="D706" s="36">
        <f>IFERROR(B706/$B$6*100,"")</f>
        <v/>
      </c>
      <c r="E706" s="36">
        <f>IFERROR(C706/$C$6*100,"")</f>
        <v/>
      </c>
    </row>
    <row r="707">
      <c r="A707" s="23">
        <f>IFERROR(INDEX($R$6:$R$806,ROW()-5),"")</f>
        <v/>
      </c>
      <c r="B707">
        <f>IFERROR(INDEX($S$6:$S$806,ROW()-5),"")</f>
        <v/>
      </c>
      <c r="C707">
        <f>IFERROR(INDEX($W$6:$W$806,ROW()-5),"")</f>
        <v/>
      </c>
      <c r="D707" s="36">
        <f>IFERROR(B707/$B$6*100,"")</f>
        <v/>
      </c>
      <c r="E707" s="36">
        <f>IFERROR(C707/$C$6*100,"")</f>
        <v/>
      </c>
    </row>
    <row r="708">
      <c r="A708" s="23">
        <f>IFERROR(INDEX($R$6:$R$806,ROW()-5),"")</f>
        <v/>
      </c>
      <c r="B708">
        <f>IFERROR(INDEX($S$6:$S$806,ROW()-5),"")</f>
        <v/>
      </c>
      <c r="C708">
        <f>IFERROR(INDEX($W$6:$W$806,ROW()-5),"")</f>
        <v/>
      </c>
      <c r="D708" s="36">
        <f>IFERROR(B708/$B$6*100,"")</f>
        <v/>
      </c>
      <c r="E708" s="36">
        <f>IFERROR(C708/$C$6*100,"")</f>
        <v/>
      </c>
    </row>
    <row r="709">
      <c r="A709" s="23">
        <f>IFERROR(INDEX($R$6:$R$806,ROW()-5),"")</f>
        <v/>
      </c>
      <c r="B709">
        <f>IFERROR(INDEX($S$6:$S$806,ROW()-5),"")</f>
        <v/>
      </c>
      <c r="C709">
        <f>IFERROR(INDEX($W$6:$W$806,ROW()-5),"")</f>
        <v/>
      </c>
      <c r="D709" s="36">
        <f>IFERROR(B709/$B$6*100,"")</f>
        <v/>
      </c>
      <c r="E709" s="36">
        <f>IFERROR(C709/$C$6*100,"")</f>
        <v/>
      </c>
    </row>
    <row r="710">
      <c r="A710" s="23">
        <f>IFERROR(INDEX($R$6:$R$806,ROW()-5),"")</f>
        <v/>
      </c>
      <c r="B710">
        <f>IFERROR(INDEX($S$6:$S$806,ROW()-5),"")</f>
        <v/>
      </c>
      <c r="C710">
        <f>IFERROR(INDEX($W$6:$W$806,ROW()-5),"")</f>
        <v/>
      </c>
      <c r="D710" s="36">
        <f>IFERROR(B710/$B$6*100,"")</f>
        <v/>
      </c>
      <c r="E710" s="36">
        <f>IFERROR(C710/$C$6*100,"")</f>
        <v/>
      </c>
    </row>
    <row r="711">
      <c r="A711" s="23">
        <f>IFERROR(INDEX($R$6:$R$806,ROW()-5),"")</f>
        <v/>
      </c>
      <c r="B711">
        <f>IFERROR(INDEX($S$6:$S$806,ROW()-5),"")</f>
        <v/>
      </c>
      <c r="C711">
        <f>IFERROR(INDEX($W$6:$W$806,ROW()-5),"")</f>
        <v/>
      </c>
      <c r="D711" s="36">
        <f>IFERROR(B711/$B$6*100,"")</f>
        <v/>
      </c>
      <c r="E711" s="36">
        <f>IFERROR(C711/$C$6*100,"")</f>
        <v/>
      </c>
    </row>
    <row r="712">
      <c r="A712" s="23">
        <f>IFERROR(INDEX($R$6:$R$806,ROW()-5),"")</f>
        <v/>
      </c>
      <c r="B712">
        <f>IFERROR(INDEX($S$6:$S$806,ROW()-5),"")</f>
        <v/>
      </c>
      <c r="C712">
        <f>IFERROR(INDEX($W$6:$W$806,ROW()-5),"")</f>
        <v/>
      </c>
      <c r="D712" s="36">
        <f>IFERROR(B712/$B$6*100,"")</f>
        <v/>
      </c>
      <c r="E712" s="36">
        <f>IFERROR(C712/$C$6*100,"")</f>
        <v/>
      </c>
    </row>
    <row r="713">
      <c r="A713" s="23">
        <f>IFERROR(INDEX($R$6:$R$806,ROW()-5),"")</f>
        <v/>
      </c>
      <c r="B713">
        <f>IFERROR(INDEX($S$6:$S$806,ROW()-5),"")</f>
        <v/>
      </c>
      <c r="C713">
        <f>IFERROR(INDEX($W$6:$W$806,ROW()-5),"")</f>
        <v/>
      </c>
      <c r="D713" s="36">
        <f>IFERROR(B713/$B$6*100,"")</f>
        <v/>
      </c>
      <c r="E713" s="36">
        <f>IFERROR(C713/$C$6*100,"")</f>
        <v/>
      </c>
    </row>
    <row r="714">
      <c r="A714" s="23">
        <f>IFERROR(INDEX($R$6:$R$806,ROW()-5),"")</f>
        <v/>
      </c>
      <c r="B714">
        <f>IFERROR(INDEX($S$6:$S$806,ROW()-5),"")</f>
        <v/>
      </c>
      <c r="C714">
        <f>IFERROR(INDEX($W$6:$W$806,ROW()-5),"")</f>
        <v/>
      </c>
      <c r="D714" s="36">
        <f>IFERROR(B714/$B$6*100,"")</f>
        <v/>
      </c>
      <c r="E714" s="36">
        <f>IFERROR(C714/$C$6*100,"")</f>
        <v/>
      </c>
    </row>
    <row r="715">
      <c r="A715" s="23">
        <f>IFERROR(INDEX($R$6:$R$806,ROW()-5),"")</f>
        <v/>
      </c>
      <c r="B715">
        <f>IFERROR(INDEX($S$6:$S$806,ROW()-5),"")</f>
        <v/>
      </c>
      <c r="C715">
        <f>IFERROR(INDEX($W$6:$W$806,ROW()-5),"")</f>
        <v/>
      </c>
      <c r="D715" s="36">
        <f>IFERROR(B715/$B$6*100,"")</f>
        <v/>
      </c>
      <c r="E715" s="36">
        <f>IFERROR(C715/$C$6*100,"")</f>
        <v/>
      </c>
    </row>
    <row r="716">
      <c r="A716" s="23">
        <f>IFERROR(INDEX($R$6:$R$806,ROW()-5),"")</f>
        <v/>
      </c>
      <c r="B716">
        <f>IFERROR(INDEX($S$6:$S$806,ROW()-5),"")</f>
        <v/>
      </c>
      <c r="C716">
        <f>IFERROR(INDEX($W$6:$W$806,ROW()-5),"")</f>
        <v/>
      </c>
      <c r="D716" s="36">
        <f>IFERROR(B716/$B$6*100,"")</f>
        <v/>
      </c>
      <c r="E716" s="36">
        <f>IFERROR(C716/$C$6*100,"")</f>
        <v/>
      </c>
    </row>
    <row r="717">
      <c r="A717" s="23">
        <f>IFERROR(INDEX($R$6:$R$806,ROW()-5),"")</f>
        <v/>
      </c>
      <c r="B717">
        <f>IFERROR(INDEX($S$6:$S$806,ROW()-5),"")</f>
        <v/>
      </c>
      <c r="C717">
        <f>IFERROR(INDEX($W$6:$W$806,ROW()-5),"")</f>
        <v/>
      </c>
      <c r="D717" s="36">
        <f>IFERROR(B717/$B$6*100,"")</f>
        <v/>
      </c>
      <c r="E717" s="36">
        <f>IFERROR(C717/$C$6*100,"")</f>
        <v/>
      </c>
    </row>
    <row r="718">
      <c r="A718" s="23">
        <f>IFERROR(INDEX($R$6:$R$806,ROW()-5),"")</f>
        <v/>
      </c>
      <c r="B718">
        <f>IFERROR(INDEX($S$6:$S$806,ROW()-5),"")</f>
        <v/>
      </c>
      <c r="C718">
        <f>IFERROR(INDEX($W$6:$W$806,ROW()-5),"")</f>
        <v/>
      </c>
      <c r="D718" s="36">
        <f>IFERROR(B718/$B$6*100,"")</f>
        <v/>
      </c>
      <c r="E718" s="36">
        <f>IFERROR(C718/$C$6*100,"")</f>
        <v/>
      </c>
    </row>
    <row r="719">
      <c r="A719" s="23">
        <f>IFERROR(INDEX($R$6:$R$806,ROW()-5),"")</f>
        <v/>
      </c>
      <c r="B719">
        <f>IFERROR(INDEX($S$6:$S$806,ROW()-5),"")</f>
        <v/>
      </c>
      <c r="C719">
        <f>IFERROR(INDEX($W$6:$W$806,ROW()-5),"")</f>
        <v/>
      </c>
      <c r="D719" s="36">
        <f>IFERROR(B719/$B$6*100,"")</f>
        <v/>
      </c>
      <c r="E719" s="36">
        <f>IFERROR(C719/$C$6*100,"")</f>
        <v/>
      </c>
    </row>
    <row r="720">
      <c r="A720" s="23">
        <f>IFERROR(INDEX($R$6:$R$806,ROW()-5),"")</f>
        <v/>
      </c>
      <c r="B720">
        <f>IFERROR(INDEX($S$6:$S$806,ROW()-5),"")</f>
        <v/>
      </c>
      <c r="C720">
        <f>IFERROR(INDEX($W$6:$W$806,ROW()-5),"")</f>
        <v/>
      </c>
      <c r="D720" s="36">
        <f>IFERROR(B720/$B$6*100,"")</f>
        <v/>
      </c>
      <c r="E720" s="36">
        <f>IFERROR(C720/$C$6*100,"")</f>
        <v/>
      </c>
    </row>
    <row r="721">
      <c r="A721" s="23">
        <f>IFERROR(INDEX($R$6:$R$806,ROW()-5),"")</f>
        <v/>
      </c>
      <c r="B721">
        <f>IFERROR(INDEX($S$6:$S$806,ROW()-5),"")</f>
        <v/>
      </c>
      <c r="C721">
        <f>IFERROR(INDEX($W$6:$W$806,ROW()-5),"")</f>
        <v/>
      </c>
      <c r="D721" s="36">
        <f>IFERROR(B721/$B$6*100,"")</f>
        <v/>
      </c>
      <c r="E721" s="36">
        <f>IFERROR(C721/$C$6*100,"")</f>
        <v/>
      </c>
    </row>
    <row r="722">
      <c r="A722" s="23">
        <f>IFERROR(INDEX($R$6:$R$806,ROW()-5),"")</f>
        <v/>
      </c>
      <c r="B722">
        <f>IFERROR(INDEX($S$6:$S$806,ROW()-5),"")</f>
        <v/>
      </c>
      <c r="C722">
        <f>IFERROR(INDEX($W$6:$W$806,ROW()-5),"")</f>
        <v/>
      </c>
      <c r="D722" s="36">
        <f>IFERROR(B722/$B$6*100,"")</f>
        <v/>
      </c>
      <c r="E722" s="36">
        <f>IFERROR(C722/$C$6*100,"")</f>
        <v/>
      </c>
    </row>
    <row r="723">
      <c r="A723" s="23">
        <f>IFERROR(INDEX($R$6:$R$806,ROW()-5),"")</f>
        <v/>
      </c>
      <c r="B723">
        <f>IFERROR(INDEX($S$6:$S$806,ROW()-5),"")</f>
        <v/>
      </c>
      <c r="C723">
        <f>IFERROR(INDEX($W$6:$W$806,ROW()-5),"")</f>
        <v/>
      </c>
      <c r="D723" s="36">
        <f>IFERROR(B723/$B$6*100,"")</f>
        <v/>
      </c>
      <c r="E723" s="36">
        <f>IFERROR(C723/$C$6*100,"")</f>
        <v/>
      </c>
    </row>
    <row r="724">
      <c r="A724" s="23">
        <f>IFERROR(INDEX($R$6:$R$806,ROW()-5),"")</f>
        <v/>
      </c>
      <c r="B724">
        <f>IFERROR(INDEX($S$6:$S$806,ROW()-5),"")</f>
        <v/>
      </c>
      <c r="C724">
        <f>IFERROR(INDEX($W$6:$W$806,ROW()-5),"")</f>
        <v/>
      </c>
      <c r="D724" s="36">
        <f>IFERROR(B724/$B$6*100,"")</f>
        <v/>
      </c>
      <c r="E724" s="36">
        <f>IFERROR(C724/$C$6*100,"")</f>
        <v/>
      </c>
    </row>
    <row r="725">
      <c r="A725" s="23">
        <f>IFERROR(INDEX($R$6:$R$806,ROW()-5),"")</f>
        <v/>
      </c>
      <c r="B725">
        <f>IFERROR(INDEX($S$6:$S$806,ROW()-5),"")</f>
        <v/>
      </c>
      <c r="C725">
        <f>IFERROR(INDEX($W$6:$W$806,ROW()-5),"")</f>
        <v/>
      </c>
      <c r="D725" s="36">
        <f>IFERROR(B725/$B$6*100,"")</f>
        <v/>
      </c>
      <c r="E725" s="36">
        <f>IFERROR(C725/$C$6*100,"")</f>
        <v/>
      </c>
    </row>
    <row r="726">
      <c r="A726" s="23">
        <f>IFERROR(INDEX($R$6:$R$806,ROW()-5),"")</f>
        <v/>
      </c>
      <c r="B726">
        <f>IFERROR(INDEX($S$6:$S$806,ROW()-5),"")</f>
        <v/>
      </c>
      <c r="C726">
        <f>IFERROR(INDEX($W$6:$W$806,ROW()-5),"")</f>
        <v/>
      </c>
      <c r="D726" s="36">
        <f>IFERROR(B726/$B$6*100,"")</f>
        <v/>
      </c>
      <c r="E726" s="36">
        <f>IFERROR(C726/$C$6*100,"")</f>
        <v/>
      </c>
    </row>
    <row r="727">
      <c r="A727" s="23">
        <f>IFERROR(INDEX($R$6:$R$806,ROW()-5),"")</f>
        <v/>
      </c>
      <c r="B727">
        <f>IFERROR(INDEX($S$6:$S$806,ROW()-5),"")</f>
        <v/>
      </c>
      <c r="C727">
        <f>IFERROR(INDEX($W$6:$W$806,ROW()-5),"")</f>
        <v/>
      </c>
      <c r="D727" s="36">
        <f>IFERROR(B727/$B$6*100,"")</f>
        <v/>
      </c>
      <c r="E727" s="36">
        <f>IFERROR(C727/$C$6*100,"")</f>
        <v/>
      </c>
    </row>
    <row r="728">
      <c r="A728" s="23">
        <f>IFERROR(INDEX($R$6:$R$806,ROW()-5),"")</f>
        <v/>
      </c>
      <c r="B728">
        <f>IFERROR(INDEX($S$6:$S$806,ROW()-5),"")</f>
        <v/>
      </c>
      <c r="C728">
        <f>IFERROR(INDEX($W$6:$W$806,ROW()-5),"")</f>
        <v/>
      </c>
      <c r="D728" s="36">
        <f>IFERROR(B728/$B$6*100,"")</f>
        <v/>
      </c>
      <c r="E728" s="36">
        <f>IFERROR(C728/$C$6*100,"")</f>
        <v/>
      </c>
    </row>
    <row r="729">
      <c r="A729" s="23">
        <f>IFERROR(INDEX($R$6:$R$806,ROW()-5),"")</f>
        <v/>
      </c>
      <c r="B729">
        <f>IFERROR(INDEX($S$6:$S$806,ROW()-5),"")</f>
        <v/>
      </c>
      <c r="C729">
        <f>IFERROR(INDEX($W$6:$W$806,ROW()-5),"")</f>
        <v/>
      </c>
      <c r="D729" s="36">
        <f>IFERROR(B729/$B$6*100,"")</f>
        <v/>
      </c>
      <c r="E729" s="36">
        <f>IFERROR(C729/$C$6*100,"")</f>
        <v/>
      </c>
    </row>
    <row r="730">
      <c r="A730" s="23">
        <f>IFERROR(INDEX($R$6:$R$806,ROW()-5),"")</f>
        <v/>
      </c>
      <c r="B730">
        <f>IFERROR(INDEX($S$6:$S$806,ROW()-5),"")</f>
        <v/>
      </c>
      <c r="C730">
        <f>IFERROR(INDEX($W$6:$W$806,ROW()-5),"")</f>
        <v/>
      </c>
      <c r="D730" s="36">
        <f>IFERROR(B730/$B$6*100,"")</f>
        <v/>
      </c>
      <c r="E730" s="36">
        <f>IFERROR(C730/$C$6*100,"")</f>
        <v/>
      </c>
    </row>
    <row r="731">
      <c r="A731" s="23">
        <f>IFERROR(INDEX($R$6:$R$806,ROW()-5),"")</f>
        <v/>
      </c>
      <c r="B731">
        <f>IFERROR(INDEX($S$6:$S$806,ROW()-5),"")</f>
        <v/>
      </c>
      <c r="C731">
        <f>IFERROR(INDEX($W$6:$W$806,ROW()-5),"")</f>
        <v/>
      </c>
      <c r="D731" s="36">
        <f>IFERROR(B731/$B$6*100,"")</f>
        <v/>
      </c>
      <c r="E731" s="36">
        <f>IFERROR(C731/$C$6*100,"")</f>
        <v/>
      </c>
    </row>
    <row r="732">
      <c r="A732" s="23">
        <f>IFERROR(INDEX($R$6:$R$806,ROW()-5),"")</f>
        <v/>
      </c>
      <c r="B732">
        <f>IFERROR(INDEX($S$6:$S$806,ROW()-5),"")</f>
        <v/>
      </c>
      <c r="C732">
        <f>IFERROR(INDEX($W$6:$W$806,ROW()-5),"")</f>
        <v/>
      </c>
      <c r="D732" s="36">
        <f>IFERROR(B732/$B$6*100,"")</f>
        <v/>
      </c>
      <c r="E732" s="36">
        <f>IFERROR(C732/$C$6*100,"")</f>
        <v/>
      </c>
    </row>
    <row r="733">
      <c r="A733" s="23">
        <f>IFERROR(INDEX($R$6:$R$806,ROW()-5),"")</f>
        <v/>
      </c>
      <c r="B733">
        <f>IFERROR(INDEX($S$6:$S$806,ROW()-5),"")</f>
        <v/>
      </c>
      <c r="C733">
        <f>IFERROR(INDEX($W$6:$W$806,ROW()-5),"")</f>
        <v/>
      </c>
      <c r="D733" s="36">
        <f>IFERROR(B733/$B$6*100,"")</f>
        <v/>
      </c>
      <c r="E733" s="36">
        <f>IFERROR(C733/$C$6*100,"")</f>
        <v/>
      </c>
    </row>
    <row r="734">
      <c r="A734" s="23">
        <f>IFERROR(INDEX($R$6:$R$806,ROW()-5),"")</f>
        <v/>
      </c>
      <c r="B734">
        <f>IFERROR(INDEX($S$6:$S$806,ROW()-5),"")</f>
        <v/>
      </c>
      <c r="C734">
        <f>IFERROR(INDEX($W$6:$W$806,ROW()-5),"")</f>
        <v/>
      </c>
      <c r="D734" s="36">
        <f>IFERROR(B734/$B$6*100,"")</f>
        <v/>
      </c>
      <c r="E734" s="36">
        <f>IFERROR(C734/$C$6*100,"")</f>
        <v/>
      </c>
    </row>
    <row r="735">
      <c r="A735" s="23">
        <f>IFERROR(INDEX($R$6:$R$806,ROW()-5),"")</f>
        <v/>
      </c>
      <c r="B735">
        <f>IFERROR(INDEX($S$6:$S$806,ROW()-5),"")</f>
        <v/>
      </c>
      <c r="C735">
        <f>IFERROR(INDEX($W$6:$W$806,ROW()-5),"")</f>
        <v/>
      </c>
      <c r="D735" s="36">
        <f>IFERROR(B735/$B$6*100,"")</f>
        <v/>
      </c>
      <c r="E735" s="36">
        <f>IFERROR(C735/$C$6*100,"")</f>
        <v/>
      </c>
    </row>
    <row r="736">
      <c r="A736" s="23">
        <f>IFERROR(INDEX($R$6:$R$806,ROW()-5),"")</f>
        <v/>
      </c>
      <c r="B736">
        <f>IFERROR(INDEX($S$6:$S$806,ROW()-5),"")</f>
        <v/>
      </c>
      <c r="C736">
        <f>IFERROR(INDEX($W$6:$W$806,ROW()-5),"")</f>
        <v/>
      </c>
      <c r="D736" s="36">
        <f>IFERROR(B736/$B$6*100,"")</f>
        <v/>
      </c>
      <c r="E736" s="36">
        <f>IFERROR(C736/$C$6*100,"")</f>
        <v/>
      </c>
    </row>
    <row r="737">
      <c r="A737" s="23">
        <f>IFERROR(INDEX($R$6:$R$806,ROW()-5),"")</f>
        <v/>
      </c>
      <c r="B737">
        <f>IFERROR(INDEX($S$6:$S$806,ROW()-5),"")</f>
        <v/>
      </c>
      <c r="C737">
        <f>IFERROR(INDEX($W$6:$W$806,ROW()-5),"")</f>
        <v/>
      </c>
      <c r="D737" s="36">
        <f>IFERROR(B737/$B$6*100,"")</f>
        <v/>
      </c>
      <c r="E737" s="36">
        <f>IFERROR(C737/$C$6*100,"")</f>
        <v/>
      </c>
    </row>
    <row r="738">
      <c r="A738" s="23">
        <f>IFERROR(INDEX($R$6:$R$806,ROW()-5),"")</f>
        <v/>
      </c>
      <c r="B738">
        <f>IFERROR(INDEX($S$6:$S$806,ROW()-5),"")</f>
        <v/>
      </c>
      <c r="C738">
        <f>IFERROR(INDEX($W$6:$W$806,ROW()-5),"")</f>
        <v/>
      </c>
      <c r="D738" s="36">
        <f>IFERROR(B738/$B$6*100,"")</f>
        <v/>
      </c>
      <c r="E738" s="36">
        <f>IFERROR(C738/$C$6*100,"")</f>
        <v/>
      </c>
    </row>
    <row r="739">
      <c r="A739" s="23">
        <f>IFERROR(INDEX($R$6:$R$806,ROW()-5),"")</f>
        <v/>
      </c>
      <c r="B739">
        <f>IFERROR(INDEX($S$6:$S$806,ROW()-5),"")</f>
        <v/>
      </c>
      <c r="C739">
        <f>IFERROR(INDEX($W$6:$W$806,ROW()-5),"")</f>
        <v/>
      </c>
      <c r="D739" s="36">
        <f>IFERROR(B739/$B$6*100,"")</f>
        <v/>
      </c>
      <c r="E739" s="36">
        <f>IFERROR(C739/$C$6*100,"")</f>
        <v/>
      </c>
    </row>
    <row r="740">
      <c r="A740" s="23">
        <f>IFERROR(INDEX($R$6:$R$806,ROW()-5),"")</f>
        <v/>
      </c>
      <c r="B740">
        <f>IFERROR(INDEX($S$6:$S$806,ROW()-5),"")</f>
        <v/>
      </c>
      <c r="C740">
        <f>IFERROR(INDEX($W$6:$W$806,ROW()-5),"")</f>
        <v/>
      </c>
      <c r="D740" s="36">
        <f>IFERROR(B740/$B$6*100,"")</f>
        <v/>
      </c>
      <c r="E740" s="36">
        <f>IFERROR(C740/$C$6*100,"")</f>
        <v/>
      </c>
    </row>
    <row r="741">
      <c r="A741" s="23">
        <f>IFERROR(INDEX($R$6:$R$806,ROW()-5),"")</f>
        <v/>
      </c>
      <c r="B741">
        <f>IFERROR(INDEX($S$6:$S$806,ROW()-5),"")</f>
        <v/>
      </c>
      <c r="C741">
        <f>IFERROR(INDEX($W$6:$W$806,ROW()-5),"")</f>
        <v/>
      </c>
      <c r="D741" s="36">
        <f>IFERROR(B741/$B$6*100,"")</f>
        <v/>
      </c>
      <c r="E741" s="36">
        <f>IFERROR(C741/$C$6*100,"")</f>
        <v/>
      </c>
    </row>
    <row r="742">
      <c r="A742" s="23">
        <f>IFERROR(INDEX($R$6:$R$806,ROW()-5),"")</f>
        <v/>
      </c>
      <c r="B742">
        <f>IFERROR(INDEX($S$6:$S$806,ROW()-5),"")</f>
        <v/>
      </c>
      <c r="C742">
        <f>IFERROR(INDEX($W$6:$W$806,ROW()-5),"")</f>
        <v/>
      </c>
      <c r="D742" s="36">
        <f>IFERROR(B742/$B$6*100,"")</f>
        <v/>
      </c>
      <c r="E742" s="36">
        <f>IFERROR(C742/$C$6*100,"")</f>
        <v/>
      </c>
    </row>
    <row r="743">
      <c r="A743" s="23">
        <f>IFERROR(INDEX($R$6:$R$806,ROW()-5),"")</f>
        <v/>
      </c>
      <c r="B743">
        <f>IFERROR(INDEX($S$6:$S$806,ROW()-5),"")</f>
        <v/>
      </c>
      <c r="C743">
        <f>IFERROR(INDEX($W$6:$W$806,ROW()-5),"")</f>
        <v/>
      </c>
      <c r="D743" s="36">
        <f>IFERROR(B743/$B$6*100,"")</f>
        <v/>
      </c>
      <c r="E743" s="36">
        <f>IFERROR(C743/$C$6*100,"")</f>
        <v/>
      </c>
    </row>
    <row r="744">
      <c r="A744" s="23">
        <f>IFERROR(INDEX($R$6:$R$806,ROW()-5),"")</f>
        <v/>
      </c>
      <c r="B744">
        <f>IFERROR(INDEX($S$6:$S$806,ROW()-5),"")</f>
        <v/>
      </c>
      <c r="C744">
        <f>IFERROR(INDEX($W$6:$W$806,ROW()-5),"")</f>
        <v/>
      </c>
      <c r="D744" s="36">
        <f>IFERROR(B744/$B$6*100,"")</f>
        <v/>
      </c>
      <c r="E744" s="36">
        <f>IFERROR(C744/$C$6*100,"")</f>
        <v/>
      </c>
    </row>
    <row r="745">
      <c r="A745" s="23">
        <f>IFERROR(INDEX($R$6:$R$806,ROW()-5),"")</f>
        <v/>
      </c>
      <c r="B745">
        <f>IFERROR(INDEX($S$6:$S$806,ROW()-5),"")</f>
        <v/>
      </c>
      <c r="C745">
        <f>IFERROR(INDEX($W$6:$W$806,ROW()-5),"")</f>
        <v/>
      </c>
      <c r="D745" s="36">
        <f>IFERROR(B745/$B$6*100,"")</f>
        <v/>
      </c>
      <c r="E745" s="36">
        <f>IFERROR(C745/$C$6*100,"")</f>
        <v/>
      </c>
    </row>
    <row r="746">
      <c r="A746" s="23">
        <f>IFERROR(INDEX($R$6:$R$806,ROW()-5),"")</f>
        <v/>
      </c>
      <c r="B746">
        <f>IFERROR(INDEX($S$6:$S$806,ROW()-5),"")</f>
        <v/>
      </c>
      <c r="C746">
        <f>IFERROR(INDEX($W$6:$W$806,ROW()-5),"")</f>
        <v/>
      </c>
      <c r="D746" s="36">
        <f>IFERROR(B746/$B$6*100,"")</f>
        <v/>
      </c>
      <c r="E746" s="36">
        <f>IFERROR(C746/$C$6*100,"")</f>
        <v/>
      </c>
    </row>
    <row r="747">
      <c r="A747" s="23">
        <f>IFERROR(INDEX($R$6:$R$806,ROW()-5),"")</f>
        <v/>
      </c>
      <c r="B747">
        <f>IFERROR(INDEX($S$6:$S$806,ROW()-5),"")</f>
        <v/>
      </c>
      <c r="C747">
        <f>IFERROR(INDEX($W$6:$W$806,ROW()-5),"")</f>
        <v/>
      </c>
      <c r="D747" s="36">
        <f>IFERROR(B747/$B$6*100,"")</f>
        <v/>
      </c>
      <c r="E747" s="36">
        <f>IFERROR(C747/$C$6*100,"")</f>
        <v/>
      </c>
    </row>
    <row r="748">
      <c r="A748" s="23">
        <f>IFERROR(INDEX($R$6:$R$806,ROW()-5),"")</f>
        <v/>
      </c>
      <c r="B748">
        <f>IFERROR(INDEX($S$6:$S$806,ROW()-5),"")</f>
        <v/>
      </c>
      <c r="C748">
        <f>IFERROR(INDEX($W$6:$W$806,ROW()-5),"")</f>
        <v/>
      </c>
      <c r="D748" s="36">
        <f>IFERROR(B748/$B$6*100,"")</f>
        <v/>
      </c>
      <c r="E748" s="36">
        <f>IFERROR(C748/$C$6*100,"")</f>
        <v/>
      </c>
    </row>
    <row r="749">
      <c r="A749" s="23">
        <f>IFERROR(INDEX($R$6:$R$806,ROW()-5),"")</f>
        <v/>
      </c>
      <c r="B749">
        <f>IFERROR(INDEX($S$6:$S$806,ROW()-5),"")</f>
        <v/>
      </c>
      <c r="C749">
        <f>IFERROR(INDEX($W$6:$W$806,ROW()-5),"")</f>
        <v/>
      </c>
      <c r="D749" s="36">
        <f>IFERROR(B749/$B$6*100,"")</f>
        <v/>
      </c>
      <c r="E749" s="36">
        <f>IFERROR(C749/$C$6*100,"")</f>
        <v/>
      </c>
    </row>
    <row r="750">
      <c r="A750" s="23">
        <f>IFERROR(INDEX($R$6:$R$806,ROW()-5),"")</f>
        <v/>
      </c>
      <c r="B750">
        <f>IFERROR(INDEX($S$6:$S$806,ROW()-5),"")</f>
        <v/>
      </c>
      <c r="C750">
        <f>IFERROR(INDEX($W$6:$W$806,ROW()-5),"")</f>
        <v/>
      </c>
      <c r="D750" s="36">
        <f>IFERROR(B750/$B$6*100,"")</f>
        <v/>
      </c>
      <c r="E750" s="36">
        <f>IFERROR(C750/$C$6*100,"")</f>
        <v/>
      </c>
    </row>
    <row r="751">
      <c r="A751" s="23">
        <f>IFERROR(INDEX($R$6:$R$806,ROW()-5),"")</f>
        <v/>
      </c>
      <c r="B751">
        <f>IFERROR(INDEX($S$6:$S$806,ROW()-5),"")</f>
        <v/>
      </c>
      <c r="C751">
        <f>IFERROR(INDEX($W$6:$W$806,ROW()-5),"")</f>
        <v/>
      </c>
      <c r="D751" s="36">
        <f>IFERROR(B751/$B$6*100,"")</f>
        <v/>
      </c>
      <c r="E751" s="36">
        <f>IFERROR(C751/$C$6*100,"")</f>
        <v/>
      </c>
    </row>
    <row r="752">
      <c r="A752" s="23">
        <f>IFERROR(INDEX($R$6:$R$806,ROW()-5),"")</f>
        <v/>
      </c>
      <c r="B752">
        <f>IFERROR(INDEX($S$6:$S$806,ROW()-5),"")</f>
        <v/>
      </c>
      <c r="C752">
        <f>IFERROR(INDEX($W$6:$W$806,ROW()-5),"")</f>
        <v/>
      </c>
      <c r="D752" s="36">
        <f>IFERROR(B752/$B$6*100,"")</f>
        <v/>
      </c>
      <c r="E752" s="36">
        <f>IFERROR(C752/$C$6*100,"")</f>
        <v/>
      </c>
    </row>
    <row r="753">
      <c r="A753" s="23">
        <f>IFERROR(INDEX($R$6:$R$806,ROW()-5),"")</f>
        <v/>
      </c>
      <c r="B753">
        <f>IFERROR(INDEX($S$6:$S$806,ROW()-5),"")</f>
        <v/>
      </c>
      <c r="C753">
        <f>IFERROR(INDEX($W$6:$W$806,ROW()-5),"")</f>
        <v/>
      </c>
      <c r="D753" s="36">
        <f>IFERROR(B753/$B$6*100,"")</f>
        <v/>
      </c>
      <c r="E753" s="36">
        <f>IFERROR(C753/$C$6*100,"")</f>
        <v/>
      </c>
    </row>
    <row r="754">
      <c r="A754" s="23">
        <f>IFERROR(INDEX($R$6:$R$806,ROW()-5),"")</f>
        <v/>
      </c>
      <c r="B754">
        <f>IFERROR(INDEX($S$6:$S$806,ROW()-5),"")</f>
        <v/>
      </c>
      <c r="C754">
        <f>IFERROR(INDEX($W$6:$W$806,ROW()-5),"")</f>
        <v/>
      </c>
      <c r="D754" s="36">
        <f>IFERROR(B754/$B$6*100,"")</f>
        <v/>
      </c>
      <c r="E754" s="36">
        <f>IFERROR(C754/$C$6*100,"")</f>
        <v/>
      </c>
    </row>
    <row r="755">
      <c r="A755" s="23">
        <f>IFERROR(INDEX($R$6:$R$806,ROW()-5),"")</f>
        <v/>
      </c>
      <c r="B755">
        <f>IFERROR(INDEX($S$6:$S$806,ROW()-5),"")</f>
        <v/>
      </c>
      <c r="C755">
        <f>IFERROR(INDEX($W$6:$W$806,ROW()-5),"")</f>
        <v/>
      </c>
      <c r="D755" s="36">
        <f>IFERROR(B755/$B$6*100,"")</f>
        <v/>
      </c>
      <c r="E755" s="36">
        <f>IFERROR(C755/$C$6*100,"")</f>
        <v/>
      </c>
    </row>
    <row r="756">
      <c r="A756" s="23">
        <f>IFERROR(INDEX($R$6:$R$806,ROW()-5),"")</f>
        <v/>
      </c>
      <c r="B756">
        <f>IFERROR(INDEX($S$6:$S$806,ROW()-5),"")</f>
        <v/>
      </c>
      <c r="C756">
        <f>IFERROR(INDEX($W$6:$W$806,ROW()-5),"")</f>
        <v/>
      </c>
      <c r="D756" s="36">
        <f>IFERROR(B756/$B$6*100,"")</f>
        <v/>
      </c>
      <c r="E756" s="36">
        <f>IFERROR(C756/$C$6*100,"")</f>
        <v/>
      </c>
    </row>
    <row r="757">
      <c r="A757" s="23">
        <f>IFERROR(INDEX($R$6:$R$806,ROW()-5),"")</f>
        <v/>
      </c>
      <c r="B757">
        <f>IFERROR(INDEX($S$6:$S$806,ROW()-5),"")</f>
        <v/>
      </c>
      <c r="C757">
        <f>IFERROR(INDEX($W$6:$W$806,ROW()-5),"")</f>
        <v/>
      </c>
      <c r="D757" s="36">
        <f>IFERROR(B757/$B$6*100,"")</f>
        <v/>
      </c>
      <c r="E757" s="36">
        <f>IFERROR(C757/$C$6*100,"")</f>
        <v/>
      </c>
    </row>
    <row r="758">
      <c r="A758" s="23">
        <f>IFERROR(INDEX($R$6:$R$806,ROW()-5),"")</f>
        <v/>
      </c>
      <c r="B758">
        <f>IFERROR(INDEX($S$6:$S$806,ROW()-5),"")</f>
        <v/>
      </c>
      <c r="C758">
        <f>IFERROR(INDEX($W$6:$W$806,ROW()-5),"")</f>
        <v/>
      </c>
      <c r="D758" s="36">
        <f>IFERROR(B758/$B$6*100,"")</f>
        <v/>
      </c>
      <c r="E758" s="36">
        <f>IFERROR(C758/$C$6*100,"")</f>
        <v/>
      </c>
    </row>
    <row r="759">
      <c r="A759" s="23">
        <f>IFERROR(INDEX($R$6:$R$806,ROW()-5),"")</f>
        <v/>
      </c>
      <c r="B759">
        <f>IFERROR(INDEX($S$6:$S$806,ROW()-5),"")</f>
        <v/>
      </c>
      <c r="C759">
        <f>IFERROR(INDEX($W$6:$W$806,ROW()-5),"")</f>
        <v/>
      </c>
      <c r="D759" s="36">
        <f>IFERROR(B759/$B$6*100,"")</f>
        <v/>
      </c>
      <c r="E759" s="36">
        <f>IFERROR(C759/$C$6*100,"")</f>
        <v/>
      </c>
    </row>
    <row r="760">
      <c r="A760" s="23">
        <f>IFERROR(INDEX($R$6:$R$806,ROW()-5),"")</f>
        <v/>
      </c>
      <c r="B760">
        <f>IFERROR(INDEX($S$6:$S$806,ROW()-5),"")</f>
        <v/>
      </c>
      <c r="C760">
        <f>IFERROR(INDEX($W$6:$W$806,ROW()-5),"")</f>
        <v/>
      </c>
      <c r="D760" s="36">
        <f>IFERROR(B760/$B$6*100,"")</f>
        <v/>
      </c>
      <c r="E760" s="36">
        <f>IFERROR(C760/$C$6*100,"")</f>
        <v/>
      </c>
    </row>
    <row r="761">
      <c r="A761" s="23">
        <f>IFERROR(INDEX($R$6:$R$806,ROW()-5),"")</f>
        <v/>
      </c>
      <c r="B761">
        <f>IFERROR(INDEX($S$6:$S$806,ROW()-5),"")</f>
        <v/>
      </c>
      <c r="C761">
        <f>IFERROR(INDEX($W$6:$W$806,ROW()-5),"")</f>
        <v/>
      </c>
      <c r="D761" s="36">
        <f>IFERROR(B761/$B$6*100,"")</f>
        <v/>
      </c>
      <c r="E761" s="36">
        <f>IFERROR(C761/$C$6*100,"")</f>
        <v/>
      </c>
    </row>
    <row r="762">
      <c r="A762" s="23">
        <f>IFERROR(INDEX($R$6:$R$806,ROW()-5),"")</f>
        <v/>
      </c>
      <c r="B762">
        <f>IFERROR(INDEX($S$6:$S$806,ROW()-5),"")</f>
        <v/>
      </c>
      <c r="C762">
        <f>IFERROR(INDEX($W$6:$W$806,ROW()-5),"")</f>
        <v/>
      </c>
      <c r="D762" s="36">
        <f>IFERROR(B762/$B$6*100,"")</f>
        <v/>
      </c>
      <c r="E762" s="36">
        <f>IFERROR(C762/$C$6*100,"")</f>
        <v/>
      </c>
    </row>
    <row r="763">
      <c r="A763" s="23">
        <f>IFERROR(INDEX($R$6:$R$806,ROW()-5),"")</f>
        <v/>
      </c>
      <c r="B763">
        <f>IFERROR(INDEX($S$6:$S$806,ROW()-5),"")</f>
        <v/>
      </c>
      <c r="C763">
        <f>IFERROR(INDEX($W$6:$W$806,ROW()-5),"")</f>
        <v/>
      </c>
      <c r="D763" s="36">
        <f>IFERROR(B763/$B$6*100,"")</f>
        <v/>
      </c>
      <c r="E763" s="36">
        <f>IFERROR(C763/$C$6*100,"")</f>
        <v/>
      </c>
    </row>
    <row r="764">
      <c r="A764" s="23">
        <f>IFERROR(INDEX($R$6:$R$806,ROW()-5),"")</f>
        <v/>
      </c>
      <c r="B764">
        <f>IFERROR(INDEX($S$6:$S$806,ROW()-5),"")</f>
        <v/>
      </c>
      <c r="C764">
        <f>IFERROR(INDEX($W$6:$W$806,ROW()-5),"")</f>
        <v/>
      </c>
      <c r="D764" s="36">
        <f>IFERROR(B764/$B$6*100,"")</f>
        <v/>
      </c>
      <c r="E764" s="36">
        <f>IFERROR(C764/$C$6*100,"")</f>
        <v/>
      </c>
    </row>
    <row r="765">
      <c r="A765" s="23">
        <f>IFERROR(INDEX($R$6:$R$806,ROW()-5),"")</f>
        <v/>
      </c>
      <c r="B765">
        <f>IFERROR(INDEX($S$6:$S$806,ROW()-5),"")</f>
        <v/>
      </c>
      <c r="C765">
        <f>IFERROR(INDEX($W$6:$W$806,ROW()-5),"")</f>
        <v/>
      </c>
      <c r="D765" s="36">
        <f>IFERROR(B765/$B$6*100,"")</f>
        <v/>
      </c>
      <c r="E765" s="36">
        <f>IFERROR(C765/$C$6*100,"")</f>
        <v/>
      </c>
    </row>
    <row r="766">
      <c r="A766" s="23">
        <f>IFERROR(INDEX($R$6:$R$806,ROW()-5),"")</f>
        <v/>
      </c>
      <c r="B766">
        <f>IFERROR(INDEX($S$6:$S$806,ROW()-5),"")</f>
        <v/>
      </c>
      <c r="C766">
        <f>IFERROR(INDEX($W$6:$W$806,ROW()-5),"")</f>
        <v/>
      </c>
      <c r="D766" s="36">
        <f>IFERROR(B766/$B$6*100,"")</f>
        <v/>
      </c>
      <c r="E766" s="36">
        <f>IFERROR(C766/$C$6*100,"")</f>
        <v/>
      </c>
    </row>
    <row r="767">
      <c r="A767" s="23">
        <f>IFERROR(INDEX($R$6:$R$806,ROW()-5),"")</f>
        <v/>
      </c>
      <c r="B767">
        <f>IFERROR(INDEX($S$6:$S$806,ROW()-5),"")</f>
        <v/>
      </c>
      <c r="C767">
        <f>IFERROR(INDEX($W$6:$W$806,ROW()-5),"")</f>
        <v/>
      </c>
      <c r="D767" s="36">
        <f>IFERROR(B767/$B$6*100,"")</f>
        <v/>
      </c>
      <c r="E767" s="36">
        <f>IFERROR(C767/$C$6*100,"")</f>
        <v/>
      </c>
    </row>
    <row r="768">
      <c r="A768" s="23">
        <f>IFERROR(INDEX($R$6:$R$806,ROW()-5),"")</f>
        <v/>
      </c>
      <c r="B768">
        <f>IFERROR(INDEX($S$6:$S$806,ROW()-5),"")</f>
        <v/>
      </c>
      <c r="C768">
        <f>IFERROR(INDEX($W$6:$W$806,ROW()-5),"")</f>
        <v/>
      </c>
      <c r="D768" s="36">
        <f>IFERROR(B768/$B$6*100,"")</f>
        <v/>
      </c>
      <c r="E768" s="36">
        <f>IFERROR(C768/$C$6*100,"")</f>
        <v/>
      </c>
    </row>
    <row r="769">
      <c r="A769" s="23">
        <f>IFERROR(INDEX($R$6:$R$806,ROW()-5),"")</f>
        <v/>
      </c>
      <c r="B769">
        <f>IFERROR(INDEX($S$6:$S$806,ROW()-5),"")</f>
        <v/>
      </c>
      <c r="C769">
        <f>IFERROR(INDEX($W$6:$W$806,ROW()-5),"")</f>
        <v/>
      </c>
      <c r="D769" s="36">
        <f>IFERROR(B769/$B$6*100,"")</f>
        <v/>
      </c>
      <c r="E769" s="36">
        <f>IFERROR(C769/$C$6*100,"")</f>
        <v/>
      </c>
    </row>
    <row r="770">
      <c r="A770" s="23">
        <f>IFERROR(INDEX($R$6:$R$806,ROW()-5),"")</f>
        <v/>
      </c>
      <c r="B770">
        <f>IFERROR(INDEX($S$6:$S$806,ROW()-5),"")</f>
        <v/>
      </c>
      <c r="C770">
        <f>IFERROR(INDEX($W$6:$W$806,ROW()-5),"")</f>
        <v/>
      </c>
      <c r="D770" s="36">
        <f>IFERROR(B770/$B$6*100,"")</f>
        <v/>
      </c>
      <c r="E770" s="36">
        <f>IFERROR(C770/$C$6*100,"")</f>
        <v/>
      </c>
    </row>
    <row r="771">
      <c r="A771" s="23">
        <f>IFERROR(INDEX($R$6:$R$806,ROW()-5),"")</f>
        <v/>
      </c>
      <c r="B771">
        <f>IFERROR(INDEX($S$6:$S$806,ROW()-5),"")</f>
        <v/>
      </c>
      <c r="C771">
        <f>IFERROR(INDEX($W$6:$W$806,ROW()-5),"")</f>
        <v/>
      </c>
      <c r="D771" s="36">
        <f>IFERROR(B771/$B$6*100,"")</f>
        <v/>
      </c>
      <c r="E771" s="36">
        <f>IFERROR(C771/$C$6*100,"")</f>
        <v/>
      </c>
    </row>
    <row r="772">
      <c r="A772" s="23">
        <f>IFERROR(INDEX($R$6:$R$806,ROW()-5),"")</f>
        <v/>
      </c>
      <c r="B772">
        <f>IFERROR(INDEX($S$6:$S$806,ROW()-5),"")</f>
        <v/>
      </c>
      <c r="C772">
        <f>IFERROR(INDEX($W$6:$W$806,ROW()-5),"")</f>
        <v/>
      </c>
      <c r="D772" s="36">
        <f>IFERROR(B772/$B$6*100,"")</f>
        <v/>
      </c>
      <c r="E772" s="36">
        <f>IFERROR(C772/$C$6*100,"")</f>
        <v/>
      </c>
    </row>
    <row r="773">
      <c r="A773" s="23">
        <f>IFERROR(INDEX($R$6:$R$806,ROW()-5),"")</f>
        <v/>
      </c>
      <c r="B773">
        <f>IFERROR(INDEX($S$6:$S$806,ROW()-5),"")</f>
        <v/>
      </c>
      <c r="C773">
        <f>IFERROR(INDEX($W$6:$W$806,ROW()-5),"")</f>
        <v/>
      </c>
      <c r="D773" s="36">
        <f>IFERROR(B773/$B$6*100,"")</f>
        <v/>
      </c>
      <c r="E773" s="36">
        <f>IFERROR(C773/$C$6*100,"")</f>
        <v/>
      </c>
    </row>
    <row r="774">
      <c r="A774" s="23">
        <f>IFERROR(INDEX($R$6:$R$806,ROW()-5),"")</f>
        <v/>
      </c>
      <c r="B774">
        <f>IFERROR(INDEX($S$6:$S$806,ROW()-5),"")</f>
        <v/>
      </c>
      <c r="C774">
        <f>IFERROR(INDEX($W$6:$W$806,ROW()-5),"")</f>
        <v/>
      </c>
      <c r="D774" s="36">
        <f>IFERROR(B774/$B$6*100,"")</f>
        <v/>
      </c>
      <c r="E774" s="36">
        <f>IFERROR(C774/$C$6*100,"")</f>
        <v/>
      </c>
    </row>
    <row r="775">
      <c r="A775" s="23">
        <f>IFERROR(INDEX($R$6:$R$806,ROW()-5),"")</f>
        <v/>
      </c>
      <c r="B775">
        <f>IFERROR(INDEX($S$6:$S$806,ROW()-5),"")</f>
        <v/>
      </c>
      <c r="C775">
        <f>IFERROR(INDEX($W$6:$W$806,ROW()-5),"")</f>
        <v/>
      </c>
      <c r="D775" s="36">
        <f>IFERROR(B775/$B$6*100,"")</f>
        <v/>
      </c>
      <c r="E775" s="36">
        <f>IFERROR(C775/$C$6*100,"")</f>
        <v/>
      </c>
    </row>
    <row r="776">
      <c r="A776" s="23">
        <f>IFERROR(INDEX($R$6:$R$806,ROW()-5),"")</f>
        <v/>
      </c>
      <c r="B776">
        <f>IFERROR(INDEX($S$6:$S$806,ROW()-5),"")</f>
        <v/>
      </c>
      <c r="C776">
        <f>IFERROR(INDEX($W$6:$W$806,ROW()-5),"")</f>
        <v/>
      </c>
      <c r="D776" s="36">
        <f>IFERROR(B776/$B$6*100,"")</f>
        <v/>
      </c>
      <c r="E776" s="36">
        <f>IFERROR(C776/$C$6*100,"")</f>
        <v/>
      </c>
    </row>
    <row r="777">
      <c r="A777" s="23">
        <f>IFERROR(INDEX($R$6:$R$806,ROW()-5),"")</f>
        <v/>
      </c>
      <c r="B777">
        <f>IFERROR(INDEX($S$6:$S$806,ROW()-5),"")</f>
        <v/>
      </c>
      <c r="C777">
        <f>IFERROR(INDEX($W$6:$W$806,ROW()-5),"")</f>
        <v/>
      </c>
      <c r="D777" s="36">
        <f>IFERROR(B777/$B$6*100,"")</f>
        <v/>
      </c>
      <c r="E777" s="36">
        <f>IFERROR(C777/$C$6*100,"")</f>
        <v/>
      </c>
    </row>
    <row r="778">
      <c r="A778" s="23">
        <f>IFERROR(INDEX($R$6:$R$806,ROW()-5),"")</f>
        <v/>
      </c>
      <c r="B778">
        <f>IFERROR(INDEX($S$6:$S$806,ROW()-5),"")</f>
        <v/>
      </c>
      <c r="C778">
        <f>IFERROR(INDEX($W$6:$W$806,ROW()-5),"")</f>
        <v/>
      </c>
      <c r="D778" s="36">
        <f>IFERROR(B778/$B$6*100,"")</f>
        <v/>
      </c>
      <c r="E778" s="36">
        <f>IFERROR(C778/$C$6*100,"")</f>
        <v/>
      </c>
    </row>
    <row r="779">
      <c r="A779" s="23">
        <f>IFERROR(INDEX($R$6:$R$806,ROW()-5),"")</f>
        <v/>
      </c>
      <c r="B779">
        <f>IFERROR(INDEX($S$6:$S$806,ROW()-5),"")</f>
        <v/>
      </c>
      <c r="C779">
        <f>IFERROR(INDEX($W$6:$W$806,ROW()-5),"")</f>
        <v/>
      </c>
      <c r="D779" s="36">
        <f>IFERROR(B779/$B$6*100,"")</f>
        <v/>
      </c>
      <c r="E779" s="36">
        <f>IFERROR(C779/$C$6*100,"")</f>
        <v/>
      </c>
    </row>
    <row r="780">
      <c r="A780" s="23">
        <f>IFERROR(INDEX($R$6:$R$806,ROW()-5),"")</f>
        <v/>
      </c>
      <c r="B780">
        <f>IFERROR(INDEX($S$6:$S$806,ROW()-5),"")</f>
        <v/>
      </c>
      <c r="C780">
        <f>IFERROR(INDEX($W$6:$W$806,ROW()-5),"")</f>
        <v/>
      </c>
      <c r="D780" s="36">
        <f>IFERROR(B780/$B$6*100,"")</f>
        <v/>
      </c>
      <c r="E780" s="36">
        <f>IFERROR(C780/$C$6*100,"")</f>
        <v/>
      </c>
    </row>
    <row r="781">
      <c r="A781" s="23">
        <f>IFERROR(INDEX($R$6:$R$806,ROW()-5),"")</f>
        <v/>
      </c>
      <c r="B781">
        <f>IFERROR(INDEX($S$6:$S$806,ROW()-5),"")</f>
        <v/>
      </c>
      <c r="C781">
        <f>IFERROR(INDEX($W$6:$W$806,ROW()-5),"")</f>
        <v/>
      </c>
      <c r="D781" s="36">
        <f>IFERROR(B781/$B$6*100,"")</f>
        <v/>
      </c>
      <c r="E781" s="36">
        <f>IFERROR(C781/$C$6*100,"")</f>
        <v/>
      </c>
    </row>
    <row r="782">
      <c r="A782" s="23">
        <f>IFERROR(INDEX($R$6:$R$806,ROW()-5),"")</f>
        <v/>
      </c>
      <c r="B782">
        <f>IFERROR(INDEX($S$6:$S$806,ROW()-5),"")</f>
        <v/>
      </c>
      <c r="C782">
        <f>IFERROR(INDEX($W$6:$W$806,ROW()-5),"")</f>
        <v/>
      </c>
      <c r="D782" s="36">
        <f>IFERROR(B782/$B$6*100,"")</f>
        <v/>
      </c>
      <c r="E782" s="36">
        <f>IFERROR(C782/$C$6*100,"")</f>
        <v/>
      </c>
    </row>
    <row r="783">
      <c r="A783" s="23">
        <f>IFERROR(INDEX($R$6:$R$806,ROW()-5),"")</f>
        <v/>
      </c>
      <c r="B783">
        <f>IFERROR(INDEX($S$6:$S$806,ROW()-5),"")</f>
        <v/>
      </c>
      <c r="C783">
        <f>IFERROR(INDEX($W$6:$W$806,ROW()-5),"")</f>
        <v/>
      </c>
      <c r="D783" s="36">
        <f>IFERROR(B783/$B$6*100,"")</f>
        <v/>
      </c>
      <c r="E783" s="36">
        <f>IFERROR(C783/$C$6*100,"")</f>
        <v/>
      </c>
    </row>
    <row r="784">
      <c r="A784" s="23">
        <f>IFERROR(INDEX($R$6:$R$806,ROW()-5),"")</f>
        <v/>
      </c>
      <c r="B784">
        <f>IFERROR(INDEX($S$6:$S$806,ROW()-5),"")</f>
        <v/>
      </c>
      <c r="C784">
        <f>IFERROR(INDEX($W$6:$W$806,ROW()-5),"")</f>
        <v/>
      </c>
      <c r="D784" s="36">
        <f>IFERROR(B784/$B$6*100,"")</f>
        <v/>
      </c>
      <c r="E784" s="36">
        <f>IFERROR(C784/$C$6*100,"")</f>
        <v/>
      </c>
    </row>
    <row r="785">
      <c r="A785" s="23">
        <f>IFERROR(INDEX($R$6:$R$806,ROW()-5),"")</f>
        <v/>
      </c>
      <c r="B785">
        <f>IFERROR(INDEX($S$6:$S$806,ROW()-5),"")</f>
        <v/>
      </c>
      <c r="C785">
        <f>IFERROR(INDEX($W$6:$W$806,ROW()-5),"")</f>
        <v/>
      </c>
      <c r="D785" s="36">
        <f>IFERROR(B785/$B$6*100,"")</f>
        <v/>
      </c>
      <c r="E785" s="36">
        <f>IFERROR(C785/$C$6*100,"")</f>
        <v/>
      </c>
    </row>
    <row r="786">
      <c r="A786" s="23">
        <f>IFERROR(INDEX($R$6:$R$806,ROW()-5),"")</f>
        <v/>
      </c>
      <c r="B786">
        <f>IFERROR(INDEX($S$6:$S$806,ROW()-5),"")</f>
        <v/>
      </c>
      <c r="C786">
        <f>IFERROR(INDEX($W$6:$W$806,ROW()-5),"")</f>
        <v/>
      </c>
      <c r="D786" s="36">
        <f>IFERROR(B786/$B$6*100,"")</f>
        <v/>
      </c>
      <c r="E786" s="36">
        <f>IFERROR(C786/$C$6*100,"")</f>
        <v/>
      </c>
    </row>
    <row r="787">
      <c r="A787" s="23">
        <f>IFERROR(INDEX($R$6:$R$806,ROW()-5),"")</f>
        <v/>
      </c>
      <c r="B787">
        <f>IFERROR(INDEX($S$6:$S$806,ROW()-5),"")</f>
        <v/>
      </c>
      <c r="C787">
        <f>IFERROR(INDEX($W$6:$W$806,ROW()-5),"")</f>
        <v/>
      </c>
      <c r="D787" s="36">
        <f>IFERROR(B787/$B$6*100,"")</f>
        <v/>
      </c>
      <c r="E787" s="36">
        <f>IFERROR(C787/$C$6*100,"")</f>
        <v/>
      </c>
    </row>
    <row r="788">
      <c r="A788" s="23">
        <f>IFERROR(INDEX($R$6:$R$806,ROW()-5),"")</f>
        <v/>
      </c>
      <c r="B788">
        <f>IFERROR(INDEX($S$6:$S$806,ROW()-5),"")</f>
        <v/>
      </c>
      <c r="C788">
        <f>IFERROR(INDEX($W$6:$W$806,ROW()-5),"")</f>
        <v/>
      </c>
      <c r="D788" s="36">
        <f>IFERROR(B788/$B$6*100,"")</f>
        <v/>
      </c>
      <c r="E788" s="36">
        <f>IFERROR(C788/$C$6*100,"")</f>
        <v/>
      </c>
    </row>
    <row r="789">
      <c r="A789" s="23">
        <f>IFERROR(INDEX($R$6:$R$806,ROW()-5),"")</f>
        <v/>
      </c>
      <c r="B789">
        <f>IFERROR(INDEX($S$6:$S$806,ROW()-5),"")</f>
        <v/>
      </c>
      <c r="C789">
        <f>IFERROR(INDEX($W$6:$W$806,ROW()-5),"")</f>
        <v/>
      </c>
      <c r="D789" s="36">
        <f>IFERROR(B789/$B$6*100,"")</f>
        <v/>
      </c>
      <c r="E789" s="36">
        <f>IFERROR(C789/$C$6*100,"")</f>
        <v/>
      </c>
    </row>
    <row r="790">
      <c r="A790" s="23">
        <f>IFERROR(INDEX($R$6:$R$806,ROW()-5),"")</f>
        <v/>
      </c>
      <c r="B790">
        <f>IFERROR(INDEX($S$6:$S$806,ROW()-5),"")</f>
        <v/>
      </c>
      <c r="C790">
        <f>IFERROR(INDEX($W$6:$W$806,ROW()-5),"")</f>
        <v/>
      </c>
      <c r="D790" s="36">
        <f>IFERROR(B790/$B$6*100,"")</f>
        <v/>
      </c>
      <c r="E790" s="36">
        <f>IFERROR(C790/$C$6*100,"")</f>
        <v/>
      </c>
    </row>
    <row r="791">
      <c r="A791" s="23">
        <f>IFERROR(INDEX($R$6:$R$806,ROW()-5),"")</f>
        <v/>
      </c>
      <c r="B791">
        <f>IFERROR(INDEX($S$6:$S$806,ROW()-5),"")</f>
        <v/>
      </c>
      <c r="C791">
        <f>IFERROR(INDEX($W$6:$W$806,ROW()-5),"")</f>
        <v/>
      </c>
      <c r="D791" s="36">
        <f>IFERROR(B791/$B$6*100,"")</f>
        <v/>
      </c>
      <c r="E791" s="36">
        <f>IFERROR(C791/$C$6*100,"")</f>
        <v/>
      </c>
    </row>
    <row r="792">
      <c r="A792" s="23">
        <f>IFERROR(INDEX($R$6:$R$806,ROW()-5),"")</f>
        <v/>
      </c>
      <c r="B792">
        <f>IFERROR(INDEX($S$6:$S$806,ROW()-5),"")</f>
        <v/>
      </c>
      <c r="C792">
        <f>IFERROR(INDEX($W$6:$W$806,ROW()-5),"")</f>
        <v/>
      </c>
      <c r="D792" s="36">
        <f>IFERROR(B792/$B$6*100,"")</f>
        <v/>
      </c>
      <c r="E792" s="36">
        <f>IFERROR(C792/$C$6*100,"")</f>
        <v/>
      </c>
    </row>
    <row r="793">
      <c r="A793" s="23">
        <f>IFERROR(INDEX($R$6:$R$806,ROW()-5),"")</f>
        <v/>
      </c>
      <c r="B793">
        <f>IFERROR(INDEX($S$6:$S$806,ROW()-5),"")</f>
        <v/>
      </c>
      <c r="C793">
        <f>IFERROR(INDEX($W$6:$W$806,ROW()-5),"")</f>
        <v/>
      </c>
      <c r="D793" s="36">
        <f>IFERROR(B793/$B$6*100,"")</f>
        <v/>
      </c>
      <c r="E793" s="36">
        <f>IFERROR(C793/$C$6*100,"")</f>
        <v/>
      </c>
    </row>
    <row r="794">
      <c r="A794" s="23">
        <f>IFERROR(INDEX($R$6:$R$806,ROW()-5),"")</f>
        <v/>
      </c>
      <c r="B794">
        <f>IFERROR(INDEX($S$6:$S$806,ROW()-5),"")</f>
        <v/>
      </c>
      <c r="C794">
        <f>IFERROR(INDEX($W$6:$W$806,ROW()-5),"")</f>
        <v/>
      </c>
      <c r="D794" s="36">
        <f>IFERROR(B794/$B$6*100,"")</f>
        <v/>
      </c>
      <c r="E794" s="36">
        <f>IFERROR(C794/$C$6*100,"")</f>
        <v/>
      </c>
    </row>
    <row r="795">
      <c r="A795" s="23">
        <f>IFERROR(INDEX($R$6:$R$806,ROW()-5),"")</f>
        <v/>
      </c>
      <c r="B795">
        <f>IFERROR(INDEX($S$6:$S$806,ROW()-5),"")</f>
        <v/>
      </c>
      <c r="C795">
        <f>IFERROR(INDEX($W$6:$W$806,ROW()-5),"")</f>
        <v/>
      </c>
      <c r="D795" s="36">
        <f>IFERROR(B795/$B$6*100,"")</f>
        <v/>
      </c>
      <c r="E795" s="36">
        <f>IFERROR(C795/$C$6*100,"")</f>
        <v/>
      </c>
    </row>
    <row r="796">
      <c r="A796" s="23">
        <f>IFERROR(INDEX($R$6:$R$806,ROW()-5),"")</f>
        <v/>
      </c>
      <c r="B796">
        <f>IFERROR(INDEX($S$6:$S$806,ROW()-5),"")</f>
        <v/>
      </c>
      <c r="C796">
        <f>IFERROR(INDEX($W$6:$W$806,ROW()-5),"")</f>
        <v/>
      </c>
      <c r="D796" s="36">
        <f>IFERROR(B796/$B$6*100,"")</f>
        <v/>
      </c>
      <c r="E796" s="36">
        <f>IFERROR(C796/$C$6*100,"")</f>
        <v/>
      </c>
    </row>
    <row r="797">
      <c r="A797" s="23">
        <f>IFERROR(INDEX($R$6:$R$806,ROW()-5),"")</f>
        <v/>
      </c>
      <c r="B797">
        <f>IFERROR(INDEX($S$6:$S$806,ROW()-5),"")</f>
        <v/>
      </c>
      <c r="C797">
        <f>IFERROR(INDEX($W$6:$W$806,ROW()-5),"")</f>
        <v/>
      </c>
      <c r="D797" s="36">
        <f>IFERROR(B797/$B$6*100,"")</f>
        <v/>
      </c>
      <c r="E797" s="36">
        <f>IFERROR(C797/$C$6*100,"")</f>
        <v/>
      </c>
    </row>
    <row r="798">
      <c r="A798" s="23">
        <f>IFERROR(INDEX($R$6:$R$806,ROW()-5),"")</f>
        <v/>
      </c>
      <c r="B798">
        <f>IFERROR(INDEX($S$6:$S$806,ROW()-5),"")</f>
        <v/>
      </c>
      <c r="C798">
        <f>IFERROR(INDEX($W$6:$W$806,ROW()-5),"")</f>
        <v/>
      </c>
      <c r="D798" s="36">
        <f>IFERROR(B798/$B$6*100,"")</f>
        <v/>
      </c>
      <c r="E798" s="36">
        <f>IFERROR(C798/$C$6*100,"")</f>
        <v/>
      </c>
    </row>
    <row r="799">
      <c r="A799" s="23">
        <f>IFERROR(INDEX($R$6:$R$806,ROW()-5),"")</f>
        <v/>
      </c>
      <c r="B799">
        <f>IFERROR(INDEX($S$6:$S$806,ROW()-5),"")</f>
        <v/>
      </c>
      <c r="C799">
        <f>IFERROR(INDEX($W$6:$W$806,ROW()-5),"")</f>
        <v/>
      </c>
      <c r="D799" s="36">
        <f>IFERROR(B799/$B$6*100,"")</f>
        <v/>
      </c>
      <c r="E799" s="36">
        <f>IFERROR(C799/$C$6*100,"")</f>
        <v/>
      </c>
    </row>
    <row r="800">
      <c r="A800" s="23">
        <f>IFERROR(INDEX($R$6:$R$806,ROW()-5),"")</f>
        <v/>
      </c>
      <c r="B800">
        <f>IFERROR(INDEX($S$6:$S$806,ROW()-5),"")</f>
        <v/>
      </c>
      <c r="C800">
        <f>IFERROR(INDEX($W$6:$W$806,ROW()-5),"")</f>
        <v/>
      </c>
      <c r="D800" s="36">
        <f>IFERROR(B800/$B$6*100,"")</f>
        <v/>
      </c>
      <c r="E800" s="36">
        <f>IFERROR(C800/$C$6*100,"")</f>
        <v/>
      </c>
    </row>
    <row r="801">
      <c r="A801" s="23">
        <f>IFERROR(INDEX($R$6:$R$806,ROW()-5),"")</f>
        <v/>
      </c>
      <c r="B801">
        <f>IFERROR(INDEX($S$6:$S$806,ROW()-5),"")</f>
        <v/>
      </c>
      <c r="C801">
        <f>IFERROR(INDEX($W$6:$W$806,ROW()-5),"")</f>
        <v/>
      </c>
      <c r="D801" s="36">
        <f>IFERROR(B801/$B$6*100,"")</f>
        <v/>
      </c>
      <c r="E801" s="36">
        <f>IFERROR(C801/$C$6*100,"")</f>
        <v/>
      </c>
    </row>
    <row r="802">
      <c r="A802" s="23">
        <f>IFERROR(INDEX($R$6:$R$806,ROW()-5),"")</f>
        <v/>
      </c>
      <c r="B802">
        <f>IFERROR(INDEX($S$6:$S$806,ROW()-5),"")</f>
        <v/>
      </c>
      <c r="C802">
        <f>IFERROR(INDEX($W$6:$W$806,ROW()-5),"")</f>
        <v/>
      </c>
      <c r="D802" s="36">
        <f>IFERROR(B802/$B$6*100,"")</f>
        <v/>
      </c>
      <c r="E802" s="36">
        <f>IFERROR(C802/$C$6*100,"")</f>
        <v/>
      </c>
    </row>
    <row r="803">
      <c r="A803" s="23">
        <f>IFERROR(INDEX($R$6:$R$806,ROW()-5),"")</f>
        <v/>
      </c>
      <c r="B803">
        <f>IFERROR(INDEX($S$6:$S$806,ROW()-5),"")</f>
        <v/>
      </c>
      <c r="C803">
        <f>IFERROR(INDEX($W$6:$W$806,ROW()-5),"")</f>
        <v/>
      </c>
      <c r="D803" s="36">
        <f>IFERROR(B803/$B$6*100,"")</f>
        <v/>
      </c>
      <c r="E803" s="36">
        <f>IFERROR(C803/$C$6*100,"")</f>
        <v/>
      </c>
    </row>
    <row r="804">
      <c r="A804" s="23">
        <f>IFERROR(INDEX($R$6:$R$806,ROW()-5),"")</f>
        <v/>
      </c>
      <c r="B804">
        <f>IFERROR(INDEX($S$6:$S$806,ROW()-5),"")</f>
        <v/>
      </c>
      <c r="C804">
        <f>IFERROR(INDEX($W$6:$W$806,ROW()-5),"")</f>
        <v/>
      </c>
      <c r="D804" s="36">
        <f>IFERROR(B804/$B$6*100,"")</f>
        <v/>
      </c>
      <c r="E804" s="36">
        <f>IFERROR(C804/$C$6*100,"")</f>
        <v/>
      </c>
    </row>
    <row r="805">
      <c r="A805" s="23">
        <f>IFERROR(INDEX($R$6:$R$806,ROW()-5),"")</f>
        <v/>
      </c>
      <c r="B805">
        <f>IFERROR(INDEX($S$6:$S$806,ROW()-5),"")</f>
        <v/>
      </c>
      <c r="C805">
        <f>IFERROR(INDEX($W$6:$W$806,ROW()-5),"")</f>
        <v/>
      </c>
      <c r="D805" s="36">
        <f>IFERROR(B805/$B$6*100,"")</f>
        <v/>
      </c>
      <c r="E805" s="36">
        <f>IFERROR(C805/$C$6*100,"")</f>
        <v/>
      </c>
    </row>
  </sheetData>
  <pageMargins left="0.75" right="0.75" top="1" bottom="1" header="0.5" footer="0.5"/>
  <drawing xmlns:r="http://schemas.openxmlformats.org/officeDocument/2006/relationships" r:id="rId1"/>
</worksheet>
</file>

<file path=xl/worksheets/sheet10.xml><?xml version="1.0" encoding="utf-8"?>
<worksheet xmlns="http://schemas.openxmlformats.org/spreadsheetml/2006/main">
  <sheetPr>
    <outlinePr summaryBelow="1" summaryRight="1"/>
    <pageSetUpPr/>
  </sheetPr>
  <dimension ref="A1:V852"/>
  <sheetViews>
    <sheetView showGridLines="0" workbookViewId="0">
      <pane ySplit="4" topLeftCell="A5" activePane="bottomLeft" state="frozen"/>
      <selection pane="bottomLeft" activeCell="A1" sqref="A1"/>
    </sheetView>
  </sheetViews>
  <sheetFormatPr baseColWidth="8" defaultRowHeight="15"/>
  <cols>
    <col width="3" customWidth="1" min="1" max="1"/>
    <col width="30" customWidth="1" min="2" max="2"/>
    <col width="12" customWidth="1" min="3" max="3"/>
    <col width="12" customWidth="1" min="4" max="4"/>
    <col width="12" customWidth="1" min="5" max="5"/>
  </cols>
  <sheetData>
    <row r="1">
      <c r="A1" s="1" t="inlineStr">
        <is>
          <t>Q2 (a) — Macro framing: three shocks, one discount rate</t>
        </is>
      </c>
    </row>
    <row r="2">
      <c r="A2" s="2" t="inlineStr">
        <is>
          <t>Do not present these as a list of risks. They are three independent impulses that converge on one variable — the price Asia pays for capital.</t>
        </is>
      </c>
    </row>
    <row r="3" ht="4" customHeight="1">
      <c r="A3" s="3" t="n"/>
      <c r="B3" s="3" t="n"/>
      <c r="C3" s="3" t="n"/>
      <c r="D3" s="3" t="n"/>
      <c r="E3" s="3" t="n"/>
      <c r="F3" s="3" t="n"/>
      <c r="G3" s="3" t="n"/>
      <c r="H3" s="3" t="n"/>
      <c r="I3" s="3" t="n"/>
      <c r="J3" s="3" t="n"/>
      <c r="K3" s="3" t="n"/>
      <c r="L3" s="3" t="n"/>
      <c r="M3" s="3" t="n"/>
      <c r="N3" s="3" t="n"/>
    </row>
    <row r="5">
      <c r="B5" s="9" t="inlineStr">
        <is>
          <t>The answer, in one line</t>
        </is>
      </c>
    </row>
    <row r="6">
      <c r="B6" s="12" t="inlineStr">
        <is>
          <t>Higher-for-longer US rates set Asia's discount rate; an energy shock hits Asia's terms of trade directly; a tariff wall that became statutory on 24 July is a permanent margin tax; and the AI capital cycle has repriced North Asian terminal value. All four raise the cost of capital at once, which is why the answer is dispersion rather than beta.</t>
        </is>
      </c>
    </row>
    <row r="9">
      <c r="B9" s="9" t="inlineStr">
        <is>
          <t>Channel 1 — the discount rate (Fed → Asia)</t>
        </is>
      </c>
    </row>
    <row r="10">
      <c r="B10" s="12" t="inlineStr">
        <is>
          <t>Asia's equity discount rate is set at the long end of the US curve, not by the PBoC or the BoJ. The 10y has gone 3.97% → 4.71% since the Iran war began.</t>
        </is>
      </c>
    </row>
    <row r="29">
      <c r="B29" s="9" t="inlineStr">
        <is>
          <t>Channel 2 — terms of trade (energy → Asia)</t>
        </is>
      </c>
    </row>
    <row r="30">
      <c r="B30" s="12" t="inlineStr">
        <is>
          <t>The most under-priced channel. Asia is the world's largest net energy-importing region, so an oil shock is a direct wealth transfer out of Asia. The intramonth range matters more than the level — it is the variance, not the mean, that reprices Asian assets.</t>
        </is>
      </c>
    </row>
    <row r="49">
      <c r="B49" s="9" t="inlineStr">
        <is>
          <t>Channel 2b — the wedge between headline and core</t>
        </is>
      </c>
    </row>
    <row r="50">
      <c r="B50" s="12" t="inlineStr">
        <is>
          <t>The entire US inflation problem is energy: headline 3.5% against core 2.6% in June. The same wedge is opening across Asia. The point for the panel: the Fed cannot fix a supply shock with rates — it can only break demand trying.</t>
        </is>
      </c>
      <c r="F50" s="9" t="inlineStr">
        <is>
          <t>Date alignment check</t>
        </is>
      </c>
      <c r="H50" s="9">
        <f>IFERROR(SUMPRODUCT(--($R$53:$R$853&lt;&gt;"")*($V$53:$V$853&lt;&gt;"")*($R$53:$R$853&lt;&gt;$V$53:$V$853)),"")</f>
        <v/>
      </c>
      <c r="I50" s="2">
        <f>IF(H50="","",IF(H50=0,"OK — blocks are row-aligned","MISALIGNED: "&amp;H50&amp;" rows differ. Do not use these numbers; switch the value columns to INDEX/MATCH on the date."))</f>
        <v/>
      </c>
      <c r="R50" s="12" t="inlineStr">
        <is>
          <t>Staging — one BQL call per security. Each spills DATE and value; the working columns on the left look them up by date. Blocks: R = US headline CPI y/y · V = US core CPI y/y.  If a block comes back with an extra ID column, shift that block's value column by one — nothing else needs to change.</t>
        </is>
      </c>
    </row>
    <row r="52" ht="18" customHeight="1">
      <c r="B52" s="4" t="inlineStr">
        <is>
          <t>Date</t>
        </is>
      </c>
      <c r="C52" s="4" t="inlineStr">
        <is>
          <t>Headline</t>
        </is>
      </c>
      <c r="D52" s="4" t="inlineStr">
        <is>
          <t>Core</t>
        </is>
      </c>
      <c r="E52" s="4" t="inlineStr">
        <is>
          <t>Wedge, pp</t>
        </is>
      </c>
      <c r="R52" s="10">
        <f>BQL("CPI YOY Index","px_last(dates=range("&amp;TEXT(StartLong,"yyyy-mm-dd")&amp;","&amp;TEXT(AsOf,"yyyy-mm-dd")&amp;"), fill=prev)")</f>
        <v/>
      </c>
      <c r="V52" s="10">
        <f>BQL("CPI XYOY Index","px_last(dates=range("&amp;TEXT(StartLong,"yyyy-mm-dd")&amp;","&amp;TEXT(AsOf,"yyyy-mm-dd")&amp;"), fill=prev)")</f>
        <v/>
      </c>
    </row>
    <row r="53">
      <c r="B53" s="23">
        <f>IFERROR(INDEX($R$53:$R$853,ROW()-52),"")</f>
        <v/>
      </c>
      <c r="C53">
        <f>IFERROR(INDEX($S$53:$S$853,ROW()-52),"")</f>
        <v/>
      </c>
      <c r="D53">
        <f>IFERROR(INDEX($W$53:$W$853,ROW()-52),"")</f>
        <v/>
      </c>
      <c r="E53">
        <f>IFERROR(C53-D53,"")</f>
        <v/>
      </c>
    </row>
    <row r="54">
      <c r="B54" s="23">
        <f>IFERROR(INDEX($R$53:$R$853,ROW()-52),"")</f>
        <v/>
      </c>
      <c r="C54">
        <f>IFERROR(INDEX($S$53:$S$853,ROW()-52),"")</f>
        <v/>
      </c>
      <c r="D54">
        <f>IFERROR(INDEX($W$53:$W$853,ROW()-52),"")</f>
        <v/>
      </c>
      <c r="E54">
        <f>IFERROR(C54-D54,"")</f>
        <v/>
      </c>
    </row>
    <row r="55">
      <c r="B55" s="23">
        <f>IFERROR(INDEX($R$53:$R$853,ROW()-52),"")</f>
        <v/>
      </c>
      <c r="C55">
        <f>IFERROR(INDEX($S$53:$S$853,ROW()-52),"")</f>
        <v/>
      </c>
      <c r="D55">
        <f>IFERROR(INDEX($W$53:$W$853,ROW()-52),"")</f>
        <v/>
      </c>
      <c r="E55">
        <f>IFERROR(C55-D55,"")</f>
        <v/>
      </c>
    </row>
    <row r="56">
      <c r="B56" s="23">
        <f>IFERROR(INDEX($R$53:$R$853,ROW()-52),"")</f>
        <v/>
      </c>
      <c r="C56">
        <f>IFERROR(INDEX($S$53:$S$853,ROW()-52),"")</f>
        <v/>
      </c>
      <c r="D56">
        <f>IFERROR(INDEX($W$53:$W$853,ROW()-52),"")</f>
        <v/>
      </c>
      <c r="E56">
        <f>IFERROR(C56-D56,"")</f>
        <v/>
      </c>
    </row>
    <row r="57">
      <c r="B57" s="23">
        <f>IFERROR(INDEX($R$53:$R$853,ROW()-52),"")</f>
        <v/>
      </c>
      <c r="C57">
        <f>IFERROR(INDEX($S$53:$S$853,ROW()-52),"")</f>
        <v/>
      </c>
      <c r="D57">
        <f>IFERROR(INDEX($W$53:$W$853,ROW()-52),"")</f>
        <v/>
      </c>
      <c r="E57">
        <f>IFERROR(C57-D57,"")</f>
        <v/>
      </c>
    </row>
    <row r="58">
      <c r="B58" s="23">
        <f>IFERROR(INDEX($R$53:$R$853,ROW()-52),"")</f>
        <v/>
      </c>
      <c r="C58">
        <f>IFERROR(INDEX($S$53:$S$853,ROW()-52),"")</f>
        <v/>
      </c>
      <c r="D58">
        <f>IFERROR(INDEX($W$53:$W$853,ROW()-52),"")</f>
        <v/>
      </c>
      <c r="E58">
        <f>IFERROR(C58-D58,"")</f>
        <v/>
      </c>
    </row>
    <row r="59">
      <c r="B59" s="23">
        <f>IFERROR(INDEX($R$53:$R$853,ROW()-52),"")</f>
        <v/>
      </c>
      <c r="C59">
        <f>IFERROR(INDEX($S$53:$S$853,ROW()-52),"")</f>
        <v/>
      </c>
      <c r="D59">
        <f>IFERROR(INDEX($W$53:$W$853,ROW()-52),"")</f>
        <v/>
      </c>
      <c r="E59">
        <f>IFERROR(C59-D59,"")</f>
        <v/>
      </c>
    </row>
    <row r="60">
      <c r="B60" s="23">
        <f>IFERROR(INDEX($R$53:$R$853,ROW()-52),"")</f>
        <v/>
      </c>
      <c r="C60">
        <f>IFERROR(INDEX($S$53:$S$853,ROW()-52),"")</f>
        <v/>
      </c>
      <c r="D60">
        <f>IFERROR(INDEX($W$53:$W$853,ROW()-52),"")</f>
        <v/>
      </c>
      <c r="E60">
        <f>IFERROR(C60-D60,"")</f>
        <v/>
      </c>
    </row>
    <row r="61">
      <c r="B61" s="23">
        <f>IFERROR(INDEX($R$53:$R$853,ROW()-52),"")</f>
        <v/>
      </c>
      <c r="C61">
        <f>IFERROR(INDEX($S$53:$S$853,ROW()-52),"")</f>
        <v/>
      </c>
      <c r="D61">
        <f>IFERROR(INDEX($W$53:$W$853,ROW()-52),"")</f>
        <v/>
      </c>
      <c r="E61">
        <f>IFERROR(C61-D61,"")</f>
        <v/>
      </c>
    </row>
    <row r="62">
      <c r="B62" s="23">
        <f>IFERROR(INDEX($R$53:$R$853,ROW()-52),"")</f>
        <v/>
      </c>
      <c r="C62">
        <f>IFERROR(INDEX($S$53:$S$853,ROW()-52),"")</f>
        <v/>
      </c>
      <c r="D62">
        <f>IFERROR(INDEX($W$53:$W$853,ROW()-52),"")</f>
        <v/>
      </c>
      <c r="E62">
        <f>IFERROR(C62-D62,"")</f>
        <v/>
      </c>
    </row>
    <row r="63">
      <c r="B63" s="23">
        <f>IFERROR(INDEX($R$53:$R$853,ROW()-52),"")</f>
        <v/>
      </c>
      <c r="C63">
        <f>IFERROR(INDEX($S$53:$S$853,ROW()-52),"")</f>
        <v/>
      </c>
      <c r="D63">
        <f>IFERROR(INDEX($W$53:$W$853,ROW()-52),"")</f>
        <v/>
      </c>
      <c r="E63">
        <f>IFERROR(C63-D63,"")</f>
        <v/>
      </c>
    </row>
    <row r="64">
      <c r="B64" s="23">
        <f>IFERROR(INDEX($R$53:$R$853,ROW()-52),"")</f>
        <v/>
      </c>
      <c r="C64">
        <f>IFERROR(INDEX($S$53:$S$853,ROW()-52),"")</f>
        <v/>
      </c>
      <c r="D64">
        <f>IFERROR(INDEX($W$53:$W$853,ROW()-52),"")</f>
        <v/>
      </c>
      <c r="E64">
        <f>IFERROR(C64-D64,"")</f>
        <v/>
      </c>
    </row>
    <row r="65">
      <c r="B65" s="23">
        <f>IFERROR(INDEX($R$53:$R$853,ROW()-52),"")</f>
        <v/>
      </c>
      <c r="C65">
        <f>IFERROR(INDEX($S$53:$S$853,ROW()-52),"")</f>
        <v/>
      </c>
      <c r="D65">
        <f>IFERROR(INDEX($W$53:$W$853,ROW()-52),"")</f>
        <v/>
      </c>
      <c r="E65">
        <f>IFERROR(C65-D65,"")</f>
        <v/>
      </c>
    </row>
    <row r="66">
      <c r="B66" s="23">
        <f>IFERROR(INDEX($R$53:$R$853,ROW()-52),"")</f>
        <v/>
      </c>
      <c r="C66">
        <f>IFERROR(INDEX($S$53:$S$853,ROW()-52),"")</f>
        <v/>
      </c>
      <c r="D66">
        <f>IFERROR(INDEX($W$53:$W$853,ROW()-52),"")</f>
        <v/>
      </c>
      <c r="E66">
        <f>IFERROR(C66-D66,"")</f>
        <v/>
      </c>
    </row>
    <row r="67">
      <c r="B67" s="23">
        <f>IFERROR(INDEX($R$53:$R$853,ROW()-52),"")</f>
        <v/>
      </c>
      <c r="C67">
        <f>IFERROR(INDEX($S$53:$S$853,ROW()-52),"")</f>
        <v/>
      </c>
      <c r="D67">
        <f>IFERROR(INDEX($W$53:$W$853,ROW()-52),"")</f>
        <v/>
      </c>
      <c r="E67">
        <f>IFERROR(C67-D67,"")</f>
        <v/>
      </c>
    </row>
    <row r="68">
      <c r="B68" s="23">
        <f>IFERROR(INDEX($R$53:$R$853,ROW()-52),"")</f>
        <v/>
      </c>
      <c r="C68">
        <f>IFERROR(INDEX($S$53:$S$853,ROW()-52),"")</f>
        <v/>
      </c>
      <c r="D68">
        <f>IFERROR(INDEX($W$53:$W$853,ROW()-52),"")</f>
        <v/>
      </c>
      <c r="E68">
        <f>IFERROR(C68-D68,"")</f>
        <v/>
      </c>
    </row>
    <row r="69">
      <c r="B69" s="37" t="inlineStr">
        <is>
          <t>Channel 4 — the capital cycle and the vol regime</t>
        </is>
      </c>
      <c r="C69">
        <f>IFERROR(INDEX($S$53:$S$853,ROW()-52),"")</f>
        <v/>
      </c>
      <c r="D69">
        <f>IFERROR(INDEX($W$53:$W$853,ROW()-52),"")</f>
        <v/>
      </c>
      <c r="E69">
        <f>IFERROR(C69-D69,"")</f>
        <v/>
      </c>
    </row>
    <row r="70">
      <c r="B70" s="38" t="inlineStr">
        <is>
          <t>China's domestic DUV lithography was a terminal-value event, not a 2026 earnings event: it changes the multiple an investor will pay for North Asian memory and foundry in perpetuity. The market now trades two incompatible narratives and resolves between them daily. Size positions off realised vol, not off VIX at 16.</t>
        </is>
      </c>
      <c r="C70">
        <f>IFERROR(INDEX($S$53:$S$853,ROW()-52),"")</f>
        <v/>
      </c>
      <c r="D70">
        <f>IFERROR(INDEX($W$53:$W$853,ROW()-52),"")</f>
        <v/>
      </c>
      <c r="E70">
        <f>IFERROR(C70-D70,"")</f>
        <v/>
      </c>
    </row>
    <row r="71">
      <c r="B71" s="23">
        <f>IFERROR(INDEX($R$53:$R$853,ROW()-52),"")</f>
        <v/>
      </c>
      <c r="C71">
        <f>IFERROR(INDEX($S$53:$S$853,ROW()-52),"")</f>
        <v/>
      </c>
      <c r="D71">
        <f>IFERROR(INDEX($W$53:$W$853,ROW()-52),"")</f>
        <v/>
      </c>
      <c r="E71">
        <f>IFERROR(C71-D71,"")</f>
        <v/>
      </c>
    </row>
    <row r="72">
      <c r="B72" s="23">
        <f>IFERROR(INDEX($R$53:$R$853,ROW()-52),"")</f>
        <v/>
      </c>
      <c r="C72">
        <f>IFERROR(INDEX($S$53:$S$853,ROW()-52),"")</f>
        <v/>
      </c>
      <c r="D72">
        <f>IFERROR(INDEX($W$53:$W$853,ROW()-52),"")</f>
        <v/>
      </c>
      <c r="E72">
        <f>IFERROR(C72-D72,"")</f>
        <v/>
      </c>
    </row>
    <row r="73">
      <c r="B73" s="23">
        <f>IFERROR(INDEX($R$53:$R$853,ROW()-52),"")</f>
        <v/>
      </c>
      <c r="C73">
        <f>IFERROR(INDEX($S$53:$S$853,ROW()-52),"")</f>
        <v/>
      </c>
      <c r="D73">
        <f>IFERROR(INDEX($W$53:$W$853,ROW()-52),"")</f>
        <v/>
      </c>
      <c r="E73">
        <f>IFERROR(C73-D73,"")</f>
        <v/>
      </c>
    </row>
    <row r="74">
      <c r="B74" s="23">
        <f>IFERROR(INDEX($R$53:$R$853,ROW()-52),"")</f>
        <v/>
      </c>
      <c r="C74">
        <f>IFERROR(INDEX($S$53:$S$853,ROW()-52),"")</f>
        <v/>
      </c>
      <c r="D74">
        <f>IFERROR(INDEX($W$53:$W$853,ROW()-52),"")</f>
        <v/>
      </c>
      <c r="E74">
        <f>IFERROR(C74-D74,"")</f>
        <v/>
      </c>
    </row>
    <row r="75">
      <c r="B75" s="23">
        <f>IFERROR(INDEX($R$53:$R$853,ROW()-52),"")</f>
        <v/>
      </c>
      <c r="C75">
        <f>IFERROR(INDEX($S$53:$S$853,ROW()-52),"")</f>
        <v/>
      </c>
      <c r="D75">
        <f>IFERROR(INDEX($W$53:$W$853,ROW()-52),"")</f>
        <v/>
      </c>
      <c r="E75">
        <f>IFERROR(C75-D75,"")</f>
        <v/>
      </c>
    </row>
    <row r="76">
      <c r="B76" s="23">
        <f>IFERROR(INDEX($R$53:$R$853,ROW()-52),"")</f>
        <v/>
      </c>
      <c r="C76">
        <f>IFERROR(INDEX($S$53:$S$853,ROW()-52),"")</f>
        <v/>
      </c>
      <c r="D76">
        <f>IFERROR(INDEX($W$53:$W$853,ROW()-52),"")</f>
        <v/>
      </c>
      <c r="E76">
        <f>IFERROR(C76-D76,"")</f>
        <v/>
      </c>
    </row>
    <row r="77">
      <c r="B77" s="23">
        <f>IFERROR(INDEX($R$53:$R$853,ROW()-52),"")</f>
        <v/>
      </c>
      <c r="C77">
        <f>IFERROR(INDEX($S$53:$S$853,ROW()-52),"")</f>
        <v/>
      </c>
      <c r="D77">
        <f>IFERROR(INDEX($W$53:$W$853,ROW()-52),"")</f>
        <v/>
      </c>
      <c r="E77">
        <f>IFERROR(C77-D77,"")</f>
        <v/>
      </c>
    </row>
    <row r="78">
      <c r="B78" s="23">
        <f>IFERROR(INDEX($R$53:$R$853,ROW()-52),"")</f>
        <v/>
      </c>
      <c r="C78">
        <f>IFERROR(INDEX($S$53:$S$853,ROW()-52),"")</f>
        <v/>
      </c>
      <c r="D78">
        <f>IFERROR(INDEX($W$53:$W$853,ROW()-52),"")</f>
        <v/>
      </c>
      <c r="E78">
        <f>IFERROR(C78-D78,"")</f>
        <v/>
      </c>
    </row>
    <row r="79">
      <c r="B79" s="23">
        <f>IFERROR(INDEX($R$53:$R$853,ROW()-52),"")</f>
        <v/>
      </c>
      <c r="C79">
        <f>IFERROR(INDEX($S$53:$S$853,ROW()-52),"")</f>
        <v/>
      </c>
      <c r="D79">
        <f>IFERROR(INDEX($W$53:$W$853,ROW()-52),"")</f>
        <v/>
      </c>
      <c r="E79">
        <f>IFERROR(C79-D79,"")</f>
        <v/>
      </c>
    </row>
    <row r="80">
      <c r="B80" s="23">
        <f>IFERROR(INDEX($R$53:$R$853,ROW()-52),"")</f>
        <v/>
      </c>
      <c r="C80">
        <f>IFERROR(INDEX($S$53:$S$853,ROW()-52),"")</f>
        <v/>
      </c>
      <c r="D80">
        <f>IFERROR(INDEX($W$53:$W$853,ROW()-52),"")</f>
        <v/>
      </c>
      <c r="E80">
        <f>IFERROR(C80-D80,"")</f>
        <v/>
      </c>
    </row>
    <row r="81">
      <c r="B81" s="23">
        <f>IFERROR(INDEX($R$53:$R$853,ROW()-52),"")</f>
        <v/>
      </c>
      <c r="C81">
        <f>IFERROR(INDEX($S$53:$S$853,ROW()-52),"")</f>
        <v/>
      </c>
      <c r="D81">
        <f>IFERROR(INDEX($W$53:$W$853,ROW()-52),"")</f>
        <v/>
      </c>
      <c r="E81">
        <f>IFERROR(C81-D81,"")</f>
        <v/>
      </c>
    </row>
    <row r="82">
      <c r="B82" s="23">
        <f>IFERROR(INDEX($R$53:$R$853,ROW()-52),"")</f>
        <v/>
      </c>
      <c r="C82">
        <f>IFERROR(INDEX($S$53:$S$853,ROW()-52),"")</f>
        <v/>
      </c>
      <c r="D82">
        <f>IFERROR(INDEX($W$53:$W$853,ROW()-52),"")</f>
        <v/>
      </c>
      <c r="E82">
        <f>IFERROR(C82-D82,"")</f>
        <v/>
      </c>
    </row>
    <row r="83">
      <c r="B83" s="23">
        <f>IFERROR(INDEX($R$53:$R$853,ROW()-52),"")</f>
        <v/>
      </c>
      <c r="C83">
        <f>IFERROR(INDEX($S$53:$S$853,ROW()-52),"")</f>
        <v/>
      </c>
      <c r="D83">
        <f>IFERROR(INDEX($W$53:$W$853,ROW()-52),"")</f>
        <v/>
      </c>
      <c r="E83">
        <f>IFERROR(C83-D83,"")</f>
        <v/>
      </c>
    </row>
    <row r="84">
      <c r="B84" s="23">
        <f>IFERROR(INDEX($R$53:$R$853,ROW()-52),"")</f>
        <v/>
      </c>
      <c r="C84">
        <f>IFERROR(INDEX($S$53:$S$853,ROW()-52),"")</f>
        <v/>
      </c>
      <c r="D84">
        <f>IFERROR(INDEX($W$53:$W$853,ROW()-52),"")</f>
        <v/>
      </c>
      <c r="E84">
        <f>IFERROR(C84-D84,"")</f>
        <v/>
      </c>
    </row>
    <row r="85">
      <c r="B85" s="23">
        <f>IFERROR(INDEX($R$53:$R$853,ROW()-52),"")</f>
        <v/>
      </c>
      <c r="C85">
        <f>IFERROR(INDEX($S$53:$S$853,ROW()-52),"")</f>
        <v/>
      </c>
      <c r="D85">
        <f>IFERROR(INDEX($W$53:$W$853,ROW()-52),"")</f>
        <v/>
      </c>
      <c r="E85">
        <f>IFERROR(C85-D85,"")</f>
        <v/>
      </c>
    </row>
    <row r="86">
      <c r="B86" s="23">
        <f>IFERROR(INDEX($R$53:$R$853,ROW()-52),"")</f>
        <v/>
      </c>
      <c r="C86">
        <f>IFERROR(INDEX($S$53:$S$853,ROW()-52),"")</f>
        <v/>
      </c>
      <c r="D86">
        <f>IFERROR(INDEX($W$53:$W$853,ROW()-52),"")</f>
        <v/>
      </c>
      <c r="E86">
        <f>IFERROR(C86-D86,"")</f>
        <v/>
      </c>
    </row>
    <row r="87">
      <c r="B87" s="23">
        <f>IFERROR(INDEX($R$53:$R$853,ROW()-52),"")</f>
        <v/>
      </c>
      <c r="C87">
        <f>IFERROR(INDEX($S$53:$S$853,ROW()-52),"")</f>
        <v/>
      </c>
      <c r="D87">
        <f>IFERROR(INDEX($W$53:$W$853,ROW()-52),"")</f>
        <v/>
      </c>
      <c r="E87">
        <f>IFERROR(C87-D87,"")</f>
        <v/>
      </c>
    </row>
    <row r="88">
      <c r="B88" s="23">
        <f>IFERROR(INDEX($R$53:$R$853,ROW()-52),"")</f>
        <v/>
      </c>
      <c r="C88">
        <f>IFERROR(INDEX($S$53:$S$853,ROW()-52),"")</f>
        <v/>
      </c>
      <c r="D88">
        <f>IFERROR(INDEX($W$53:$W$853,ROW()-52),"")</f>
        <v/>
      </c>
      <c r="E88">
        <f>IFERROR(C88-D88,"")</f>
        <v/>
      </c>
    </row>
    <row r="89">
      <c r="B89" s="38" t="inlineStr">
        <is>
          <t>Channel 3, trade policy, has no time series worth charting — the point is that it is now a level shift rather than a volatile headline. Present the tariff tiers as a table and capitalise the EPS haircut into the multiple.</t>
        </is>
      </c>
      <c r="C89">
        <f>IFERROR(INDEX($S$53:$S$853,ROW()-52),"")</f>
        <v/>
      </c>
      <c r="D89">
        <f>IFERROR(INDEX($W$53:$W$853,ROW()-52),"")</f>
        <v/>
      </c>
      <c r="E89">
        <f>IFERROR(C89-D89,"")</f>
        <v/>
      </c>
    </row>
    <row r="90">
      <c r="B90" s="23">
        <f>IFERROR(INDEX($R$53:$R$853,ROW()-52),"")</f>
        <v/>
      </c>
      <c r="C90">
        <f>IFERROR(INDEX($S$53:$S$853,ROW()-52),"")</f>
        <v/>
      </c>
      <c r="D90">
        <f>IFERROR(INDEX($W$53:$W$853,ROW()-52),"")</f>
        <v/>
      </c>
      <c r="E90">
        <f>IFERROR(C90-D90,"")</f>
        <v/>
      </c>
    </row>
    <row r="91">
      <c r="B91" s="23">
        <f>IFERROR(INDEX($R$53:$R$853,ROW()-52),"")</f>
        <v/>
      </c>
      <c r="C91">
        <f>IFERROR(INDEX($S$53:$S$853,ROW()-52),"")</f>
        <v/>
      </c>
      <c r="D91">
        <f>IFERROR(INDEX($W$53:$W$853,ROW()-52),"")</f>
        <v/>
      </c>
      <c r="E91">
        <f>IFERROR(C91-D91,"")</f>
        <v/>
      </c>
    </row>
    <row r="92">
      <c r="B92" s="23">
        <f>IFERROR(INDEX($R$53:$R$853,ROW()-52),"")</f>
        <v/>
      </c>
      <c r="C92">
        <f>IFERROR(INDEX($S$53:$S$853,ROW()-52),"")</f>
        <v/>
      </c>
      <c r="D92">
        <f>IFERROR(INDEX($W$53:$W$853,ROW()-52),"")</f>
        <v/>
      </c>
      <c r="E92">
        <f>IFERROR(C92-D92,"")</f>
        <v/>
      </c>
    </row>
    <row r="93">
      <c r="B93" s="23">
        <f>IFERROR(INDEX($R$53:$R$853,ROW()-52),"")</f>
        <v/>
      </c>
      <c r="C93">
        <f>IFERROR(INDEX($S$53:$S$853,ROW()-52),"")</f>
        <v/>
      </c>
      <c r="D93">
        <f>IFERROR(INDEX($W$53:$W$853,ROW()-52),"")</f>
        <v/>
      </c>
      <c r="E93">
        <f>IFERROR(C93-D93,"")</f>
        <v/>
      </c>
    </row>
    <row r="94">
      <c r="B94" s="23">
        <f>IFERROR(INDEX($R$53:$R$853,ROW()-52),"")</f>
        <v/>
      </c>
      <c r="C94">
        <f>IFERROR(INDEX($S$53:$S$853,ROW()-52),"")</f>
        <v/>
      </c>
      <c r="D94">
        <f>IFERROR(INDEX($W$53:$W$853,ROW()-52),"")</f>
        <v/>
      </c>
      <c r="E94">
        <f>IFERROR(C94-D94,"")</f>
        <v/>
      </c>
    </row>
    <row r="95">
      <c r="B95" s="23">
        <f>IFERROR(INDEX($R$53:$R$853,ROW()-52),"")</f>
        <v/>
      </c>
      <c r="C95">
        <f>IFERROR(INDEX($S$53:$S$853,ROW()-52),"")</f>
        <v/>
      </c>
      <c r="D95">
        <f>IFERROR(INDEX($W$53:$W$853,ROW()-52),"")</f>
        <v/>
      </c>
      <c r="E95">
        <f>IFERROR(C95-D95,"")</f>
        <v/>
      </c>
    </row>
    <row r="96">
      <c r="B96" s="23">
        <f>IFERROR(INDEX($R$53:$R$853,ROW()-52),"")</f>
        <v/>
      </c>
      <c r="C96">
        <f>IFERROR(INDEX($S$53:$S$853,ROW()-52),"")</f>
        <v/>
      </c>
      <c r="D96">
        <f>IFERROR(INDEX($W$53:$W$853,ROW()-52),"")</f>
        <v/>
      </c>
      <c r="E96">
        <f>IFERROR(C96-D96,"")</f>
        <v/>
      </c>
    </row>
    <row r="97">
      <c r="B97" s="23">
        <f>IFERROR(INDEX($R$53:$R$853,ROW()-52),"")</f>
        <v/>
      </c>
      <c r="C97">
        <f>IFERROR(INDEX($S$53:$S$853,ROW()-52),"")</f>
        <v/>
      </c>
      <c r="D97">
        <f>IFERROR(INDEX($W$53:$W$853,ROW()-52),"")</f>
        <v/>
      </c>
      <c r="E97">
        <f>IFERROR(C97-D97,"")</f>
        <v/>
      </c>
    </row>
    <row r="98">
      <c r="B98" s="23">
        <f>IFERROR(INDEX($R$53:$R$853,ROW()-52),"")</f>
        <v/>
      </c>
      <c r="C98">
        <f>IFERROR(INDEX($S$53:$S$853,ROW()-52),"")</f>
        <v/>
      </c>
      <c r="D98">
        <f>IFERROR(INDEX($W$53:$W$853,ROW()-52),"")</f>
        <v/>
      </c>
      <c r="E98">
        <f>IFERROR(C98-D98,"")</f>
        <v/>
      </c>
    </row>
    <row r="99">
      <c r="B99" s="23">
        <f>IFERROR(INDEX($R$53:$R$853,ROW()-52),"")</f>
        <v/>
      </c>
      <c r="C99">
        <f>IFERROR(INDEX($S$53:$S$853,ROW()-52),"")</f>
        <v/>
      </c>
      <c r="D99">
        <f>IFERROR(INDEX($W$53:$W$853,ROW()-52),"")</f>
        <v/>
      </c>
      <c r="E99">
        <f>IFERROR(C99-D99,"")</f>
        <v/>
      </c>
    </row>
    <row r="100">
      <c r="B100" s="23">
        <f>IFERROR(INDEX($R$53:$R$853,ROW()-52),"")</f>
        <v/>
      </c>
      <c r="C100">
        <f>IFERROR(INDEX($S$53:$S$853,ROW()-52),"")</f>
        <v/>
      </c>
      <c r="D100">
        <f>IFERROR(INDEX($W$53:$W$853,ROW()-52),"")</f>
        <v/>
      </c>
      <c r="E100">
        <f>IFERROR(C100-D100,"")</f>
        <v/>
      </c>
    </row>
    <row r="101">
      <c r="B101" s="23">
        <f>IFERROR(INDEX($R$53:$R$853,ROW()-52),"")</f>
        <v/>
      </c>
      <c r="C101">
        <f>IFERROR(INDEX($S$53:$S$853,ROW()-52),"")</f>
        <v/>
      </c>
      <c r="D101">
        <f>IFERROR(INDEX($W$53:$W$853,ROW()-52),"")</f>
        <v/>
      </c>
      <c r="E101">
        <f>IFERROR(C101-D101,"")</f>
        <v/>
      </c>
    </row>
    <row r="102">
      <c r="B102" s="23">
        <f>IFERROR(INDEX($R$53:$R$853,ROW()-52),"")</f>
        <v/>
      </c>
      <c r="C102">
        <f>IFERROR(INDEX($S$53:$S$853,ROW()-52),"")</f>
        <v/>
      </c>
      <c r="D102">
        <f>IFERROR(INDEX($W$53:$W$853,ROW()-52),"")</f>
        <v/>
      </c>
      <c r="E102">
        <f>IFERROR(C102-D102,"")</f>
        <v/>
      </c>
    </row>
    <row r="103">
      <c r="B103" s="23">
        <f>IFERROR(INDEX($R$53:$R$853,ROW()-52),"")</f>
        <v/>
      </c>
      <c r="C103">
        <f>IFERROR(INDEX($S$53:$S$853,ROW()-52),"")</f>
        <v/>
      </c>
      <c r="D103">
        <f>IFERROR(INDEX($W$53:$W$853,ROW()-52),"")</f>
        <v/>
      </c>
      <c r="E103">
        <f>IFERROR(C103-D103,"")</f>
        <v/>
      </c>
    </row>
    <row r="104">
      <c r="B104" s="23">
        <f>IFERROR(INDEX($R$53:$R$853,ROW()-52),"")</f>
        <v/>
      </c>
      <c r="C104">
        <f>IFERROR(INDEX($S$53:$S$853,ROW()-52),"")</f>
        <v/>
      </c>
      <c r="D104">
        <f>IFERROR(INDEX($W$53:$W$853,ROW()-52),"")</f>
        <v/>
      </c>
      <c r="E104">
        <f>IFERROR(C104-D104,"")</f>
        <v/>
      </c>
    </row>
    <row r="105">
      <c r="B105" s="23">
        <f>IFERROR(INDEX($R$53:$R$853,ROW()-52),"")</f>
        <v/>
      </c>
      <c r="C105">
        <f>IFERROR(INDEX($S$53:$S$853,ROW()-52),"")</f>
        <v/>
      </c>
      <c r="D105">
        <f>IFERROR(INDEX($W$53:$W$853,ROW()-52),"")</f>
        <v/>
      </c>
      <c r="E105">
        <f>IFERROR(C105-D105,"")</f>
        <v/>
      </c>
    </row>
    <row r="106">
      <c r="B106" s="23">
        <f>IFERROR(INDEX($R$53:$R$853,ROW()-52),"")</f>
        <v/>
      </c>
      <c r="C106">
        <f>IFERROR(INDEX($S$53:$S$853,ROW()-52),"")</f>
        <v/>
      </c>
      <c r="D106">
        <f>IFERROR(INDEX($W$53:$W$853,ROW()-52),"")</f>
        <v/>
      </c>
      <c r="E106">
        <f>IFERROR(C106-D106,"")</f>
        <v/>
      </c>
    </row>
    <row r="107">
      <c r="B107" s="23">
        <f>IFERROR(INDEX($R$53:$R$853,ROW()-52),"")</f>
        <v/>
      </c>
      <c r="C107">
        <f>IFERROR(INDEX($S$53:$S$853,ROW()-52),"")</f>
        <v/>
      </c>
      <c r="D107">
        <f>IFERROR(INDEX($W$53:$W$853,ROW()-52),"")</f>
        <v/>
      </c>
      <c r="E107">
        <f>IFERROR(C107-D107,"")</f>
        <v/>
      </c>
    </row>
    <row r="108">
      <c r="B108" s="23">
        <f>IFERROR(INDEX($R$53:$R$853,ROW()-52),"")</f>
        <v/>
      </c>
      <c r="C108">
        <f>IFERROR(INDEX($S$53:$S$853,ROW()-52),"")</f>
        <v/>
      </c>
      <c r="D108">
        <f>IFERROR(INDEX($W$53:$W$853,ROW()-52),"")</f>
        <v/>
      </c>
      <c r="E108">
        <f>IFERROR(C108-D108,"")</f>
        <v/>
      </c>
    </row>
    <row r="109">
      <c r="B109" s="23">
        <f>IFERROR(INDEX($R$53:$R$853,ROW()-52),"")</f>
        <v/>
      </c>
      <c r="C109">
        <f>IFERROR(INDEX($S$53:$S$853,ROW()-52),"")</f>
        <v/>
      </c>
      <c r="D109">
        <f>IFERROR(INDEX($W$53:$W$853,ROW()-52),"")</f>
        <v/>
      </c>
      <c r="E109">
        <f>IFERROR(C109-D109,"")</f>
        <v/>
      </c>
    </row>
    <row r="110">
      <c r="B110" s="23">
        <f>IFERROR(INDEX($R$53:$R$853,ROW()-52),"")</f>
        <v/>
      </c>
      <c r="C110">
        <f>IFERROR(INDEX($S$53:$S$853,ROW()-52),"")</f>
        <v/>
      </c>
      <c r="D110">
        <f>IFERROR(INDEX($W$53:$W$853,ROW()-52),"")</f>
        <v/>
      </c>
      <c r="E110">
        <f>IFERROR(C110-D110,"")</f>
        <v/>
      </c>
    </row>
    <row r="111">
      <c r="B111" s="23">
        <f>IFERROR(INDEX($R$53:$R$853,ROW()-52),"")</f>
        <v/>
      </c>
      <c r="C111">
        <f>IFERROR(INDEX($S$53:$S$853,ROW()-52),"")</f>
        <v/>
      </c>
      <c r="D111">
        <f>IFERROR(INDEX($W$53:$W$853,ROW()-52),"")</f>
        <v/>
      </c>
      <c r="E111">
        <f>IFERROR(C111-D111,"")</f>
        <v/>
      </c>
    </row>
    <row r="112">
      <c r="B112" s="23">
        <f>IFERROR(INDEX($R$53:$R$853,ROW()-52),"")</f>
        <v/>
      </c>
      <c r="C112">
        <f>IFERROR(INDEX($S$53:$S$853,ROW()-52),"")</f>
        <v/>
      </c>
      <c r="D112">
        <f>IFERROR(INDEX($W$53:$W$853,ROW()-52),"")</f>
        <v/>
      </c>
      <c r="E112">
        <f>IFERROR(C112-D112,"")</f>
        <v/>
      </c>
    </row>
    <row r="113">
      <c r="B113" s="23">
        <f>IFERROR(INDEX($R$53:$R$853,ROW()-52),"")</f>
        <v/>
      </c>
      <c r="C113">
        <f>IFERROR(INDEX($S$53:$S$853,ROW()-52),"")</f>
        <v/>
      </c>
      <c r="D113">
        <f>IFERROR(INDEX($W$53:$W$853,ROW()-52),"")</f>
        <v/>
      </c>
      <c r="E113">
        <f>IFERROR(C113-D113,"")</f>
        <v/>
      </c>
    </row>
    <row r="114">
      <c r="B114" s="23">
        <f>IFERROR(INDEX($R$53:$R$853,ROW()-52),"")</f>
        <v/>
      </c>
      <c r="C114">
        <f>IFERROR(INDEX($S$53:$S$853,ROW()-52),"")</f>
        <v/>
      </c>
      <c r="D114">
        <f>IFERROR(INDEX($W$53:$W$853,ROW()-52),"")</f>
        <v/>
      </c>
      <c r="E114">
        <f>IFERROR(C114-D114,"")</f>
        <v/>
      </c>
    </row>
    <row r="115">
      <c r="B115" s="23">
        <f>IFERROR(INDEX($R$53:$R$853,ROW()-52),"")</f>
        <v/>
      </c>
      <c r="C115">
        <f>IFERROR(INDEX($S$53:$S$853,ROW()-52),"")</f>
        <v/>
      </c>
      <c r="D115">
        <f>IFERROR(INDEX($W$53:$W$853,ROW()-52),"")</f>
        <v/>
      </c>
      <c r="E115">
        <f>IFERROR(C115-D115,"")</f>
        <v/>
      </c>
    </row>
    <row r="116">
      <c r="B116" s="23">
        <f>IFERROR(INDEX($R$53:$R$853,ROW()-52),"")</f>
        <v/>
      </c>
      <c r="C116">
        <f>IFERROR(INDEX($S$53:$S$853,ROW()-52),"")</f>
        <v/>
      </c>
      <c r="D116">
        <f>IFERROR(INDEX($W$53:$W$853,ROW()-52),"")</f>
        <v/>
      </c>
      <c r="E116">
        <f>IFERROR(C116-D116,"")</f>
        <v/>
      </c>
    </row>
    <row r="117">
      <c r="B117" s="23">
        <f>IFERROR(INDEX($R$53:$R$853,ROW()-52),"")</f>
        <v/>
      </c>
      <c r="C117">
        <f>IFERROR(INDEX($S$53:$S$853,ROW()-52),"")</f>
        <v/>
      </c>
      <c r="D117">
        <f>IFERROR(INDEX($W$53:$W$853,ROW()-52),"")</f>
        <v/>
      </c>
      <c r="E117">
        <f>IFERROR(C117-D117,"")</f>
        <v/>
      </c>
    </row>
    <row r="118">
      <c r="B118" s="23">
        <f>IFERROR(INDEX($R$53:$R$853,ROW()-52),"")</f>
        <v/>
      </c>
      <c r="C118">
        <f>IFERROR(INDEX($S$53:$S$853,ROW()-52),"")</f>
        <v/>
      </c>
      <c r="D118">
        <f>IFERROR(INDEX($W$53:$W$853,ROW()-52),"")</f>
        <v/>
      </c>
      <c r="E118">
        <f>IFERROR(C118-D118,"")</f>
        <v/>
      </c>
    </row>
    <row r="119">
      <c r="B119" s="23">
        <f>IFERROR(INDEX($R$53:$R$853,ROW()-52),"")</f>
        <v/>
      </c>
      <c r="C119">
        <f>IFERROR(INDEX($S$53:$S$853,ROW()-52),"")</f>
        <v/>
      </c>
      <c r="D119">
        <f>IFERROR(INDEX($W$53:$W$853,ROW()-52),"")</f>
        <v/>
      </c>
      <c r="E119">
        <f>IFERROR(C119-D119,"")</f>
        <v/>
      </c>
    </row>
    <row r="120">
      <c r="B120" s="23">
        <f>IFERROR(INDEX($R$53:$R$853,ROW()-52),"")</f>
        <v/>
      </c>
      <c r="C120">
        <f>IFERROR(INDEX($S$53:$S$853,ROW()-52),"")</f>
        <v/>
      </c>
      <c r="D120">
        <f>IFERROR(INDEX($W$53:$W$853,ROW()-52),"")</f>
        <v/>
      </c>
      <c r="E120">
        <f>IFERROR(C120-D120,"")</f>
        <v/>
      </c>
    </row>
    <row r="121">
      <c r="B121" s="23">
        <f>IFERROR(INDEX($R$53:$R$853,ROW()-52),"")</f>
        <v/>
      </c>
      <c r="C121">
        <f>IFERROR(INDEX($S$53:$S$853,ROW()-52),"")</f>
        <v/>
      </c>
      <c r="D121">
        <f>IFERROR(INDEX($W$53:$W$853,ROW()-52),"")</f>
        <v/>
      </c>
      <c r="E121">
        <f>IFERROR(C121-D121,"")</f>
        <v/>
      </c>
    </row>
    <row r="122">
      <c r="B122" s="23">
        <f>IFERROR(INDEX($R$53:$R$853,ROW()-52),"")</f>
        <v/>
      </c>
      <c r="C122">
        <f>IFERROR(INDEX($S$53:$S$853,ROW()-52),"")</f>
        <v/>
      </c>
      <c r="D122">
        <f>IFERROR(INDEX($W$53:$W$853,ROW()-52),"")</f>
        <v/>
      </c>
      <c r="E122">
        <f>IFERROR(C122-D122,"")</f>
        <v/>
      </c>
    </row>
    <row r="123">
      <c r="B123" s="23">
        <f>IFERROR(INDEX($R$53:$R$853,ROW()-52),"")</f>
        <v/>
      </c>
      <c r="C123">
        <f>IFERROR(INDEX($S$53:$S$853,ROW()-52),"")</f>
        <v/>
      </c>
      <c r="D123">
        <f>IFERROR(INDEX($W$53:$W$853,ROW()-52),"")</f>
        <v/>
      </c>
      <c r="E123">
        <f>IFERROR(C123-D123,"")</f>
        <v/>
      </c>
    </row>
    <row r="124">
      <c r="B124" s="23">
        <f>IFERROR(INDEX($R$53:$R$853,ROW()-52),"")</f>
        <v/>
      </c>
      <c r="C124">
        <f>IFERROR(INDEX($S$53:$S$853,ROW()-52),"")</f>
        <v/>
      </c>
      <c r="D124">
        <f>IFERROR(INDEX($W$53:$W$853,ROW()-52),"")</f>
        <v/>
      </c>
      <c r="E124">
        <f>IFERROR(C124-D124,"")</f>
        <v/>
      </c>
    </row>
    <row r="125">
      <c r="B125" s="23">
        <f>IFERROR(INDEX($R$53:$R$853,ROW()-52),"")</f>
        <v/>
      </c>
      <c r="C125">
        <f>IFERROR(INDEX($S$53:$S$853,ROW()-52),"")</f>
        <v/>
      </c>
      <c r="D125">
        <f>IFERROR(INDEX($W$53:$W$853,ROW()-52),"")</f>
        <v/>
      </c>
      <c r="E125">
        <f>IFERROR(C125-D125,"")</f>
        <v/>
      </c>
    </row>
    <row r="126">
      <c r="B126" s="23">
        <f>IFERROR(INDEX($R$53:$R$853,ROW()-52),"")</f>
        <v/>
      </c>
      <c r="C126">
        <f>IFERROR(INDEX($S$53:$S$853,ROW()-52),"")</f>
        <v/>
      </c>
      <c r="D126">
        <f>IFERROR(INDEX($W$53:$W$853,ROW()-52),"")</f>
        <v/>
      </c>
      <c r="E126">
        <f>IFERROR(C126-D126,"")</f>
        <v/>
      </c>
    </row>
    <row r="127">
      <c r="B127" s="23">
        <f>IFERROR(INDEX($R$53:$R$853,ROW()-52),"")</f>
        <v/>
      </c>
      <c r="C127">
        <f>IFERROR(INDEX($S$53:$S$853,ROW()-52),"")</f>
        <v/>
      </c>
      <c r="D127">
        <f>IFERROR(INDEX($W$53:$W$853,ROW()-52),"")</f>
        <v/>
      </c>
      <c r="E127">
        <f>IFERROR(C127-D127,"")</f>
        <v/>
      </c>
    </row>
    <row r="128">
      <c r="B128" s="23">
        <f>IFERROR(INDEX($R$53:$R$853,ROW()-52),"")</f>
        <v/>
      </c>
      <c r="C128">
        <f>IFERROR(INDEX($S$53:$S$853,ROW()-52),"")</f>
        <v/>
      </c>
      <c r="D128">
        <f>IFERROR(INDEX($W$53:$W$853,ROW()-52),"")</f>
        <v/>
      </c>
      <c r="E128">
        <f>IFERROR(C128-D128,"")</f>
        <v/>
      </c>
    </row>
    <row r="129">
      <c r="B129" s="23">
        <f>IFERROR(INDEX($R$53:$R$853,ROW()-52),"")</f>
        <v/>
      </c>
      <c r="C129">
        <f>IFERROR(INDEX($S$53:$S$853,ROW()-52),"")</f>
        <v/>
      </c>
      <c r="D129">
        <f>IFERROR(INDEX($W$53:$W$853,ROW()-52),"")</f>
        <v/>
      </c>
      <c r="E129">
        <f>IFERROR(C129-D129,"")</f>
        <v/>
      </c>
    </row>
    <row r="130">
      <c r="B130" s="23">
        <f>IFERROR(INDEX($R$53:$R$853,ROW()-52),"")</f>
        <v/>
      </c>
      <c r="C130">
        <f>IFERROR(INDEX($S$53:$S$853,ROW()-52),"")</f>
        <v/>
      </c>
      <c r="D130">
        <f>IFERROR(INDEX($W$53:$W$853,ROW()-52),"")</f>
        <v/>
      </c>
      <c r="E130">
        <f>IFERROR(C130-D130,"")</f>
        <v/>
      </c>
    </row>
    <row r="131">
      <c r="B131" s="23">
        <f>IFERROR(INDEX($R$53:$R$853,ROW()-52),"")</f>
        <v/>
      </c>
      <c r="C131">
        <f>IFERROR(INDEX($S$53:$S$853,ROW()-52),"")</f>
        <v/>
      </c>
      <c r="D131">
        <f>IFERROR(INDEX($W$53:$W$853,ROW()-52),"")</f>
        <v/>
      </c>
      <c r="E131">
        <f>IFERROR(C131-D131,"")</f>
        <v/>
      </c>
    </row>
    <row r="132">
      <c r="B132" s="23">
        <f>IFERROR(INDEX($R$53:$R$853,ROW()-52),"")</f>
        <v/>
      </c>
      <c r="C132">
        <f>IFERROR(INDEX($S$53:$S$853,ROW()-52),"")</f>
        <v/>
      </c>
      <c r="D132">
        <f>IFERROR(INDEX($W$53:$W$853,ROW()-52),"")</f>
        <v/>
      </c>
      <c r="E132">
        <f>IFERROR(C132-D132,"")</f>
        <v/>
      </c>
    </row>
    <row r="133">
      <c r="B133" s="23">
        <f>IFERROR(INDEX($R$53:$R$853,ROW()-52),"")</f>
        <v/>
      </c>
      <c r="C133">
        <f>IFERROR(INDEX($S$53:$S$853,ROW()-52),"")</f>
        <v/>
      </c>
      <c r="D133">
        <f>IFERROR(INDEX($W$53:$W$853,ROW()-52),"")</f>
        <v/>
      </c>
      <c r="E133">
        <f>IFERROR(C133-D133,"")</f>
        <v/>
      </c>
    </row>
    <row r="134">
      <c r="B134" s="23">
        <f>IFERROR(INDEX($R$53:$R$853,ROW()-52),"")</f>
        <v/>
      </c>
      <c r="C134">
        <f>IFERROR(INDEX($S$53:$S$853,ROW()-52),"")</f>
        <v/>
      </c>
      <c r="D134">
        <f>IFERROR(INDEX($W$53:$W$853,ROW()-52),"")</f>
        <v/>
      </c>
      <c r="E134">
        <f>IFERROR(C134-D134,"")</f>
        <v/>
      </c>
    </row>
    <row r="135">
      <c r="B135" s="23">
        <f>IFERROR(INDEX($R$53:$R$853,ROW()-52),"")</f>
        <v/>
      </c>
      <c r="C135">
        <f>IFERROR(INDEX($S$53:$S$853,ROW()-52),"")</f>
        <v/>
      </c>
      <c r="D135">
        <f>IFERROR(INDEX($W$53:$W$853,ROW()-52),"")</f>
        <v/>
      </c>
      <c r="E135">
        <f>IFERROR(C135-D135,"")</f>
        <v/>
      </c>
    </row>
    <row r="136">
      <c r="B136" s="23">
        <f>IFERROR(INDEX($R$53:$R$853,ROW()-52),"")</f>
        <v/>
      </c>
      <c r="C136">
        <f>IFERROR(INDEX($S$53:$S$853,ROW()-52),"")</f>
        <v/>
      </c>
      <c r="D136">
        <f>IFERROR(INDEX($W$53:$W$853,ROW()-52),"")</f>
        <v/>
      </c>
      <c r="E136">
        <f>IFERROR(C136-D136,"")</f>
        <v/>
      </c>
    </row>
    <row r="137">
      <c r="B137" s="23">
        <f>IFERROR(INDEX($R$53:$R$853,ROW()-52),"")</f>
        <v/>
      </c>
      <c r="C137">
        <f>IFERROR(INDEX($S$53:$S$853,ROW()-52),"")</f>
        <v/>
      </c>
      <c r="D137">
        <f>IFERROR(INDEX($W$53:$W$853,ROW()-52),"")</f>
        <v/>
      </c>
      <c r="E137">
        <f>IFERROR(C137-D137,"")</f>
        <v/>
      </c>
    </row>
    <row r="138">
      <c r="B138" s="23">
        <f>IFERROR(INDEX($R$53:$R$853,ROW()-52),"")</f>
        <v/>
      </c>
      <c r="C138">
        <f>IFERROR(INDEX($S$53:$S$853,ROW()-52),"")</f>
        <v/>
      </c>
      <c r="D138">
        <f>IFERROR(INDEX($W$53:$W$853,ROW()-52),"")</f>
        <v/>
      </c>
      <c r="E138">
        <f>IFERROR(C138-D138,"")</f>
        <v/>
      </c>
    </row>
    <row r="139">
      <c r="B139" s="23">
        <f>IFERROR(INDEX($R$53:$R$853,ROW()-52),"")</f>
        <v/>
      </c>
      <c r="C139">
        <f>IFERROR(INDEX($S$53:$S$853,ROW()-52),"")</f>
        <v/>
      </c>
      <c r="D139">
        <f>IFERROR(INDEX($W$53:$W$853,ROW()-52),"")</f>
        <v/>
      </c>
      <c r="E139">
        <f>IFERROR(C139-D139,"")</f>
        <v/>
      </c>
    </row>
    <row r="140">
      <c r="B140" s="23">
        <f>IFERROR(INDEX($R$53:$R$853,ROW()-52),"")</f>
        <v/>
      </c>
      <c r="C140">
        <f>IFERROR(INDEX($S$53:$S$853,ROW()-52),"")</f>
        <v/>
      </c>
      <c r="D140">
        <f>IFERROR(INDEX($W$53:$W$853,ROW()-52),"")</f>
        <v/>
      </c>
      <c r="E140">
        <f>IFERROR(C140-D140,"")</f>
        <v/>
      </c>
    </row>
    <row r="141">
      <c r="B141" s="23">
        <f>IFERROR(INDEX($R$53:$R$853,ROW()-52),"")</f>
        <v/>
      </c>
      <c r="C141">
        <f>IFERROR(INDEX($S$53:$S$853,ROW()-52),"")</f>
        <v/>
      </c>
      <c r="D141">
        <f>IFERROR(INDEX($W$53:$W$853,ROW()-52),"")</f>
        <v/>
      </c>
      <c r="E141">
        <f>IFERROR(C141-D141,"")</f>
        <v/>
      </c>
    </row>
    <row r="142">
      <c r="B142" s="23">
        <f>IFERROR(INDEX($R$53:$R$853,ROW()-52),"")</f>
        <v/>
      </c>
      <c r="C142">
        <f>IFERROR(INDEX($S$53:$S$853,ROW()-52),"")</f>
        <v/>
      </c>
      <c r="D142">
        <f>IFERROR(INDEX($W$53:$W$853,ROW()-52),"")</f>
        <v/>
      </c>
      <c r="E142">
        <f>IFERROR(C142-D142,"")</f>
        <v/>
      </c>
    </row>
    <row r="143">
      <c r="B143" s="23">
        <f>IFERROR(INDEX($R$53:$R$853,ROW()-52),"")</f>
        <v/>
      </c>
      <c r="C143">
        <f>IFERROR(INDEX($S$53:$S$853,ROW()-52),"")</f>
        <v/>
      </c>
      <c r="D143">
        <f>IFERROR(INDEX($W$53:$W$853,ROW()-52),"")</f>
        <v/>
      </c>
      <c r="E143">
        <f>IFERROR(C143-D143,"")</f>
        <v/>
      </c>
    </row>
    <row r="144">
      <c r="B144" s="23">
        <f>IFERROR(INDEX($R$53:$R$853,ROW()-52),"")</f>
        <v/>
      </c>
      <c r="C144">
        <f>IFERROR(INDEX($S$53:$S$853,ROW()-52),"")</f>
        <v/>
      </c>
      <c r="D144">
        <f>IFERROR(INDEX($W$53:$W$853,ROW()-52),"")</f>
        <v/>
      </c>
      <c r="E144">
        <f>IFERROR(C144-D144,"")</f>
        <v/>
      </c>
    </row>
    <row r="145">
      <c r="B145" s="23">
        <f>IFERROR(INDEX($R$53:$R$853,ROW()-52),"")</f>
        <v/>
      </c>
      <c r="C145">
        <f>IFERROR(INDEX($S$53:$S$853,ROW()-52),"")</f>
        <v/>
      </c>
      <c r="D145">
        <f>IFERROR(INDEX($W$53:$W$853,ROW()-52),"")</f>
        <v/>
      </c>
      <c r="E145">
        <f>IFERROR(C145-D145,"")</f>
        <v/>
      </c>
    </row>
    <row r="146">
      <c r="B146" s="23">
        <f>IFERROR(INDEX($R$53:$R$853,ROW()-52),"")</f>
        <v/>
      </c>
      <c r="C146">
        <f>IFERROR(INDEX($S$53:$S$853,ROW()-52),"")</f>
        <v/>
      </c>
      <c r="D146">
        <f>IFERROR(INDEX($W$53:$W$853,ROW()-52),"")</f>
        <v/>
      </c>
      <c r="E146">
        <f>IFERROR(C146-D146,"")</f>
        <v/>
      </c>
    </row>
    <row r="147">
      <c r="B147" s="23">
        <f>IFERROR(INDEX($R$53:$R$853,ROW()-52),"")</f>
        <v/>
      </c>
      <c r="C147">
        <f>IFERROR(INDEX($S$53:$S$853,ROW()-52),"")</f>
        <v/>
      </c>
      <c r="D147">
        <f>IFERROR(INDEX($W$53:$W$853,ROW()-52),"")</f>
        <v/>
      </c>
      <c r="E147">
        <f>IFERROR(C147-D147,"")</f>
        <v/>
      </c>
    </row>
    <row r="148">
      <c r="B148" s="23">
        <f>IFERROR(INDEX($R$53:$R$853,ROW()-52),"")</f>
        <v/>
      </c>
      <c r="C148">
        <f>IFERROR(INDEX($S$53:$S$853,ROW()-52),"")</f>
        <v/>
      </c>
      <c r="D148">
        <f>IFERROR(INDEX($W$53:$W$853,ROW()-52),"")</f>
        <v/>
      </c>
      <c r="E148">
        <f>IFERROR(C148-D148,"")</f>
        <v/>
      </c>
    </row>
    <row r="149">
      <c r="B149" s="23">
        <f>IFERROR(INDEX($R$53:$R$853,ROW()-52),"")</f>
        <v/>
      </c>
      <c r="C149">
        <f>IFERROR(INDEX($S$53:$S$853,ROW()-52),"")</f>
        <v/>
      </c>
      <c r="D149">
        <f>IFERROR(INDEX($W$53:$W$853,ROW()-52),"")</f>
        <v/>
      </c>
      <c r="E149">
        <f>IFERROR(C149-D149,"")</f>
        <v/>
      </c>
    </row>
    <row r="150">
      <c r="B150" s="23">
        <f>IFERROR(INDEX($R$53:$R$853,ROW()-52),"")</f>
        <v/>
      </c>
      <c r="C150">
        <f>IFERROR(INDEX($S$53:$S$853,ROW()-52),"")</f>
        <v/>
      </c>
      <c r="D150">
        <f>IFERROR(INDEX($W$53:$W$853,ROW()-52),"")</f>
        <v/>
      </c>
      <c r="E150">
        <f>IFERROR(C150-D150,"")</f>
        <v/>
      </c>
    </row>
    <row r="151">
      <c r="B151" s="23">
        <f>IFERROR(INDEX($R$53:$R$853,ROW()-52),"")</f>
        <v/>
      </c>
      <c r="C151">
        <f>IFERROR(INDEX($S$53:$S$853,ROW()-52),"")</f>
        <v/>
      </c>
      <c r="D151">
        <f>IFERROR(INDEX($W$53:$W$853,ROW()-52),"")</f>
        <v/>
      </c>
      <c r="E151">
        <f>IFERROR(C151-D151,"")</f>
        <v/>
      </c>
    </row>
    <row r="152">
      <c r="B152" s="23">
        <f>IFERROR(INDEX($R$53:$R$853,ROW()-52),"")</f>
        <v/>
      </c>
      <c r="C152">
        <f>IFERROR(INDEX($S$53:$S$853,ROW()-52),"")</f>
        <v/>
      </c>
      <c r="D152">
        <f>IFERROR(INDEX($W$53:$W$853,ROW()-52),"")</f>
        <v/>
      </c>
      <c r="E152">
        <f>IFERROR(C152-D152,"")</f>
        <v/>
      </c>
    </row>
    <row r="153">
      <c r="B153" s="23">
        <f>IFERROR(INDEX($R$53:$R$853,ROW()-52),"")</f>
        <v/>
      </c>
      <c r="C153">
        <f>IFERROR(INDEX($S$53:$S$853,ROW()-52),"")</f>
        <v/>
      </c>
      <c r="D153">
        <f>IFERROR(INDEX($W$53:$W$853,ROW()-52),"")</f>
        <v/>
      </c>
      <c r="E153">
        <f>IFERROR(C153-D153,"")</f>
        <v/>
      </c>
    </row>
    <row r="154">
      <c r="B154" s="23">
        <f>IFERROR(INDEX($R$53:$R$853,ROW()-52),"")</f>
        <v/>
      </c>
      <c r="C154">
        <f>IFERROR(INDEX($S$53:$S$853,ROW()-52),"")</f>
        <v/>
      </c>
      <c r="D154">
        <f>IFERROR(INDEX($W$53:$W$853,ROW()-52),"")</f>
        <v/>
      </c>
      <c r="E154">
        <f>IFERROR(C154-D154,"")</f>
        <v/>
      </c>
    </row>
    <row r="155">
      <c r="B155" s="23">
        <f>IFERROR(INDEX($R$53:$R$853,ROW()-52),"")</f>
        <v/>
      </c>
      <c r="C155">
        <f>IFERROR(INDEX($S$53:$S$853,ROW()-52),"")</f>
        <v/>
      </c>
      <c r="D155">
        <f>IFERROR(INDEX($W$53:$W$853,ROW()-52),"")</f>
        <v/>
      </c>
      <c r="E155">
        <f>IFERROR(C155-D155,"")</f>
        <v/>
      </c>
    </row>
    <row r="156">
      <c r="B156" s="23">
        <f>IFERROR(INDEX($R$53:$R$853,ROW()-52),"")</f>
        <v/>
      </c>
      <c r="C156">
        <f>IFERROR(INDEX($S$53:$S$853,ROW()-52),"")</f>
        <v/>
      </c>
      <c r="D156">
        <f>IFERROR(INDEX($W$53:$W$853,ROW()-52),"")</f>
        <v/>
      </c>
      <c r="E156">
        <f>IFERROR(C156-D156,"")</f>
        <v/>
      </c>
    </row>
    <row r="157">
      <c r="B157" s="23">
        <f>IFERROR(INDEX($R$53:$R$853,ROW()-52),"")</f>
        <v/>
      </c>
      <c r="C157">
        <f>IFERROR(INDEX($S$53:$S$853,ROW()-52),"")</f>
        <v/>
      </c>
      <c r="D157">
        <f>IFERROR(INDEX($W$53:$W$853,ROW()-52),"")</f>
        <v/>
      </c>
      <c r="E157">
        <f>IFERROR(C157-D157,"")</f>
        <v/>
      </c>
    </row>
    <row r="158">
      <c r="B158" s="23">
        <f>IFERROR(INDEX($R$53:$R$853,ROW()-52),"")</f>
        <v/>
      </c>
      <c r="C158">
        <f>IFERROR(INDEX($S$53:$S$853,ROW()-52),"")</f>
        <v/>
      </c>
      <c r="D158">
        <f>IFERROR(INDEX($W$53:$W$853,ROW()-52),"")</f>
        <v/>
      </c>
      <c r="E158">
        <f>IFERROR(C158-D158,"")</f>
        <v/>
      </c>
    </row>
    <row r="159">
      <c r="B159" s="23">
        <f>IFERROR(INDEX($R$53:$R$853,ROW()-52),"")</f>
        <v/>
      </c>
      <c r="C159">
        <f>IFERROR(INDEX($S$53:$S$853,ROW()-52),"")</f>
        <v/>
      </c>
      <c r="D159">
        <f>IFERROR(INDEX($W$53:$W$853,ROW()-52),"")</f>
        <v/>
      </c>
      <c r="E159">
        <f>IFERROR(C159-D159,"")</f>
        <v/>
      </c>
    </row>
    <row r="160">
      <c r="B160" s="23">
        <f>IFERROR(INDEX($R$53:$R$853,ROW()-52),"")</f>
        <v/>
      </c>
      <c r="C160">
        <f>IFERROR(INDEX($S$53:$S$853,ROW()-52),"")</f>
        <v/>
      </c>
      <c r="D160">
        <f>IFERROR(INDEX($W$53:$W$853,ROW()-52),"")</f>
        <v/>
      </c>
      <c r="E160">
        <f>IFERROR(C160-D160,"")</f>
        <v/>
      </c>
    </row>
    <row r="161">
      <c r="B161" s="23">
        <f>IFERROR(INDEX($R$53:$R$853,ROW()-52),"")</f>
        <v/>
      </c>
      <c r="C161">
        <f>IFERROR(INDEX($S$53:$S$853,ROW()-52),"")</f>
        <v/>
      </c>
      <c r="D161">
        <f>IFERROR(INDEX($W$53:$W$853,ROW()-52),"")</f>
        <v/>
      </c>
      <c r="E161">
        <f>IFERROR(C161-D161,"")</f>
        <v/>
      </c>
    </row>
    <row r="162">
      <c r="B162" s="23">
        <f>IFERROR(INDEX($R$53:$R$853,ROW()-52),"")</f>
        <v/>
      </c>
      <c r="C162">
        <f>IFERROR(INDEX($S$53:$S$853,ROW()-52),"")</f>
        <v/>
      </c>
      <c r="D162">
        <f>IFERROR(INDEX($W$53:$W$853,ROW()-52),"")</f>
        <v/>
      </c>
      <c r="E162">
        <f>IFERROR(C162-D162,"")</f>
        <v/>
      </c>
    </row>
    <row r="163">
      <c r="B163" s="23">
        <f>IFERROR(INDEX($R$53:$R$853,ROW()-52),"")</f>
        <v/>
      </c>
      <c r="C163">
        <f>IFERROR(INDEX($S$53:$S$853,ROW()-52),"")</f>
        <v/>
      </c>
      <c r="D163">
        <f>IFERROR(INDEX($W$53:$W$853,ROW()-52),"")</f>
        <v/>
      </c>
      <c r="E163">
        <f>IFERROR(C163-D163,"")</f>
        <v/>
      </c>
    </row>
    <row r="164">
      <c r="B164" s="23">
        <f>IFERROR(INDEX($R$53:$R$853,ROW()-52),"")</f>
        <v/>
      </c>
      <c r="C164">
        <f>IFERROR(INDEX($S$53:$S$853,ROW()-52),"")</f>
        <v/>
      </c>
      <c r="D164">
        <f>IFERROR(INDEX($W$53:$W$853,ROW()-52),"")</f>
        <v/>
      </c>
      <c r="E164">
        <f>IFERROR(C164-D164,"")</f>
        <v/>
      </c>
    </row>
    <row r="165">
      <c r="B165" s="23">
        <f>IFERROR(INDEX($R$53:$R$853,ROW()-52),"")</f>
        <v/>
      </c>
      <c r="C165">
        <f>IFERROR(INDEX($S$53:$S$853,ROW()-52),"")</f>
        <v/>
      </c>
      <c r="D165">
        <f>IFERROR(INDEX($W$53:$W$853,ROW()-52),"")</f>
        <v/>
      </c>
      <c r="E165">
        <f>IFERROR(C165-D165,"")</f>
        <v/>
      </c>
    </row>
    <row r="166">
      <c r="B166" s="23">
        <f>IFERROR(INDEX($R$53:$R$853,ROW()-52),"")</f>
        <v/>
      </c>
      <c r="C166">
        <f>IFERROR(INDEX($S$53:$S$853,ROW()-52),"")</f>
        <v/>
      </c>
      <c r="D166">
        <f>IFERROR(INDEX($W$53:$W$853,ROW()-52),"")</f>
        <v/>
      </c>
      <c r="E166">
        <f>IFERROR(C166-D166,"")</f>
        <v/>
      </c>
    </row>
    <row r="167">
      <c r="B167" s="23">
        <f>IFERROR(INDEX($R$53:$R$853,ROW()-52),"")</f>
        <v/>
      </c>
      <c r="C167">
        <f>IFERROR(INDEX($S$53:$S$853,ROW()-52),"")</f>
        <v/>
      </c>
      <c r="D167">
        <f>IFERROR(INDEX($W$53:$W$853,ROW()-52),"")</f>
        <v/>
      </c>
      <c r="E167">
        <f>IFERROR(C167-D167,"")</f>
        <v/>
      </c>
    </row>
    <row r="168">
      <c r="B168" s="23">
        <f>IFERROR(INDEX($R$53:$R$853,ROW()-52),"")</f>
        <v/>
      </c>
      <c r="C168">
        <f>IFERROR(INDEX($S$53:$S$853,ROW()-52),"")</f>
        <v/>
      </c>
      <c r="D168">
        <f>IFERROR(INDEX($W$53:$W$853,ROW()-52),"")</f>
        <v/>
      </c>
      <c r="E168">
        <f>IFERROR(C168-D168,"")</f>
        <v/>
      </c>
    </row>
    <row r="169">
      <c r="B169" s="23">
        <f>IFERROR(INDEX($R$53:$R$853,ROW()-52),"")</f>
        <v/>
      </c>
      <c r="C169">
        <f>IFERROR(INDEX($S$53:$S$853,ROW()-52),"")</f>
        <v/>
      </c>
      <c r="D169">
        <f>IFERROR(INDEX($W$53:$W$853,ROW()-52),"")</f>
        <v/>
      </c>
      <c r="E169">
        <f>IFERROR(C169-D169,"")</f>
        <v/>
      </c>
    </row>
    <row r="170">
      <c r="B170" s="23">
        <f>IFERROR(INDEX($R$53:$R$853,ROW()-52),"")</f>
        <v/>
      </c>
      <c r="C170">
        <f>IFERROR(INDEX($S$53:$S$853,ROW()-52),"")</f>
        <v/>
      </c>
      <c r="D170">
        <f>IFERROR(INDEX($W$53:$W$853,ROW()-52),"")</f>
        <v/>
      </c>
      <c r="E170">
        <f>IFERROR(C170-D170,"")</f>
        <v/>
      </c>
    </row>
    <row r="171">
      <c r="B171" s="23">
        <f>IFERROR(INDEX($R$53:$R$853,ROW()-52),"")</f>
        <v/>
      </c>
      <c r="C171">
        <f>IFERROR(INDEX($S$53:$S$853,ROW()-52),"")</f>
        <v/>
      </c>
      <c r="D171">
        <f>IFERROR(INDEX($W$53:$W$853,ROW()-52),"")</f>
        <v/>
      </c>
      <c r="E171">
        <f>IFERROR(C171-D171,"")</f>
        <v/>
      </c>
    </row>
    <row r="172">
      <c r="B172" s="23">
        <f>IFERROR(INDEX($R$53:$R$853,ROW()-52),"")</f>
        <v/>
      </c>
      <c r="C172">
        <f>IFERROR(INDEX($S$53:$S$853,ROW()-52),"")</f>
        <v/>
      </c>
      <c r="D172">
        <f>IFERROR(INDEX($W$53:$W$853,ROW()-52),"")</f>
        <v/>
      </c>
      <c r="E172">
        <f>IFERROR(C172-D172,"")</f>
        <v/>
      </c>
    </row>
    <row r="173">
      <c r="B173" s="23">
        <f>IFERROR(INDEX($R$53:$R$853,ROW()-52),"")</f>
        <v/>
      </c>
      <c r="C173">
        <f>IFERROR(INDEX($S$53:$S$853,ROW()-52),"")</f>
        <v/>
      </c>
      <c r="D173">
        <f>IFERROR(INDEX($W$53:$W$853,ROW()-52),"")</f>
        <v/>
      </c>
      <c r="E173">
        <f>IFERROR(C173-D173,"")</f>
        <v/>
      </c>
    </row>
    <row r="174">
      <c r="B174" s="23">
        <f>IFERROR(INDEX($R$53:$R$853,ROW()-52),"")</f>
        <v/>
      </c>
      <c r="C174">
        <f>IFERROR(INDEX($S$53:$S$853,ROW()-52),"")</f>
        <v/>
      </c>
      <c r="D174">
        <f>IFERROR(INDEX($W$53:$W$853,ROW()-52),"")</f>
        <v/>
      </c>
      <c r="E174">
        <f>IFERROR(C174-D174,"")</f>
        <v/>
      </c>
    </row>
    <row r="175">
      <c r="B175" s="23">
        <f>IFERROR(INDEX($R$53:$R$853,ROW()-52),"")</f>
        <v/>
      </c>
      <c r="C175">
        <f>IFERROR(INDEX($S$53:$S$853,ROW()-52),"")</f>
        <v/>
      </c>
      <c r="D175">
        <f>IFERROR(INDEX($W$53:$W$853,ROW()-52),"")</f>
        <v/>
      </c>
      <c r="E175">
        <f>IFERROR(C175-D175,"")</f>
        <v/>
      </c>
    </row>
    <row r="176">
      <c r="B176" s="23">
        <f>IFERROR(INDEX($R$53:$R$853,ROW()-52),"")</f>
        <v/>
      </c>
      <c r="C176">
        <f>IFERROR(INDEX($S$53:$S$853,ROW()-52),"")</f>
        <v/>
      </c>
      <c r="D176">
        <f>IFERROR(INDEX($W$53:$W$853,ROW()-52),"")</f>
        <v/>
      </c>
      <c r="E176">
        <f>IFERROR(C176-D176,"")</f>
        <v/>
      </c>
    </row>
    <row r="177">
      <c r="B177" s="23">
        <f>IFERROR(INDEX($R$53:$R$853,ROW()-52),"")</f>
        <v/>
      </c>
      <c r="C177">
        <f>IFERROR(INDEX($S$53:$S$853,ROW()-52),"")</f>
        <v/>
      </c>
      <c r="D177">
        <f>IFERROR(INDEX($W$53:$W$853,ROW()-52),"")</f>
        <v/>
      </c>
      <c r="E177">
        <f>IFERROR(C177-D177,"")</f>
        <v/>
      </c>
    </row>
    <row r="178">
      <c r="B178" s="23">
        <f>IFERROR(INDEX($R$53:$R$853,ROW()-52),"")</f>
        <v/>
      </c>
      <c r="C178">
        <f>IFERROR(INDEX($S$53:$S$853,ROW()-52),"")</f>
        <v/>
      </c>
      <c r="D178">
        <f>IFERROR(INDEX($W$53:$W$853,ROW()-52),"")</f>
        <v/>
      </c>
      <c r="E178">
        <f>IFERROR(C178-D178,"")</f>
        <v/>
      </c>
    </row>
    <row r="179">
      <c r="B179" s="23">
        <f>IFERROR(INDEX($R$53:$R$853,ROW()-52),"")</f>
        <v/>
      </c>
      <c r="C179">
        <f>IFERROR(INDEX($S$53:$S$853,ROW()-52),"")</f>
        <v/>
      </c>
      <c r="D179">
        <f>IFERROR(INDEX($W$53:$W$853,ROW()-52),"")</f>
        <v/>
      </c>
      <c r="E179">
        <f>IFERROR(C179-D179,"")</f>
        <v/>
      </c>
    </row>
    <row r="180">
      <c r="B180" s="23">
        <f>IFERROR(INDEX($R$53:$R$853,ROW()-52),"")</f>
        <v/>
      </c>
      <c r="C180">
        <f>IFERROR(INDEX($S$53:$S$853,ROW()-52),"")</f>
        <v/>
      </c>
      <c r="D180">
        <f>IFERROR(INDEX($W$53:$W$853,ROW()-52),"")</f>
        <v/>
      </c>
      <c r="E180">
        <f>IFERROR(C180-D180,"")</f>
        <v/>
      </c>
    </row>
    <row r="181">
      <c r="B181" s="23">
        <f>IFERROR(INDEX($R$53:$R$853,ROW()-52),"")</f>
        <v/>
      </c>
      <c r="C181">
        <f>IFERROR(INDEX($S$53:$S$853,ROW()-52),"")</f>
        <v/>
      </c>
      <c r="D181">
        <f>IFERROR(INDEX($W$53:$W$853,ROW()-52),"")</f>
        <v/>
      </c>
      <c r="E181">
        <f>IFERROR(C181-D181,"")</f>
        <v/>
      </c>
    </row>
    <row r="182">
      <c r="B182" s="23">
        <f>IFERROR(INDEX($R$53:$R$853,ROW()-52),"")</f>
        <v/>
      </c>
      <c r="C182">
        <f>IFERROR(INDEX($S$53:$S$853,ROW()-52),"")</f>
        <v/>
      </c>
      <c r="D182">
        <f>IFERROR(INDEX($W$53:$W$853,ROW()-52),"")</f>
        <v/>
      </c>
      <c r="E182">
        <f>IFERROR(C182-D182,"")</f>
        <v/>
      </c>
    </row>
    <row r="183">
      <c r="B183" s="23">
        <f>IFERROR(INDEX($R$53:$R$853,ROW()-52),"")</f>
        <v/>
      </c>
      <c r="C183">
        <f>IFERROR(INDEX($S$53:$S$853,ROW()-52),"")</f>
        <v/>
      </c>
      <c r="D183">
        <f>IFERROR(INDEX($W$53:$W$853,ROW()-52),"")</f>
        <v/>
      </c>
      <c r="E183">
        <f>IFERROR(C183-D183,"")</f>
        <v/>
      </c>
    </row>
    <row r="184">
      <c r="B184" s="23">
        <f>IFERROR(INDEX($R$53:$R$853,ROW()-52),"")</f>
        <v/>
      </c>
      <c r="C184">
        <f>IFERROR(INDEX($S$53:$S$853,ROW()-52),"")</f>
        <v/>
      </c>
      <c r="D184">
        <f>IFERROR(INDEX($W$53:$W$853,ROW()-52),"")</f>
        <v/>
      </c>
      <c r="E184">
        <f>IFERROR(C184-D184,"")</f>
        <v/>
      </c>
    </row>
    <row r="185">
      <c r="B185" s="23">
        <f>IFERROR(INDEX($R$53:$R$853,ROW()-52),"")</f>
        <v/>
      </c>
      <c r="C185">
        <f>IFERROR(INDEX($S$53:$S$853,ROW()-52),"")</f>
        <v/>
      </c>
      <c r="D185">
        <f>IFERROR(INDEX($W$53:$W$853,ROW()-52),"")</f>
        <v/>
      </c>
      <c r="E185">
        <f>IFERROR(C185-D185,"")</f>
        <v/>
      </c>
    </row>
    <row r="186">
      <c r="B186" s="23">
        <f>IFERROR(INDEX($R$53:$R$853,ROW()-52),"")</f>
        <v/>
      </c>
      <c r="C186">
        <f>IFERROR(INDEX($S$53:$S$853,ROW()-52),"")</f>
        <v/>
      </c>
      <c r="D186">
        <f>IFERROR(INDEX($W$53:$W$853,ROW()-52),"")</f>
        <v/>
      </c>
      <c r="E186">
        <f>IFERROR(C186-D186,"")</f>
        <v/>
      </c>
    </row>
    <row r="187">
      <c r="B187" s="23">
        <f>IFERROR(INDEX($R$53:$R$853,ROW()-52),"")</f>
        <v/>
      </c>
      <c r="C187">
        <f>IFERROR(INDEX($S$53:$S$853,ROW()-52),"")</f>
        <v/>
      </c>
      <c r="D187">
        <f>IFERROR(INDEX($W$53:$W$853,ROW()-52),"")</f>
        <v/>
      </c>
      <c r="E187">
        <f>IFERROR(C187-D187,"")</f>
        <v/>
      </c>
    </row>
    <row r="188">
      <c r="B188" s="23">
        <f>IFERROR(INDEX($R$53:$R$853,ROW()-52),"")</f>
        <v/>
      </c>
      <c r="C188">
        <f>IFERROR(INDEX($S$53:$S$853,ROW()-52),"")</f>
        <v/>
      </c>
      <c r="D188">
        <f>IFERROR(INDEX($W$53:$W$853,ROW()-52),"")</f>
        <v/>
      </c>
      <c r="E188">
        <f>IFERROR(C188-D188,"")</f>
        <v/>
      </c>
    </row>
    <row r="189">
      <c r="B189" s="23">
        <f>IFERROR(INDEX($R$53:$R$853,ROW()-52),"")</f>
        <v/>
      </c>
      <c r="C189">
        <f>IFERROR(INDEX($S$53:$S$853,ROW()-52),"")</f>
        <v/>
      </c>
      <c r="D189">
        <f>IFERROR(INDEX($W$53:$W$853,ROW()-52),"")</f>
        <v/>
      </c>
      <c r="E189">
        <f>IFERROR(C189-D189,"")</f>
        <v/>
      </c>
    </row>
    <row r="190">
      <c r="B190" s="23">
        <f>IFERROR(INDEX($R$53:$R$853,ROW()-52),"")</f>
        <v/>
      </c>
      <c r="C190">
        <f>IFERROR(INDEX($S$53:$S$853,ROW()-52),"")</f>
        <v/>
      </c>
      <c r="D190">
        <f>IFERROR(INDEX($W$53:$W$853,ROW()-52),"")</f>
        <v/>
      </c>
      <c r="E190">
        <f>IFERROR(C190-D190,"")</f>
        <v/>
      </c>
    </row>
    <row r="191">
      <c r="B191" s="23">
        <f>IFERROR(INDEX($R$53:$R$853,ROW()-52),"")</f>
        <v/>
      </c>
      <c r="C191">
        <f>IFERROR(INDEX($S$53:$S$853,ROW()-52),"")</f>
        <v/>
      </c>
      <c r="D191">
        <f>IFERROR(INDEX($W$53:$W$853,ROW()-52),"")</f>
        <v/>
      </c>
      <c r="E191">
        <f>IFERROR(C191-D191,"")</f>
        <v/>
      </c>
    </row>
    <row r="192">
      <c r="B192" s="23">
        <f>IFERROR(INDEX($R$53:$R$853,ROW()-52),"")</f>
        <v/>
      </c>
      <c r="C192">
        <f>IFERROR(INDEX($S$53:$S$853,ROW()-52),"")</f>
        <v/>
      </c>
      <c r="D192">
        <f>IFERROR(INDEX($W$53:$W$853,ROW()-52),"")</f>
        <v/>
      </c>
      <c r="E192">
        <f>IFERROR(C192-D192,"")</f>
        <v/>
      </c>
    </row>
    <row r="193">
      <c r="B193" s="23">
        <f>IFERROR(INDEX($R$53:$R$853,ROW()-52),"")</f>
        <v/>
      </c>
      <c r="C193">
        <f>IFERROR(INDEX($S$53:$S$853,ROW()-52),"")</f>
        <v/>
      </c>
      <c r="D193">
        <f>IFERROR(INDEX($W$53:$W$853,ROW()-52),"")</f>
        <v/>
      </c>
      <c r="E193">
        <f>IFERROR(C193-D193,"")</f>
        <v/>
      </c>
    </row>
    <row r="194">
      <c r="B194" s="23">
        <f>IFERROR(INDEX($R$53:$R$853,ROW()-52),"")</f>
        <v/>
      </c>
      <c r="C194">
        <f>IFERROR(INDEX($S$53:$S$853,ROW()-52),"")</f>
        <v/>
      </c>
      <c r="D194">
        <f>IFERROR(INDEX($W$53:$W$853,ROW()-52),"")</f>
        <v/>
      </c>
      <c r="E194">
        <f>IFERROR(C194-D194,"")</f>
        <v/>
      </c>
    </row>
    <row r="195">
      <c r="B195" s="23">
        <f>IFERROR(INDEX($R$53:$R$853,ROW()-52),"")</f>
        <v/>
      </c>
      <c r="C195">
        <f>IFERROR(INDEX($S$53:$S$853,ROW()-52),"")</f>
        <v/>
      </c>
      <c r="D195">
        <f>IFERROR(INDEX($W$53:$W$853,ROW()-52),"")</f>
        <v/>
      </c>
      <c r="E195">
        <f>IFERROR(C195-D195,"")</f>
        <v/>
      </c>
    </row>
    <row r="196">
      <c r="B196" s="23">
        <f>IFERROR(INDEX($R$53:$R$853,ROW()-52),"")</f>
        <v/>
      </c>
      <c r="C196">
        <f>IFERROR(INDEX($S$53:$S$853,ROW()-52),"")</f>
        <v/>
      </c>
      <c r="D196">
        <f>IFERROR(INDEX($W$53:$W$853,ROW()-52),"")</f>
        <v/>
      </c>
      <c r="E196">
        <f>IFERROR(C196-D196,"")</f>
        <v/>
      </c>
    </row>
    <row r="197">
      <c r="B197" s="23">
        <f>IFERROR(INDEX($R$53:$R$853,ROW()-52),"")</f>
        <v/>
      </c>
      <c r="C197">
        <f>IFERROR(INDEX($S$53:$S$853,ROW()-52),"")</f>
        <v/>
      </c>
      <c r="D197">
        <f>IFERROR(INDEX($W$53:$W$853,ROW()-52),"")</f>
        <v/>
      </c>
      <c r="E197">
        <f>IFERROR(C197-D197,"")</f>
        <v/>
      </c>
    </row>
    <row r="198">
      <c r="B198" s="23">
        <f>IFERROR(INDEX($R$53:$R$853,ROW()-52),"")</f>
        <v/>
      </c>
      <c r="C198">
        <f>IFERROR(INDEX($S$53:$S$853,ROW()-52),"")</f>
        <v/>
      </c>
      <c r="D198">
        <f>IFERROR(INDEX($W$53:$W$853,ROW()-52),"")</f>
        <v/>
      </c>
      <c r="E198">
        <f>IFERROR(C198-D198,"")</f>
        <v/>
      </c>
    </row>
    <row r="199">
      <c r="B199" s="23">
        <f>IFERROR(INDEX($R$53:$R$853,ROW()-52),"")</f>
        <v/>
      </c>
      <c r="C199">
        <f>IFERROR(INDEX($S$53:$S$853,ROW()-52),"")</f>
        <v/>
      </c>
      <c r="D199">
        <f>IFERROR(INDEX($W$53:$W$853,ROW()-52),"")</f>
        <v/>
      </c>
      <c r="E199">
        <f>IFERROR(C199-D199,"")</f>
        <v/>
      </c>
    </row>
    <row r="200">
      <c r="B200" s="23">
        <f>IFERROR(INDEX($R$53:$R$853,ROW()-52),"")</f>
        <v/>
      </c>
      <c r="C200">
        <f>IFERROR(INDEX($S$53:$S$853,ROW()-52),"")</f>
        <v/>
      </c>
      <c r="D200">
        <f>IFERROR(INDEX($W$53:$W$853,ROW()-52),"")</f>
        <v/>
      </c>
      <c r="E200">
        <f>IFERROR(C200-D200,"")</f>
        <v/>
      </c>
    </row>
    <row r="201">
      <c r="B201" s="23">
        <f>IFERROR(INDEX($R$53:$R$853,ROW()-52),"")</f>
        <v/>
      </c>
      <c r="C201">
        <f>IFERROR(INDEX($S$53:$S$853,ROW()-52),"")</f>
        <v/>
      </c>
      <c r="D201">
        <f>IFERROR(INDEX($W$53:$W$853,ROW()-52),"")</f>
        <v/>
      </c>
      <c r="E201">
        <f>IFERROR(C201-D201,"")</f>
        <v/>
      </c>
    </row>
    <row r="202">
      <c r="B202" s="23">
        <f>IFERROR(INDEX($R$53:$R$853,ROW()-52),"")</f>
        <v/>
      </c>
      <c r="C202">
        <f>IFERROR(INDEX($S$53:$S$853,ROW()-52),"")</f>
        <v/>
      </c>
      <c r="D202">
        <f>IFERROR(INDEX($W$53:$W$853,ROW()-52),"")</f>
        <v/>
      </c>
      <c r="E202">
        <f>IFERROR(C202-D202,"")</f>
        <v/>
      </c>
    </row>
    <row r="203">
      <c r="B203" s="23">
        <f>IFERROR(INDEX($R$53:$R$853,ROW()-52),"")</f>
        <v/>
      </c>
      <c r="C203">
        <f>IFERROR(INDEX($S$53:$S$853,ROW()-52),"")</f>
        <v/>
      </c>
      <c r="D203">
        <f>IFERROR(INDEX($W$53:$W$853,ROW()-52),"")</f>
        <v/>
      </c>
      <c r="E203">
        <f>IFERROR(C203-D203,"")</f>
        <v/>
      </c>
    </row>
    <row r="204">
      <c r="B204" s="23">
        <f>IFERROR(INDEX($R$53:$R$853,ROW()-52),"")</f>
        <v/>
      </c>
      <c r="C204">
        <f>IFERROR(INDEX($S$53:$S$853,ROW()-52),"")</f>
        <v/>
      </c>
      <c r="D204">
        <f>IFERROR(INDEX($W$53:$W$853,ROW()-52),"")</f>
        <v/>
      </c>
      <c r="E204">
        <f>IFERROR(C204-D204,"")</f>
        <v/>
      </c>
    </row>
    <row r="205">
      <c r="B205" s="23">
        <f>IFERROR(INDEX($R$53:$R$853,ROW()-52),"")</f>
        <v/>
      </c>
      <c r="C205">
        <f>IFERROR(INDEX($S$53:$S$853,ROW()-52),"")</f>
        <v/>
      </c>
      <c r="D205">
        <f>IFERROR(INDEX($W$53:$W$853,ROW()-52),"")</f>
        <v/>
      </c>
      <c r="E205">
        <f>IFERROR(C205-D205,"")</f>
        <v/>
      </c>
    </row>
    <row r="206">
      <c r="B206" s="23">
        <f>IFERROR(INDEX($R$53:$R$853,ROW()-52),"")</f>
        <v/>
      </c>
      <c r="C206">
        <f>IFERROR(INDEX($S$53:$S$853,ROW()-52),"")</f>
        <v/>
      </c>
      <c r="D206">
        <f>IFERROR(INDEX($W$53:$W$853,ROW()-52),"")</f>
        <v/>
      </c>
      <c r="E206">
        <f>IFERROR(C206-D206,"")</f>
        <v/>
      </c>
    </row>
    <row r="207">
      <c r="B207" s="23">
        <f>IFERROR(INDEX($R$53:$R$853,ROW()-52),"")</f>
        <v/>
      </c>
      <c r="C207">
        <f>IFERROR(INDEX($S$53:$S$853,ROW()-52),"")</f>
        <v/>
      </c>
      <c r="D207">
        <f>IFERROR(INDEX($W$53:$W$853,ROW()-52),"")</f>
        <v/>
      </c>
      <c r="E207">
        <f>IFERROR(C207-D207,"")</f>
        <v/>
      </c>
    </row>
    <row r="208">
      <c r="B208" s="23">
        <f>IFERROR(INDEX($R$53:$R$853,ROW()-52),"")</f>
        <v/>
      </c>
      <c r="C208">
        <f>IFERROR(INDEX($S$53:$S$853,ROW()-52),"")</f>
        <v/>
      </c>
      <c r="D208">
        <f>IFERROR(INDEX($W$53:$W$853,ROW()-52),"")</f>
        <v/>
      </c>
      <c r="E208">
        <f>IFERROR(C208-D208,"")</f>
        <v/>
      </c>
    </row>
    <row r="209">
      <c r="B209" s="23">
        <f>IFERROR(INDEX($R$53:$R$853,ROW()-52),"")</f>
        <v/>
      </c>
      <c r="C209">
        <f>IFERROR(INDEX($S$53:$S$853,ROW()-52),"")</f>
        <v/>
      </c>
      <c r="D209">
        <f>IFERROR(INDEX($W$53:$W$853,ROW()-52),"")</f>
        <v/>
      </c>
      <c r="E209">
        <f>IFERROR(C209-D209,"")</f>
        <v/>
      </c>
    </row>
    <row r="210">
      <c r="B210" s="23">
        <f>IFERROR(INDEX($R$53:$R$853,ROW()-52),"")</f>
        <v/>
      </c>
      <c r="C210">
        <f>IFERROR(INDEX($S$53:$S$853,ROW()-52),"")</f>
        <v/>
      </c>
      <c r="D210">
        <f>IFERROR(INDEX($W$53:$W$853,ROW()-52),"")</f>
        <v/>
      </c>
      <c r="E210">
        <f>IFERROR(C210-D210,"")</f>
        <v/>
      </c>
    </row>
    <row r="211">
      <c r="B211" s="23">
        <f>IFERROR(INDEX($R$53:$R$853,ROW()-52),"")</f>
        <v/>
      </c>
      <c r="C211">
        <f>IFERROR(INDEX($S$53:$S$853,ROW()-52),"")</f>
        <v/>
      </c>
      <c r="D211">
        <f>IFERROR(INDEX($W$53:$W$853,ROW()-52),"")</f>
        <v/>
      </c>
      <c r="E211">
        <f>IFERROR(C211-D211,"")</f>
        <v/>
      </c>
    </row>
    <row r="212">
      <c r="B212" s="23">
        <f>IFERROR(INDEX($R$53:$R$853,ROW()-52),"")</f>
        <v/>
      </c>
      <c r="C212">
        <f>IFERROR(INDEX($S$53:$S$853,ROW()-52),"")</f>
        <v/>
      </c>
      <c r="D212">
        <f>IFERROR(INDEX($W$53:$W$853,ROW()-52),"")</f>
        <v/>
      </c>
      <c r="E212">
        <f>IFERROR(C212-D212,"")</f>
        <v/>
      </c>
    </row>
    <row r="213">
      <c r="B213" s="23">
        <f>IFERROR(INDEX($R$53:$R$853,ROW()-52),"")</f>
        <v/>
      </c>
      <c r="C213">
        <f>IFERROR(INDEX($S$53:$S$853,ROW()-52),"")</f>
        <v/>
      </c>
      <c r="D213">
        <f>IFERROR(INDEX($W$53:$W$853,ROW()-52),"")</f>
        <v/>
      </c>
      <c r="E213">
        <f>IFERROR(C213-D213,"")</f>
        <v/>
      </c>
    </row>
    <row r="214">
      <c r="B214" s="23">
        <f>IFERROR(INDEX($R$53:$R$853,ROW()-52),"")</f>
        <v/>
      </c>
      <c r="C214">
        <f>IFERROR(INDEX($S$53:$S$853,ROW()-52),"")</f>
        <v/>
      </c>
      <c r="D214">
        <f>IFERROR(INDEX($W$53:$W$853,ROW()-52),"")</f>
        <v/>
      </c>
      <c r="E214">
        <f>IFERROR(C214-D214,"")</f>
        <v/>
      </c>
    </row>
    <row r="215">
      <c r="B215" s="23">
        <f>IFERROR(INDEX($R$53:$R$853,ROW()-52),"")</f>
        <v/>
      </c>
      <c r="C215">
        <f>IFERROR(INDEX($S$53:$S$853,ROW()-52),"")</f>
        <v/>
      </c>
      <c r="D215">
        <f>IFERROR(INDEX($W$53:$W$853,ROW()-52),"")</f>
        <v/>
      </c>
      <c r="E215">
        <f>IFERROR(C215-D215,"")</f>
        <v/>
      </c>
    </row>
    <row r="216">
      <c r="B216" s="23">
        <f>IFERROR(INDEX($R$53:$R$853,ROW()-52),"")</f>
        <v/>
      </c>
      <c r="C216">
        <f>IFERROR(INDEX($S$53:$S$853,ROW()-52),"")</f>
        <v/>
      </c>
      <c r="D216">
        <f>IFERROR(INDEX($W$53:$W$853,ROW()-52),"")</f>
        <v/>
      </c>
      <c r="E216">
        <f>IFERROR(C216-D216,"")</f>
        <v/>
      </c>
    </row>
    <row r="217">
      <c r="B217" s="23">
        <f>IFERROR(INDEX($R$53:$R$853,ROW()-52),"")</f>
        <v/>
      </c>
      <c r="C217">
        <f>IFERROR(INDEX($S$53:$S$853,ROW()-52),"")</f>
        <v/>
      </c>
      <c r="D217">
        <f>IFERROR(INDEX($W$53:$W$853,ROW()-52),"")</f>
        <v/>
      </c>
      <c r="E217">
        <f>IFERROR(C217-D217,"")</f>
        <v/>
      </c>
    </row>
    <row r="218">
      <c r="B218" s="23">
        <f>IFERROR(INDEX($R$53:$R$853,ROW()-52),"")</f>
        <v/>
      </c>
      <c r="C218">
        <f>IFERROR(INDEX($S$53:$S$853,ROW()-52),"")</f>
        <v/>
      </c>
      <c r="D218">
        <f>IFERROR(INDEX($W$53:$W$853,ROW()-52),"")</f>
        <v/>
      </c>
      <c r="E218">
        <f>IFERROR(C218-D218,"")</f>
        <v/>
      </c>
    </row>
    <row r="219">
      <c r="B219" s="23">
        <f>IFERROR(INDEX($R$53:$R$853,ROW()-52),"")</f>
        <v/>
      </c>
      <c r="C219">
        <f>IFERROR(INDEX($S$53:$S$853,ROW()-52),"")</f>
        <v/>
      </c>
      <c r="D219">
        <f>IFERROR(INDEX($W$53:$W$853,ROW()-52),"")</f>
        <v/>
      </c>
      <c r="E219">
        <f>IFERROR(C219-D219,"")</f>
        <v/>
      </c>
    </row>
    <row r="220">
      <c r="B220" s="23">
        <f>IFERROR(INDEX($R$53:$R$853,ROW()-52),"")</f>
        <v/>
      </c>
      <c r="C220">
        <f>IFERROR(INDEX($S$53:$S$853,ROW()-52),"")</f>
        <v/>
      </c>
      <c r="D220">
        <f>IFERROR(INDEX($W$53:$W$853,ROW()-52),"")</f>
        <v/>
      </c>
      <c r="E220">
        <f>IFERROR(C220-D220,"")</f>
        <v/>
      </c>
    </row>
    <row r="221">
      <c r="B221" s="23">
        <f>IFERROR(INDEX($R$53:$R$853,ROW()-52),"")</f>
        <v/>
      </c>
      <c r="C221">
        <f>IFERROR(INDEX($S$53:$S$853,ROW()-52),"")</f>
        <v/>
      </c>
      <c r="D221">
        <f>IFERROR(INDEX($W$53:$W$853,ROW()-52),"")</f>
        <v/>
      </c>
      <c r="E221">
        <f>IFERROR(C221-D221,"")</f>
        <v/>
      </c>
    </row>
    <row r="222">
      <c r="B222" s="23">
        <f>IFERROR(INDEX($R$53:$R$853,ROW()-52),"")</f>
        <v/>
      </c>
      <c r="C222">
        <f>IFERROR(INDEX($S$53:$S$853,ROW()-52),"")</f>
        <v/>
      </c>
      <c r="D222">
        <f>IFERROR(INDEX($W$53:$W$853,ROW()-52),"")</f>
        <v/>
      </c>
      <c r="E222">
        <f>IFERROR(C222-D222,"")</f>
        <v/>
      </c>
    </row>
    <row r="223">
      <c r="B223" s="23">
        <f>IFERROR(INDEX($R$53:$R$853,ROW()-52),"")</f>
        <v/>
      </c>
      <c r="C223">
        <f>IFERROR(INDEX($S$53:$S$853,ROW()-52),"")</f>
        <v/>
      </c>
      <c r="D223">
        <f>IFERROR(INDEX($W$53:$W$853,ROW()-52),"")</f>
        <v/>
      </c>
      <c r="E223">
        <f>IFERROR(C223-D223,"")</f>
        <v/>
      </c>
    </row>
    <row r="224">
      <c r="B224" s="23">
        <f>IFERROR(INDEX($R$53:$R$853,ROW()-52),"")</f>
        <v/>
      </c>
      <c r="C224">
        <f>IFERROR(INDEX($S$53:$S$853,ROW()-52),"")</f>
        <v/>
      </c>
      <c r="D224">
        <f>IFERROR(INDEX($W$53:$W$853,ROW()-52),"")</f>
        <v/>
      </c>
      <c r="E224">
        <f>IFERROR(C224-D224,"")</f>
        <v/>
      </c>
    </row>
    <row r="225">
      <c r="B225" s="23">
        <f>IFERROR(INDEX($R$53:$R$853,ROW()-52),"")</f>
        <v/>
      </c>
      <c r="C225">
        <f>IFERROR(INDEX($S$53:$S$853,ROW()-52),"")</f>
        <v/>
      </c>
      <c r="D225">
        <f>IFERROR(INDEX($W$53:$W$853,ROW()-52),"")</f>
        <v/>
      </c>
      <c r="E225">
        <f>IFERROR(C225-D225,"")</f>
        <v/>
      </c>
    </row>
    <row r="226">
      <c r="B226" s="23">
        <f>IFERROR(INDEX($R$53:$R$853,ROW()-52),"")</f>
        <v/>
      </c>
      <c r="C226">
        <f>IFERROR(INDEX($S$53:$S$853,ROW()-52),"")</f>
        <v/>
      </c>
      <c r="D226">
        <f>IFERROR(INDEX($W$53:$W$853,ROW()-52),"")</f>
        <v/>
      </c>
      <c r="E226">
        <f>IFERROR(C226-D226,"")</f>
        <v/>
      </c>
    </row>
    <row r="227">
      <c r="B227" s="23">
        <f>IFERROR(INDEX($R$53:$R$853,ROW()-52),"")</f>
        <v/>
      </c>
      <c r="C227">
        <f>IFERROR(INDEX($S$53:$S$853,ROW()-52),"")</f>
        <v/>
      </c>
      <c r="D227">
        <f>IFERROR(INDEX($W$53:$W$853,ROW()-52),"")</f>
        <v/>
      </c>
      <c r="E227">
        <f>IFERROR(C227-D227,"")</f>
        <v/>
      </c>
    </row>
    <row r="228">
      <c r="B228" s="23">
        <f>IFERROR(INDEX($R$53:$R$853,ROW()-52),"")</f>
        <v/>
      </c>
      <c r="C228">
        <f>IFERROR(INDEX($S$53:$S$853,ROW()-52),"")</f>
        <v/>
      </c>
      <c r="D228">
        <f>IFERROR(INDEX($W$53:$W$853,ROW()-52),"")</f>
        <v/>
      </c>
      <c r="E228">
        <f>IFERROR(C228-D228,"")</f>
        <v/>
      </c>
    </row>
    <row r="229">
      <c r="B229" s="23">
        <f>IFERROR(INDEX($R$53:$R$853,ROW()-52),"")</f>
        <v/>
      </c>
      <c r="C229">
        <f>IFERROR(INDEX($S$53:$S$853,ROW()-52),"")</f>
        <v/>
      </c>
      <c r="D229">
        <f>IFERROR(INDEX($W$53:$W$853,ROW()-52),"")</f>
        <v/>
      </c>
      <c r="E229">
        <f>IFERROR(C229-D229,"")</f>
        <v/>
      </c>
    </row>
    <row r="230">
      <c r="B230" s="23">
        <f>IFERROR(INDEX($R$53:$R$853,ROW()-52),"")</f>
        <v/>
      </c>
      <c r="C230">
        <f>IFERROR(INDEX($S$53:$S$853,ROW()-52),"")</f>
        <v/>
      </c>
      <c r="D230">
        <f>IFERROR(INDEX($W$53:$W$853,ROW()-52),"")</f>
        <v/>
      </c>
      <c r="E230">
        <f>IFERROR(C230-D230,"")</f>
        <v/>
      </c>
    </row>
    <row r="231">
      <c r="B231" s="23">
        <f>IFERROR(INDEX($R$53:$R$853,ROW()-52),"")</f>
        <v/>
      </c>
      <c r="C231">
        <f>IFERROR(INDEX($S$53:$S$853,ROW()-52),"")</f>
        <v/>
      </c>
      <c r="D231">
        <f>IFERROR(INDEX($W$53:$W$853,ROW()-52),"")</f>
        <v/>
      </c>
      <c r="E231">
        <f>IFERROR(C231-D231,"")</f>
        <v/>
      </c>
    </row>
    <row r="232">
      <c r="B232" s="23">
        <f>IFERROR(INDEX($R$53:$R$853,ROW()-52),"")</f>
        <v/>
      </c>
      <c r="C232">
        <f>IFERROR(INDEX($S$53:$S$853,ROW()-52),"")</f>
        <v/>
      </c>
      <c r="D232">
        <f>IFERROR(INDEX($W$53:$W$853,ROW()-52),"")</f>
        <v/>
      </c>
      <c r="E232">
        <f>IFERROR(C232-D232,"")</f>
        <v/>
      </c>
    </row>
    <row r="233">
      <c r="B233" s="23">
        <f>IFERROR(INDEX($R$53:$R$853,ROW()-52),"")</f>
        <v/>
      </c>
      <c r="C233">
        <f>IFERROR(INDEX($S$53:$S$853,ROW()-52),"")</f>
        <v/>
      </c>
      <c r="D233">
        <f>IFERROR(INDEX($W$53:$W$853,ROW()-52),"")</f>
        <v/>
      </c>
      <c r="E233">
        <f>IFERROR(C233-D233,"")</f>
        <v/>
      </c>
    </row>
    <row r="234">
      <c r="B234" s="23">
        <f>IFERROR(INDEX($R$53:$R$853,ROW()-52),"")</f>
        <v/>
      </c>
      <c r="C234">
        <f>IFERROR(INDEX($S$53:$S$853,ROW()-52),"")</f>
        <v/>
      </c>
      <c r="D234">
        <f>IFERROR(INDEX($W$53:$W$853,ROW()-52),"")</f>
        <v/>
      </c>
      <c r="E234">
        <f>IFERROR(C234-D234,"")</f>
        <v/>
      </c>
    </row>
    <row r="235">
      <c r="B235" s="23">
        <f>IFERROR(INDEX($R$53:$R$853,ROW()-52),"")</f>
        <v/>
      </c>
      <c r="C235">
        <f>IFERROR(INDEX($S$53:$S$853,ROW()-52),"")</f>
        <v/>
      </c>
      <c r="D235">
        <f>IFERROR(INDEX($W$53:$W$853,ROW()-52),"")</f>
        <v/>
      </c>
      <c r="E235">
        <f>IFERROR(C235-D235,"")</f>
        <v/>
      </c>
    </row>
    <row r="236">
      <c r="B236" s="23">
        <f>IFERROR(INDEX($R$53:$R$853,ROW()-52),"")</f>
        <v/>
      </c>
      <c r="C236">
        <f>IFERROR(INDEX($S$53:$S$853,ROW()-52),"")</f>
        <v/>
      </c>
      <c r="D236">
        <f>IFERROR(INDEX($W$53:$W$853,ROW()-52),"")</f>
        <v/>
      </c>
      <c r="E236">
        <f>IFERROR(C236-D236,"")</f>
        <v/>
      </c>
    </row>
    <row r="237">
      <c r="B237" s="23">
        <f>IFERROR(INDEX($R$53:$R$853,ROW()-52),"")</f>
        <v/>
      </c>
      <c r="C237">
        <f>IFERROR(INDEX($S$53:$S$853,ROW()-52),"")</f>
        <v/>
      </c>
      <c r="D237">
        <f>IFERROR(INDEX($W$53:$W$853,ROW()-52),"")</f>
        <v/>
      </c>
      <c r="E237">
        <f>IFERROR(C237-D237,"")</f>
        <v/>
      </c>
    </row>
    <row r="238">
      <c r="B238" s="23">
        <f>IFERROR(INDEX($R$53:$R$853,ROW()-52),"")</f>
        <v/>
      </c>
      <c r="C238">
        <f>IFERROR(INDEX($S$53:$S$853,ROW()-52),"")</f>
        <v/>
      </c>
      <c r="D238">
        <f>IFERROR(INDEX($W$53:$W$853,ROW()-52),"")</f>
        <v/>
      </c>
      <c r="E238">
        <f>IFERROR(C238-D238,"")</f>
        <v/>
      </c>
    </row>
    <row r="239">
      <c r="B239" s="23">
        <f>IFERROR(INDEX($R$53:$R$853,ROW()-52),"")</f>
        <v/>
      </c>
      <c r="C239">
        <f>IFERROR(INDEX($S$53:$S$853,ROW()-52),"")</f>
        <v/>
      </c>
      <c r="D239">
        <f>IFERROR(INDEX($W$53:$W$853,ROW()-52),"")</f>
        <v/>
      </c>
      <c r="E239">
        <f>IFERROR(C239-D239,"")</f>
        <v/>
      </c>
    </row>
    <row r="240">
      <c r="B240" s="23">
        <f>IFERROR(INDEX($R$53:$R$853,ROW()-52),"")</f>
        <v/>
      </c>
      <c r="C240">
        <f>IFERROR(INDEX($S$53:$S$853,ROW()-52),"")</f>
        <v/>
      </c>
      <c r="D240">
        <f>IFERROR(INDEX($W$53:$W$853,ROW()-52),"")</f>
        <v/>
      </c>
      <c r="E240">
        <f>IFERROR(C240-D240,"")</f>
        <v/>
      </c>
    </row>
    <row r="241">
      <c r="B241" s="23">
        <f>IFERROR(INDEX($R$53:$R$853,ROW()-52),"")</f>
        <v/>
      </c>
      <c r="C241">
        <f>IFERROR(INDEX($S$53:$S$853,ROW()-52),"")</f>
        <v/>
      </c>
      <c r="D241">
        <f>IFERROR(INDEX($W$53:$W$853,ROW()-52),"")</f>
        <v/>
      </c>
      <c r="E241">
        <f>IFERROR(C241-D241,"")</f>
        <v/>
      </c>
    </row>
    <row r="242">
      <c r="B242" s="23">
        <f>IFERROR(INDEX($R$53:$R$853,ROW()-52),"")</f>
        <v/>
      </c>
      <c r="C242">
        <f>IFERROR(INDEX($S$53:$S$853,ROW()-52),"")</f>
        <v/>
      </c>
      <c r="D242">
        <f>IFERROR(INDEX($W$53:$W$853,ROW()-52),"")</f>
        <v/>
      </c>
      <c r="E242">
        <f>IFERROR(C242-D242,"")</f>
        <v/>
      </c>
    </row>
    <row r="243">
      <c r="B243" s="23">
        <f>IFERROR(INDEX($R$53:$R$853,ROW()-52),"")</f>
        <v/>
      </c>
      <c r="C243">
        <f>IFERROR(INDEX($S$53:$S$853,ROW()-52),"")</f>
        <v/>
      </c>
      <c r="D243">
        <f>IFERROR(INDEX($W$53:$W$853,ROW()-52),"")</f>
        <v/>
      </c>
      <c r="E243">
        <f>IFERROR(C243-D243,"")</f>
        <v/>
      </c>
    </row>
    <row r="244">
      <c r="B244" s="23">
        <f>IFERROR(INDEX($R$53:$R$853,ROW()-52),"")</f>
        <v/>
      </c>
      <c r="C244">
        <f>IFERROR(INDEX($S$53:$S$853,ROW()-52),"")</f>
        <v/>
      </c>
      <c r="D244">
        <f>IFERROR(INDEX($W$53:$W$853,ROW()-52),"")</f>
        <v/>
      </c>
      <c r="E244">
        <f>IFERROR(C244-D244,"")</f>
        <v/>
      </c>
    </row>
    <row r="245">
      <c r="B245" s="23">
        <f>IFERROR(INDEX($R$53:$R$853,ROW()-52),"")</f>
        <v/>
      </c>
      <c r="C245">
        <f>IFERROR(INDEX($S$53:$S$853,ROW()-52),"")</f>
        <v/>
      </c>
      <c r="D245">
        <f>IFERROR(INDEX($W$53:$W$853,ROW()-52),"")</f>
        <v/>
      </c>
      <c r="E245">
        <f>IFERROR(C245-D245,"")</f>
        <v/>
      </c>
    </row>
    <row r="246">
      <c r="B246" s="23">
        <f>IFERROR(INDEX($R$53:$R$853,ROW()-52),"")</f>
        <v/>
      </c>
      <c r="C246">
        <f>IFERROR(INDEX($S$53:$S$853,ROW()-52),"")</f>
        <v/>
      </c>
      <c r="D246">
        <f>IFERROR(INDEX($W$53:$W$853,ROW()-52),"")</f>
        <v/>
      </c>
      <c r="E246">
        <f>IFERROR(C246-D246,"")</f>
        <v/>
      </c>
    </row>
    <row r="247">
      <c r="B247" s="23">
        <f>IFERROR(INDEX($R$53:$R$853,ROW()-52),"")</f>
        <v/>
      </c>
      <c r="C247">
        <f>IFERROR(INDEX($S$53:$S$853,ROW()-52),"")</f>
        <v/>
      </c>
      <c r="D247">
        <f>IFERROR(INDEX($W$53:$W$853,ROW()-52),"")</f>
        <v/>
      </c>
      <c r="E247">
        <f>IFERROR(C247-D247,"")</f>
        <v/>
      </c>
    </row>
    <row r="248">
      <c r="B248" s="23">
        <f>IFERROR(INDEX($R$53:$R$853,ROW()-52),"")</f>
        <v/>
      </c>
      <c r="C248">
        <f>IFERROR(INDEX($S$53:$S$853,ROW()-52),"")</f>
        <v/>
      </c>
      <c r="D248">
        <f>IFERROR(INDEX($W$53:$W$853,ROW()-52),"")</f>
        <v/>
      </c>
      <c r="E248">
        <f>IFERROR(C248-D248,"")</f>
        <v/>
      </c>
    </row>
    <row r="249">
      <c r="B249" s="23">
        <f>IFERROR(INDEX($R$53:$R$853,ROW()-52),"")</f>
        <v/>
      </c>
      <c r="C249">
        <f>IFERROR(INDEX($S$53:$S$853,ROW()-52),"")</f>
        <v/>
      </c>
      <c r="D249">
        <f>IFERROR(INDEX($W$53:$W$853,ROW()-52),"")</f>
        <v/>
      </c>
      <c r="E249">
        <f>IFERROR(C249-D249,"")</f>
        <v/>
      </c>
    </row>
    <row r="250">
      <c r="B250" s="23">
        <f>IFERROR(INDEX($R$53:$R$853,ROW()-52),"")</f>
        <v/>
      </c>
      <c r="C250">
        <f>IFERROR(INDEX($S$53:$S$853,ROW()-52),"")</f>
        <v/>
      </c>
      <c r="D250">
        <f>IFERROR(INDEX($W$53:$W$853,ROW()-52),"")</f>
        <v/>
      </c>
      <c r="E250">
        <f>IFERROR(C250-D250,"")</f>
        <v/>
      </c>
    </row>
    <row r="251">
      <c r="B251" s="23">
        <f>IFERROR(INDEX($R$53:$R$853,ROW()-52),"")</f>
        <v/>
      </c>
      <c r="C251">
        <f>IFERROR(INDEX($S$53:$S$853,ROW()-52),"")</f>
        <v/>
      </c>
      <c r="D251">
        <f>IFERROR(INDEX($W$53:$W$853,ROW()-52),"")</f>
        <v/>
      </c>
      <c r="E251">
        <f>IFERROR(C251-D251,"")</f>
        <v/>
      </c>
    </row>
    <row r="252">
      <c r="B252" s="23">
        <f>IFERROR(INDEX($R$53:$R$853,ROW()-52),"")</f>
        <v/>
      </c>
      <c r="C252">
        <f>IFERROR(INDEX($S$53:$S$853,ROW()-52),"")</f>
        <v/>
      </c>
      <c r="D252">
        <f>IFERROR(INDEX($W$53:$W$853,ROW()-52),"")</f>
        <v/>
      </c>
      <c r="E252">
        <f>IFERROR(C252-D252,"")</f>
        <v/>
      </c>
    </row>
    <row r="253">
      <c r="B253" s="23">
        <f>IFERROR(INDEX($R$53:$R$853,ROW()-52),"")</f>
        <v/>
      </c>
      <c r="C253">
        <f>IFERROR(INDEX($S$53:$S$853,ROW()-52),"")</f>
        <v/>
      </c>
      <c r="D253">
        <f>IFERROR(INDEX($W$53:$W$853,ROW()-52),"")</f>
        <v/>
      </c>
      <c r="E253">
        <f>IFERROR(C253-D253,"")</f>
        <v/>
      </c>
    </row>
    <row r="254">
      <c r="B254" s="23">
        <f>IFERROR(INDEX($R$53:$R$853,ROW()-52),"")</f>
        <v/>
      </c>
      <c r="C254">
        <f>IFERROR(INDEX($S$53:$S$853,ROW()-52),"")</f>
        <v/>
      </c>
      <c r="D254">
        <f>IFERROR(INDEX($W$53:$W$853,ROW()-52),"")</f>
        <v/>
      </c>
      <c r="E254">
        <f>IFERROR(C254-D254,"")</f>
        <v/>
      </c>
    </row>
    <row r="255">
      <c r="B255" s="23">
        <f>IFERROR(INDEX($R$53:$R$853,ROW()-52),"")</f>
        <v/>
      </c>
      <c r="C255">
        <f>IFERROR(INDEX($S$53:$S$853,ROW()-52),"")</f>
        <v/>
      </c>
      <c r="D255">
        <f>IFERROR(INDEX($W$53:$W$853,ROW()-52),"")</f>
        <v/>
      </c>
      <c r="E255">
        <f>IFERROR(C255-D255,"")</f>
        <v/>
      </c>
    </row>
    <row r="256">
      <c r="B256" s="23">
        <f>IFERROR(INDEX($R$53:$R$853,ROW()-52),"")</f>
        <v/>
      </c>
      <c r="C256">
        <f>IFERROR(INDEX($S$53:$S$853,ROW()-52),"")</f>
        <v/>
      </c>
      <c r="D256">
        <f>IFERROR(INDEX($W$53:$W$853,ROW()-52),"")</f>
        <v/>
      </c>
      <c r="E256">
        <f>IFERROR(C256-D256,"")</f>
        <v/>
      </c>
    </row>
    <row r="257">
      <c r="B257" s="23">
        <f>IFERROR(INDEX($R$53:$R$853,ROW()-52),"")</f>
        <v/>
      </c>
      <c r="C257">
        <f>IFERROR(INDEX($S$53:$S$853,ROW()-52),"")</f>
        <v/>
      </c>
      <c r="D257">
        <f>IFERROR(INDEX($W$53:$W$853,ROW()-52),"")</f>
        <v/>
      </c>
      <c r="E257">
        <f>IFERROR(C257-D257,"")</f>
        <v/>
      </c>
    </row>
    <row r="258">
      <c r="B258" s="23">
        <f>IFERROR(INDEX($R$53:$R$853,ROW()-52),"")</f>
        <v/>
      </c>
      <c r="C258">
        <f>IFERROR(INDEX($S$53:$S$853,ROW()-52),"")</f>
        <v/>
      </c>
      <c r="D258">
        <f>IFERROR(INDEX($W$53:$W$853,ROW()-52),"")</f>
        <v/>
      </c>
      <c r="E258">
        <f>IFERROR(C258-D258,"")</f>
        <v/>
      </c>
    </row>
    <row r="259">
      <c r="B259" s="23">
        <f>IFERROR(INDEX($R$53:$R$853,ROW()-52),"")</f>
        <v/>
      </c>
      <c r="C259">
        <f>IFERROR(INDEX($S$53:$S$853,ROW()-52),"")</f>
        <v/>
      </c>
      <c r="D259">
        <f>IFERROR(INDEX($W$53:$W$853,ROW()-52),"")</f>
        <v/>
      </c>
      <c r="E259">
        <f>IFERROR(C259-D259,"")</f>
        <v/>
      </c>
    </row>
    <row r="260">
      <c r="B260" s="23">
        <f>IFERROR(INDEX($R$53:$R$853,ROW()-52),"")</f>
        <v/>
      </c>
      <c r="C260">
        <f>IFERROR(INDEX($S$53:$S$853,ROW()-52),"")</f>
        <v/>
      </c>
      <c r="D260">
        <f>IFERROR(INDEX($W$53:$W$853,ROW()-52),"")</f>
        <v/>
      </c>
      <c r="E260">
        <f>IFERROR(C260-D260,"")</f>
        <v/>
      </c>
    </row>
    <row r="261">
      <c r="B261" s="23">
        <f>IFERROR(INDEX($R$53:$R$853,ROW()-52),"")</f>
        <v/>
      </c>
      <c r="C261">
        <f>IFERROR(INDEX($S$53:$S$853,ROW()-52),"")</f>
        <v/>
      </c>
      <c r="D261">
        <f>IFERROR(INDEX($W$53:$W$853,ROW()-52),"")</f>
        <v/>
      </c>
      <c r="E261">
        <f>IFERROR(C261-D261,"")</f>
        <v/>
      </c>
    </row>
    <row r="262">
      <c r="B262" s="23">
        <f>IFERROR(INDEX($R$53:$R$853,ROW()-52),"")</f>
        <v/>
      </c>
      <c r="C262">
        <f>IFERROR(INDEX($S$53:$S$853,ROW()-52),"")</f>
        <v/>
      </c>
      <c r="D262">
        <f>IFERROR(INDEX($W$53:$W$853,ROW()-52),"")</f>
        <v/>
      </c>
      <c r="E262">
        <f>IFERROR(C262-D262,"")</f>
        <v/>
      </c>
    </row>
    <row r="263">
      <c r="B263" s="23">
        <f>IFERROR(INDEX($R$53:$R$853,ROW()-52),"")</f>
        <v/>
      </c>
      <c r="C263">
        <f>IFERROR(INDEX($S$53:$S$853,ROW()-52),"")</f>
        <v/>
      </c>
      <c r="D263">
        <f>IFERROR(INDEX($W$53:$W$853,ROW()-52),"")</f>
        <v/>
      </c>
      <c r="E263">
        <f>IFERROR(C263-D263,"")</f>
        <v/>
      </c>
    </row>
    <row r="264">
      <c r="B264" s="23">
        <f>IFERROR(INDEX($R$53:$R$853,ROW()-52),"")</f>
        <v/>
      </c>
      <c r="C264">
        <f>IFERROR(INDEX($S$53:$S$853,ROW()-52),"")</f>
        <v/>
      </c>
      <c r="D264">
        <f>IFERROR(INDEX($W$53:$W$853,ROW()-52),"")</f>
        <v/>
      </c>
      <c r="E264">
        <f>IFERROR(C264-D264,"")</f>
        <v/>
      </c>
    </row>
    <row r="265">
      <c r="B265" s="23">
        <f>IFERROR(INDEX($R$53:$R$853,ROW()-52),"")</f>
        <v/>
      </c>
      <c r="C265">
        <f>IFERROR(INDEX($S$53:$S$853,ROW()-52),"")</f>
        <v/>
      </c>
      <c r="D265">
        <f>IFERROR(INDEX($W$53:$W$853,ROW()-52),"")</f>
        <v/>
      </c>
      <c r="E265">
        <f>IFERROR(C265-D265,"")</f>
        <v/>
      </c>
    </row>
    <row r="266">
      <c r="B266" s="23">
        <f>IFERROR(INDEX($R$53:$R$853,ROW()-52),"")</f>
        <v/>
      </c>
      <c r="C266">
        <f>IFERROR(INDEX($S$53:$S$853,ROW()-52),"")</f>
        <v/>
      </c>
      <c r="D266">
        <f>IFERROR(INDEX($W$53:$W$853,ROW()-52),"")</f>
        <v/>
      </c>
      <c r="E266">
        <f>IFERROR(C266-D266,"")</f>
        <v/>
      </c>
    </row>
    <row r="267">
      <c r="B267" s="23">
        <f>IFERROR(INDEX($R$53:$R$853,ROW()-52),"")</f>
        <v/>
      </c>
      <c r="C267">
        <f>IFERROR(INDEX($S$53:$S$853,ROW()-52),"")</f>
        <v/>
      </c>
      <c r="D267">
        <f>IFERROR(INDEX($W$53:$W$853,ROW()-52),"")</f>
        <v/>
      </c>
      <c r="E267">
        <f>IFERROR(C267-D267,"")</f>
        <v/>
      </c>
    </row>
    <row r="268">
      <c r="B268" s="23">
        <f>IFERROR(INDEX($R$53:$R$853,ROW()-52),"")</f>
        <v/>
      </c>
      <c r="C268">
        <f>IFERROR(INDEX($S$53:$S$853,ROW()-52),"")</f>
        <v/>
      </c>
      <c r="D268">
        <f>IFERROR(INDEX($W$53:$W$853,ROW()-52),"")</f>
        <v/>
      </c>
      <c r="E268">
        <f>IFERROR(C268-D268,"")</f>
        <v/>
      </c>
    </row>
    <row r="269">
      <c r="B269" s="23">
        <f>IFERROR(INDEX($R$53:$R$853,ROW()-52),"")</f>
        <v/>
      </c>
      <c r="C269">
        <f>IFERROR(INDEX($S$53:$S$853,ROW()-52),"")</f>
        <v/>
      </c>
      <c r="D269">
        <f>IFERROR(INDEX($W$53:$W$853,ROW()-52),"")</f>
        <v/>
      </c>
      <c r="E269">
        <f>IFERROR(C269-D269,"")</f>
        <v/>
      </c>
    </row>
    <row r="270">
      <c r="B270" s="23">
        <f>IFERROR(INDEX($R$53:$R$853,ROW()-52),"")</f>
        <v/>
      </c>
      <c r="C270">
        <f>IFERROR(INDEX($S$53:$S$853,ROW()-52),"")</f>
        <v/>
      </c>
      <c r="D270">
        <f>IFERROR(INDEX($W$53:$W$853,ROW()-52),"")</f>
        <v/>
      </c>
      <c r="E270">
        <f>IFERROR(C270-D270,"")</f>
        <v/>
      </c>
    </row>
    <row r="271">
      <c r="B271" s="23">
        <f>IFERROR(INDEX($R$53:$R$853,ROW()-52),"")</f>
        <v/>
      </c>
      <c r="C271">
        <f>IFERROR(INDEX($S$53:$S$853,ROW()-52),"")</f>
        <v/>
      </c>
      <c r="D271">
        <f>IFERROR(INDEX($W$53:$W$853,ROW()-52),"")</f>
        <v/>
      </c>
      <c r="E271">
        <f>IFERROR(C271-D271,"")</f>
        <v/>
      </c>
    </row>
    <row r="272">
      <c r="B272" s="23">
        <f>IFERROR(INDEX($R$53:$R$853,ROW()-52),"")</f>
        <v/>
      </c>
      <c r="C272">
        <f>IFERROR(INDEX($S$53:$S$853,ROW()-52),"")</f>
        <v/>
      </c>
      <c r="D272">
        <f>IFERROR(INDEX($W$53:$W$853,ROW()-52),"")</f>
        <v/>
      </c>
      <c r="E272">
        <f>IFERROR(C272-D272,"")</f>
        <v/>
      </c>
    </row>
    <row r="273">
      <c r="B273" s="23">
        <f>IFERROR(INDEX($R$53:$R$853,ROW()-52),"")</f>
        <v/>
      </c>
      <c r="C273">
        <f>IFERROR(INDEX($S$53:$S$853,ROW()-52),"")</f>
        <v/>
      </c>
      <c r="D273">
        <f>IFERROR(INDEX($W$53:$W$853,ROW()-52),"")</f>
        <v/>
      </c>
      <c r="E273">
        <f>IFERROR(C273-D273,"")</f>
        <v/>
      </c>
    </row>
    <row r="274">
      <c r="B274" s="23">
        <f>IFERROR(INDEX($R$53:$R$853,ROW()-52),"")</f>
        <v/>
      </c>
      <c r="C274">
        <f>IFERROR(INDEX($S$53:$S$853,ROW()-52),"")</f>
        <v/>
      </c>
      <c r="D274">
        <f>IFERROR(INDEX($W$53:$W$853,ROW()-52),"")</f>
        <v/>
      </c>
      <c r="E274">
        <f>IFERROR(C274-D274,"")</f>
        <v/>
      </c>
    </row>
    <row r="275">
      <c r="B275" s="23">
        <f>IFERROR(INDEX($R$53:$R$853,ROW()-52),"")</f>
        <v/>
      </c>
      <c r="C275">
        <f>IFERROR(INDEX($S$53:$S$853,ROW()-52),"")</f>
        <v/>
      </c>
      <c r="D275">
        <f>IFERROR(INDEX($W$53:$W$853,ROW()-52),"")</f>
        <v/>
      </c>
      <c r="E275">
        <f>IFERROR(C275-D275,"")</f>
        <v/>
      </c>
    </row>
    <row r="276">
      <c r="B276" s="23">
        <f>IFERROR(INDEX($R$53:$R$853,ROW()-52),"")</f>
        <v/>
      </c>
      <c r="C276">
        <f>IFERROR(INDEX($S$53:$S$853,ROW()-52),"")</f>
        <v/>
      </c>
      <c r="D276">
        <f>IFERROR(INDEX($W$53:$W$853,ROW()-52),"")</f>
        <v/>
      </c>
      <c r="E276">
        <f>IFERROR(C276-D276,"")</f>
        <v/>
      </c>
    </row>
    <row r="277">
      <c r="B277" s="23">
        <f>IFERROR(INDEX($R$53:$R$853,ROW()-52),"")</f>
        <v/>
      </c>
      <c r="C277">
        <f>IFERROR(INDEX($S$53:$S$853,ROW()-52),"")</f>
        <v/>
      </c>
      <c r="D277">
        <f>IFERROR(INDEX($W$53:$W$853,ROW()-52),"")</f>
        <v/>
      </c>
      <c r="E277">
        <f>IFERROR(C277-D277,"")</f>
        <v/>
      </c>
    </row>
    <row r="278">
      <c r="B278" s="23">
        <f>IFERROR(INDEX($R$53:$R$853,ROW()-52),"")</f>
        <v/>
      </c>
      <c r="C278">
        <f>IFERROR(INDEX($S$53:$S$853,ROW()-52),"")</f>
        <v/>
      </c>
      <c r="D278">
        <f>IFERROR(INDEX($W$53:$W$853,ROW()-52),"")</f>
        <v/>
      </c>
      <c r="E278">
        <f>IFERROR(C278-D278,"")</f>
        <v/>
      </c>
    </row>
    <row r="279">
      <c r="B279" s="23">
        <f>IFERROR(INDEX($R$53:$R$853,ROW()-52),"")</f>
        <v/>
      </c>
      <c r="C279">
        <f>IFERROR(INDEX($S$53:$S$853,ROW()-52),"")</f>
        <v/>
      </c>
      <c r="D279">
        <f>IFERROR(INDEX($W$53:$W$853,ROW()-52),"")</f>
        <v/>
      </c>
      <c r="E279">
        <f>IFERROR(C279-D279,"")</f>
        <v/>
      </c>
    </row>
    <row r="280">
      <c r="B280" s="23">
        <f>IFERROR(INDEX($R$53:$R$853,ROW()-52),"")</f>
        <v/>
      </c>
      <c r="C280">
        <f>IFERROR(INDEX($S$53:$S$853,ROW()-52),"")</f>
        <v/>
      </c>
      <c r="D280">
        <f>IFERROR(INDEX($W$53:$W$853,ROW()-52),"")</f>
        <v/>
      </c>
      <c r="E280">
        <f>IFERROR(C280-D280,"")</f>
        <v/>
      </c>
    </row>
    <row r="281">
      <c r="B281" s="23">
        <f>IFERROR(INDEX($R$53:$R$853,ROW()-52),"")</f>
        <v/>
      </c>
      <c r="C281">
        <f>IFERROR(INDEX($S$53:$S$853,ROW()-52),"")</f>
        <v/>
      </c>
      <c r="D281">
        <f>IFERROR(INDEX($W$53:$W$853,ROW()-52),"")</f>
        <v/>
      </c>
      <c r="E281">
        <f>IFERROR(C281-D281,"")</f>
        <v/>
      </c>
    </row>
    <row r="282">
      <c r="B282" s="23">
        <f>IFERROR(INDEX($R$53:$R$853,ROW()-52),"")</f>
        <v/>
      </c>
      <c r="C282">
        <f>IFERROR(INDEX($S$53:$S$853,ROW()-52),"")</f>
        <v/>
      </c>
      <c r="D282">
        <f>IFERROR(INDEX($W$53:$W$853,ROW()-52),"")</f>
        <v/>
      </c>
      <c r="E282">
        <f>IFERROR(C282-D282,"")</f>
        <v/>
      </c>
    </row>
    <row r="283">
      <c r="B283" s="23">
        <f>IFERROR(INDEX($R$53:$R$853,ROW()-52),"")</f>
        <v/>
      </c>
      <c r="C283">
        <f>IFERROR(INDEX($S$53:$S$853,ROW()-52),"")</f>
        <v/>
      </c>
      <c r="D283">
        <f>IFERROR(INDEX($W$53:$W$853,ROW()-52),"")</f>
        <v/>
      </c>
      <c r="E283">
        <f>IFERROR(C283-D283,"")</f>
        <v/>
      </c>
    </row>
    <row r="284">
      <c r="B284" s="23">
        <f>IFERROR(INDEX($R$53:$R$853,ROW()-52),"")</f>
        <v/>
      </c>
      <c r="C284">
        <f>IFERROR(INDEX($S$53:$S$853,ROW()-52),"")</f>
        <v/>
      </c>
      <c r="D284">
        <f>IFERROR(INDEX($W$53:$W$853,ROW()-52),"")</f>
        <v/>
      </c>
      <c r="E284">
        <f>IFERROR(C284-D284,"")</f>
        <v/>
      </c>
    </row>
    <row r="285">
      <c r="B285" s="23">
        <f>IFERROR(INDEX($R$53:$R$853,ROW()-52),"")</f>
        <v/>
      </c>
      <c r="C285">
        <f>IFERROR(INDEX($S$53:$S$853,ROW()-52),"")</f>
        <v/>
      </c>
      <c r="D285">
        <f>IFERROR(INDEX($W$53:$W$853,ROW()-52),"")</f>
        <v/>
      </c>
      <c r="E285">
        <f>IFERROR(C285-D285,"")</f>
        <v/>
      </c>
    </row>
    <row r="286">
      <c r="B286" s="23">
        <f>IFERROR(INDEX($R$53:$R$853,ROW()-52),"")</f>
        <v/>
      </c>
      <c r="C286">
        <f>IFERROR(INDEX($S$53:$S$853,ROW()-52),"")</f>
        <v/>
      </c>
      <c r="D286">
        <f>IFERROR(INDEX($W$53:$W$853,ROW()-52),"")</f>
        <v/>
      </c>
      <c r="E286">
        <f>IFERROR(C286-D286,"")</f>
        <v/>
      </c>
    </row>
    <row r="287">
      <c r="B287" s="23">
        <f>IFERROR(INDEX($R$53:$R$853,ROW()-52),"")</f>
        <v/>
      </c>
      <c r="C287">
        <f>IFERROR(INDEX($S$53:$S$853,ROW()-52),"")</f>
        <v/>
      </c>
      <c r="D287">
        <f>IFERROR(INDEX($W$53:$W$853,ROW()-52),"")</f>
        <v/>
      </c>
      <c r="E287">
        <f>IFERROR(C287-D287,"")</f>
        <v/>
      </c>
    </row>
    <row r="288">
      <c r="B288" s="23">
        <f>IFERROR(INDEX($R$53:$R$853,ROW()-52),"")</f>
        <v/>
      </c>
      <c r="C288">
        <f>IFERROR(INDEX($S$53:$S$853,ROW()-52),"")</f>
        <v/>
      </c>
      <c r="D288">
        <f>IFERROR(INDEX($W$53:$W$853,ROW()-52),"")</f>
        <v/>
      </c>
      <c r="E288">
        <f>IFERROR(C288-D288,"")</f>
        <v/>
      </c>
    </row>
    <row r="289">
      <c r="B289" s="23">
        <f>IFERROR(INDEX($R$53:$R$853,ROW()-52),"")</f>
        <v/>
      </c>
      <c r="C289">
        <f>IFERROR(INDEX($S$53:$S$853,ROW()-52),"")</f>
        <v/>
      </c>
      <c r="D289">
        <f>IFERROR(INDEX($W$53:$W$853,ROW()-52),"")</f>
        <v/>
      </c>
      <c r="E289">
        <f>IFERROR(C289-D289,"")</f>
        <v/>
      </c>
    </row>
    <row r="290">
      <c r="B290" s="23">
        <f>IFERROR(INDEX($R$53:$R$853,ROW()-52),"")</f>
        <v/>
      </c>
      <c r="C290">
        <f>IFERROR(INDEX($S$53:$S$853,ROW()-52),"")</f>
        <v/>
      </c>
      <c r="D290">
        <f>IFERROR(INDEX($W$53:$W$853,ROW()-52),"")</f>
        <v/>
      </c>
      <c r="E290">
        <f>IFERROR(C290-D290,"")</f>
        <v/>
      </c>
    </row>
    <row r="291">
      <c r="B291" s="23">
        <f>IFERROR(INDEX($R$53:$R$853,ROW()-52),"")</f>
        <v/>
      </c>
      <c r="C291">
        <f>IFERROR(INDEX($S$53:$S$853,ROW()-52),"")</f>
        <v/>
      </c>
      <c r="D291">
        <f>IFERROR(INDEX($W$53:$W$853,ROW()-52),"")</f>
        <v/>
      </c>
      <c r="E291">
        <f>IFERROR(C291-D291,"")</f>
        <v/>
      </c>
    </row>
    <row r="292">
      <c r="B292" s="23">
        <f>IFERROR(INDEX($R$53:$R$853,ROW()-52),"")</f>
        <v/>
      </c>
      <c r="C292">
        <f>IFERROR(INDEX($S$53:$S$853,ROW()-52),"")</f>
        <v/>
      </c>
      <c r="D292">
        <f>IFERROR(INDEX($W$53:$W$853,ROW()-52),"")</f>
        <v/>
      </c>
      <c r="E292">
        <f>IFERROR(C292-D292,"")</f>
        <v/>
      </c>
    </row>
    <row r="293">
      <c r="B293" s="23">
        <f>IFERROR(INDEX($R$53:$R$853,ROW()-52),"")</f>
        <v/>
      </c>
      <c r="C293">
        <f>IFERROR(INDEX($S$53:$S$853,ROW()-52),"")</f>
        <v/>
      </c>
      <c r="D293">
        <f>IFERROR(INDEX($W$53:$W$853,ROW()-52),"")</f>
        <v/>
      </c>
      <c r="E293">
        <f>IFERROR(C293-D293,"")</f>
        <v/>
      </c>
    </row>
    <row r="294">
      <c r="B294" s="23">
        <f>IFERROR(INDEX($R$53:$R$853,ROW()-52),"")</f>
        <v/>
      </c>
      <c r="C294">
        <f>IFERROR(INDEX($S$53:$S$853,ROW()-52),"")</f>
        <v/>
      </c>
      <c r="D294">
        <f>IFERROR(INDEX($W$53:$W$853,ROW()-52),"")</f>
        <v/>
      </c>
      <c r="E294">
        <f>IFERROR(C294-D294,"")</f>
        <v/>
      </c>
    </row>
    <row r="295">
      <c r="B295" s="23">
        <f>IFERROR(INDEX($R$53:$R$853,ROW()-52),"")</f>
        <v/>
      </c>
      <c r="C295">
        <f>IFERROR(INDEX($S$53:$S$853,ROW()-52),"")</f>
        <v/>
      </c>
      <c r="D295">
        <f>IFERROR(INDEX($W$53:$W$853,ROW()-52),"")</f>
        <v/>
      </c>
      <c r="E295">
        <f>IFERROR(C295-D295,"")</f>
        <v/>
      </c>
    </row>
    <row r="296">
      <c r="B296" s="23">
        <f>IFERROR(INDEX($R$53:$R$853,ROW()-52),"")</f>
        <v/>
      </c>
      <c r="C296">
        <f>IFERROR(INDEX($S$53:$S$853,ROW()-52),"")</f>
        <v/>
      </c>
      <c r="D296">
        <f>IFERROR(INDEX($W$53:$W$853,ROW()-52),"")</f>
        <v/>
      </c>
      <c r="E296">
        <f>IFERROR(C296-D296,"")</f>
        <v/>
      </c>
    </row>
    <row r="297">
      <c r="B297" s="23">
        <f>IFERROR(INDEX($R$53:$R$853,ROW()-52),"")</f>
        <v/>
      </c>
      <c r="C297">
        <f>IFERROR(INDEX($S$53:$S$853,ROW()-52),"")</f>
        <v/>
      </c>
      <c r="D297">
        <f>IFERROR(INDEX($W$53:$W$853,ROW()-52),"")</f>
        <v/>
      </c>
      <c r="E297">
        <f>IFERROR(C297-D297,"")</f>
        <v/>
      </c>
    </row>
    <row r="298">
      <c r="B298" s="23">
        <f>IFERROR(INDEX($R$53:$R$853,ROW()-52),"")</f>
        <v/>
      </c>
      <c r="C298">
        <f>IFERROR(INDEX($S$53:$S$853,ROW()-52),"")</f>
        <v/>
      </c>
      <c r="D298">
        <f>IFERROR(INDEX($W$53:$W$853,ROW()-52),"")</f>
        <v/>
      </c>
      <c r="E298">
        <f>IFERROR(C298-D298,"")</f>
        <v/>
      </c>
    </row>
    <row r="299">
      <c r="B299" s="23">
        <f>IFERROR(INDEX($R$53:$R$853,ROW()-52),"")</f>
        <v/>
      </c>
      <c r="C299">
        <f>IFERROR(INDEX($S$53:$S$853,ROW()-52),"")</f>
        <v/>
      </c>
      <c r="D299">
        <f>IFERROR(INDEX($W$53:$W$853,ROW()-52),"")</f>
        <v/>
      </c>
      <c r="E299">
        <f>IFERROR(C299-D299,"")</f>
        <v/>
      </c>
    </row>
    <row r="300">
      <c r="B300" s="23">
        <f>IFERROR(INDEX($R$53:$R$853,ROW()-52),"")</f>
        <v/>
      </c>
      <c r="C300">
        <f>IFERROR(INDEX($S$53:$S$853,ROW()-52),"")</f>
        <v/>
      </c>
      <c r="D300">
        <f>IFERROR(INDEX($W$53:$W$853,ROW()-52),"")</f>
        <v/>
      </c>
      <c r="E300">
        <f>IFERROR(C300-D300,"")</f>
        <v/>
      </c>
    </row>
    <row r="301">
      <c r="B301" s="23">
        <f>IFERROR(INDEX($R$53:$R$853,ROW()-52),"")</f>
        <v/>
      </c>
      <c r="C301">
        <f>IFERROR(INDEX($S$53:$S$853,ROW()-52),"")</f>
        <v/>
      </c>
      <c r="D301">
        <f>IFERROR(INDEX($W$53:$W$853,ROW()-52),"")</f>
        <v/>
      </c>
      <c r="E301">
        <f>IFERROR(C301-D301,"")</f>
        <v/>
      </c>
    </row>
    <row r="302">
      <c r="B302" s="23">
        <f>IFERROR(INDEX($R$53:$R$853,ROW()-52),"")</f>
        <v/>
      </c>
      <c r="C302">
        <f>IFERROR(INDEX($S$53:$S$853,ROW()-52),"")</f>
        <v/>
      </c>
      <c r="D302">
        <f>IFERROR(INDEX($W$53:$W$853,ROW()-52),"")</f>
        <v/>
      </c>
      <c r="E302">
        <f>IFERROR(C302-D302,"")</f>
        <v/>
      </c>
    </row>
    <row r="303">
      <c r="B303" s="23">
        <f>IFERROR(INDEX($R$53:$R$853,ROW()-52),"")</f>
        <v/>
      </c>
      <c r="C303">
        <f>IFERROR(INDEX($S$53:$S$853,ROW()-52),"")</f>
        <v/>
      </c>
      <c r="D303">
        <f>IFERROR(INDEX($W$53:$W$853,ROW()-52),"")</f>
        <v/>
      </c>
      <c r="E303">
        <f>IFERROR(C303-D303,"")</f>
        <v/>
      </c>
    </row>
    <row r="304">
      <c r="B304" s="23">
        <f>IFERROR(INDEX($R$53:$R$853,ROW()-52),"")</f>
        <v/>
      </c>
      <c r="C304">
        <f>IFERROR(INDEX($S$53:$S$853,ROW()-52),"")</f>
        <v/>
      </c>
      <c r="D304">
        <f>IFERROR(INDEX($W$53:$W$853,ROW()-52),"")</f>
        <v/>
      </c>
      <c r="E304">
        <f>IFERROR(C304-D304,"")</f>
        <v/>
      </c>
    </row>
    <row r="305">
      <c r="B305" s="23">
        <f>IFERROR(INDEX($R$53:$R$853,ROW()-52),"")</f>
        <v/>
      </c>
      <c r="C305">
        <f>IFERROR(INDEX($S$53:$S$853,ROW()-52),"")</f>
        <v/>
      </c>
      <c r="D305">
        <f>IFERROR(INDEX($W$53:$W$853,ROW()-52),"")</f>
        <v/>
      </c>
      <c r="E305">
        <f>IFERROR(C305-D305,"")</f>
        <v/>
      </c>
    </row>
    <row r="306">
      <c r="B306" s="23">
        <f>IFERROR(INDEX($R$53:$R$853,ROW()-52),"")</f>
        <v/>
      </c>
      <c r="C306">
        <f>IFERROR(INDEX($S$53:$S$853,ROW()-52),"")</f>
        <v/>
      </c>
      <c r="D306">
        <f>IFERROR(INDEX($W$53:$W$853,ROW()-52),"")</f>
        <v/>
      </c>
      <c r="E306">
        <f>IFERROR(C306-D306,"")</f>
        <v/>
      </c>
    </row>
    <row r="307">
      <c r="B307" s="23">
        <f>IFERROR(INDEX($R$53:$R$853,ROW()-52),"")</f>
        <v/>
      </c>
      <c r="C307">
        <f>IFERROR(INDEX($S$53:$S$853,ROW()-52),"")</f>
        <v/>
      </c>
      <c r="D307">
        <f>IFERROR(INDEX($W$53:$W$853,ROW()-52),"")</f>
        <v/>
      </c>
      <c r="E307">
        <f>IFERROR(C307-D307,"")</f>
        <v/>
      </c>
    </row>
    <row r="308">
      <c r="B308" s="23">
        <f>IFERROR(INDEX($R$53:$R$853,ROW()-52),"")</f>
        <v/>
      </c>
      <c r="C308">
        <f>IFERROR(INDEX($S$53:$S$853,ROW()-52),"")</f>
        <v/>
      </c>
      <c r="D308">
        <f>IFERROR(INDEX($W$53:$W$853,ROW()-52),"")</f>
        <v/>
      </c>
      <c r="E308">
        <f>IFERROR(C308-D308,"")</f>
        <v/>
      </c>
    </row>
    <row r="309">
      <c r="B309" s="23">
        <f>IFERROR(INDEX($R$53:$R$853,ROW()-52),"")</f>
        <v/>
      </c>
      <c r="C309">
        <f>IFERROR(INDEX($S$53:$S$853,ROW()-52),"")</f>
        <v/>
      </c>
      <c r="D309">
        <f>IFERROR(INDEX($W$53:$W$853,ROW()-52),"")</f>
        <v/>
      </c>
      <c r="E309">
        <f>IFERROR(C309-D309,"")</f>
        <v/>
      </c>
    </row>
    <row r="310">
      <c r="B310" s="23">
        <f>IFERROR(INDEX($R$53:$R$853,ROW()-52),"")</f>
        <v/>
      </c>
      <c r="C310">
        <f>IFERROR(INDEX($S$53:$S$853,ROW()-52),"")</f>
        <v/>
      </c>
      <c r="D310">
        <f>IFERROR(INDEX($W$53:$W$853,ROW()-52),"")</f>
        <v/>
      </c>
      <c r="E310">
        <f>IFERROR(C310-D310,"")</f>
        <v/>
      </c>
    </row>
    <row r="311">
      <c r="B311" s="23">
        <f>IFERROR(INDEX($R$53:$R$853,ROW()-52),"")</f>
        <v/>
      </c>
      <c r="C311">
        <f>IFERROR(INDEX($S$53:$S$853,ROW()-52),"")</f>
        <v/>
      </c>
      <c r="D311">
        <f>IFERROR(INDEX($W$53:$W$853,ROW()-52),"")</f>
        <v/>
      </c>
      <c r="E311">
        <f>IFERROR(C311-D311,"")</f>
        <v/>
      </c>
    </row>
    <row r="312">
      <c r="B312" s="23">
        <f>IFERROR(INDEX($R$53:$R$853,ROW()-52),"")</f>
        <v/>
      </c>
      <c r="C312">
        <f>IFERROR(INDEX($S$53:$S$853,ROW()-52),"")</f>
        <v/>
      </c>
      <c r="D312">
        <f>IFERROR(INDEX($W$53:$W$853,ROW()-52),"")</f>
        <v/>
      </c>
      <c r="E312">
        <f>IFERROR(C312-D312,"")</f>
        <v/>
      </c>
    </row>
    <row r="313">
      <c r="B313" s="23">
        <f>IFERROR(INDEX($R$53:$R$853,ROW()-52),"")</f>
        <v/>
      </c>
      <c r="C313">
        <f>IFERROR(INDEX($S$53:$S$853,ROW()-52),"")</f>
        <v/>
      </c>
      <c r="D313">
        <f>IFERROR(INDEX($W$53:$W$853,ROW()-52),"")</f>
        <v/>
      </c>
      <c r="E313">
        <f>IFERROR(C313-D313,"")</f>
        <v/>
      </c>
    </row>
    <row r="314">
      <c r="B314" s="23">
        <f>IFERROR(INDEX($R$53:$R$853,ROW()-52),"")</f>
        <v/>
      </c>
      <c r="C314">
        <f>IFERROR(INDEX($S$53:$S$853,ROW()-52),"")</f>
        <v/>
      </c>
      <c r="D314">
        <f>IFERROR(INDEX($W$53:$W$853,ROW()-52),"")</f>
        <v/>
      </c>
      <c r="E314">
        <f>IFERROR(C314-D314,"")</f>
        <v/>
      </c>
    </row>
    <row r="315">
      <c r="B315" s="23">
        <f>IFERROR(INDEX($R$53:$R$853,ROW()-52),"")</f>
        <v/>
      </c>
      <c r="C315">
        <f>IFERROR(INDEX($S$53:$S$853,ROW()-52),"")</f>
        <v/>
      </c>
      <c r="D315">
        <f>IFERROR(INDEX($W$53:$W$853,ROW()-52),"")</f>
        <v/>
      </c>
      <c r="E315">
        <f>IFERROR(C315-D315,"")</f>
        <v/>
      </c>
    </row>
    <row r="316">
      <c r="B316" s="23">
        <f>IFERROR(INDEX($R$53:$R$853,ROW()-52),"")</f>
        <v/>
      </c>
      <c r="C316">
        <f>IFERROR(INDEX($S$53:$S$853,ROW()-52),"")</f>
        <v/>
      </c>
      <c r="D316">
        <f>IFERROR(INDEX($W$53:$W$853,ROW()-52),"")</f>
        <v/>
      </c>
      <c r="E316">
        <f>IFERROR(C316-D316,"")</f>
        <v/>
      </c>
    </row>
    <row r="317">
      <c r="B317" s="23">
        <f>IFERROR(INDEX($R$53:$R$853,ROW()-52),"")</f>
        <v/>
      </c>
      <c r="C317">
        <f>IFERROR(INDEX($S$53:$S$853,ROW()-52),"")</f>
        <v/>
      </c>
      <c r="D317">
        <f>IFERROR(INDEX($W$53:$W$853,ROW()-52),"")</f>
        <v/>
      </c>
      <c r="E317">
        <f>IFERROR(C317-D317,"")</f>
        <v/>
      </c>
    </row>
    <row r="318">
      <c r="B318" s="23">
        <f>IFERROR(INDEX($R$53:$R$853,ROW()-52),"")</f>
        <v/>
      </c>
      <c r="C318">
        <f>IFERROR(INDEX($S$53:$S$853,ROW()-52),"")</f>
        <v/>
      </c>
      <c r="D318">
        <f>IFERROR(INDEX($W$53:$W$853,ROW()-52),"")</f>
        <v/>
      </c>
      <c r="E318">
        <f>IFERROR(C318-D318,"")</f>
        <v/>
      </c>
    </row>
    <row r="319">
      <c r="B319" s="23">
        <f>IFERROR(INDEX($R$53:$R$853,ROW()-52),"")</f>
        <v/>
      </c>
      <c r="C319">
        <f>IFERROR(INDEX($S$53:$S$853,ROW()-52),"")</f>
        <v/>
      </c>
      <c r="D319">
        <f>IFERROR(INDEX($W$53:$W$853,ROW()-52),"")</f>
        <v/>
      </c>
      <c r="E319">
        <f>IFERROR(C319-D319,"")</f>
        <v/>
      </c>
    </row>
    <row r="320">
      <c r="B320" s="23">
        <f>IFERROR(INDEX($R$53:$R$853,ROW()-52),"")</f>
        <v/>
      </c>
      <c r="C320">
        <f>IFERROR(INDEX($S$53:$S$853,ROW()-52),"")</f>
        <v/>
      </c>
      <c r="D320">
        <f>IFERROR(INDEX($W$53:$W$853,ROW()-52),"")</f>
        <v/>
      </c>
      <c r="E320">
        <f>IFERROR(C320-D320,"")</f>
        <v/>
      </c>
    </row>
    <row r="321">
      <c r="B321" s="23">
        <f>IFERROR(INDEX($R$53:$R$853,ROW()-52),"")</f>
        <v/>
      </c>
      <c r="C321">
        <f>IFERROR(INDEX($S$53:$S$853,ROW()-52),"")</f>
        <v/>
      </c>
      <c r="D321">
        <f>IFERROR(INDEX($W$53:$W$853,ROW()-52),"")</f>
        <v/>
      </c>
      <c r="E321">
        <f>IFERROR(C321-D321,"")</f>
        <v/>
      </c>
    </row>
    <row r="322">
      <c r="B322" s="23">
        <f>IFERROR(INDEX($R$53:$R$853,ROW()-52),"")</f>
        <v/>
      </c>
      <c r="C322">
        <f>IFERROR(INDEX($S$53:$S$853,ROW()-52),"")</f>
        <v/>
      </c>
      <c r="D322">
        <f>IFERROR(INDEX($W$53:$W$853,ROW()-52),"")</f>
        <v/>
      </c>
      <c r="E322">
        <f>IFERROR(C322-D322,"")</f>
        <v/>
      </c>
    </row>
    <row r="323">
      <c r="B323" s="23">
        <f>IFERROR(INDEX($R$53:$R$853,ROW()-52),"")</f>
        <v/>
      </c>
      <c r="C323">
        <f>IFERROR(INDEX($S$53:$S$853,ROW()-52),"")</f>
        <v/>
      </c>
      <c r="D323">
        <f>IFERROR(INDEX($W$53:$W$853,ROW()-52),"")</f>
        <v/>
      </c>
      <c r="E323">
        <f>IFERROR(C323-D323,"")</f>
        <v/>
      </c>
    </row>
    <row r="324">
      <c r="B324" s="23">
        <f>IFERROR(INDEX($R$53:$R$853,ROW()-52),"")</f>
        <v/>
      </c>
      <c r="C324">
        <f>IFERROR(INDEX($S$53:$S$853,ROW()-52),"")</f>
        <v/>
      </c>
      <c r="D324">
        <f>IFERROR(INDEX($W$53:$W$853,ROW()-52),"")</f>
        <v/>
      </c>
      <c r="E324">
        <f>IFERROR(C324-D324,"")</f>
        <v/>
      </c>
    </row>
    <row r="325">
      <c r="B325" s="23">
        <f>IFERROR(INDEX($R$53:$R$853,ROW()-52),"")</f>
        <v/>
      </c>
      <c r="C325">
        <f>IFERROR(INDEX($S$53:$S$853,ROW()-52),"")</f>
        <v/>
      </c>
      <c r="D325">
        <f>IFERROR(INDEX($W$53:$W$853,ROW()-52),"")</f>
        <v/>
      </c>
      <c r="E325">
        <f>IFERROR(C325-D325,"")</f>
        <v/>
      </c>
    </row>
    <row r="326">
      <c r="B326" s="23">
        <f>IFERROR(INDEX($R$53:$R$853,ROW()-52),"")</f>
        <v/>
      </c>
      <c r="C326">
        <f>IFERROR(INDEX($S$53:$S$853,ROW()-52),"")</f>
        <v/>
      </c>
      <c r="D326">
        <f>IFERROR(INDEX($W$53:$W$853,ROW()-52),"")</f>
        <v/>
      </c>
      <c r="E326">
        <f>IFERROR(C326-D326,"")</f>
        <v/>
      </c>
    </row>
    <row r="327">
      <c r="B327" s="23">
        <f>IFERROR(INDEX($R$53:$R$853,ROW()-52),"")</f>
        <v/>
      </c>
      <c r="C327">
        <f>IFERROR(INDEX($S$53:$S$853,ROW()-52),"")</f>
        <v/>
      </c>
      <c r="D327">
        <f>IFERROR(INDEX($W$53:$W$853,ROW()-52),"")</f>
        <v/>
      </c>
      <c r="E327">
        <f>IFERROR(C327-D327,"")</f>
        <v/>
      </c>
    </row>
    <row r="328">
      <c r="B328" s="23">
        <f>IFERROR(INDEX($R$53:$R$853,ROW()-52),"")</f>
        <v/>
      </c>
      <c r="C328">
        <f>IFERROR(INDEX($S$53:$S$853,ROW()-52),"")</f>
        <v/>
      </c>
      <c r="D328">
        <f>IFERROR(INDEX($W$53:$W$853,ROW()-52),"")</f>
        <v/>
      </c>
      <c r="E328">
        <f>IFERROR(C328-D328,"")</f>
        <v/>
      </c>
    </row>
    <row r="329">
      <c r="B329" s="23">
        <f>IFERROR(INDEX($R$53:$R$853,ROW()-52),"")</f>
        <v/>
      </c>
      <c r="C329">
        <f>IFERROR(INDEX($S$53:$S$853,ROW()-52),"")</f>
        <v/>
      </c>
      <c r="D329">
        <f>IFERROR(INDEX($W$53:$W$853,ROW()-52),"")</f>
        <v/>
      </c>
      <c r="E329">
        <f>IFERROR(C329-D329,"")</f>
        <v/>
      </c>
    </row>
    <row r="330">
      <c r="B330" s="23">
        <f>IFERROR(INDEX($R$53:$R$853,ROW()-52),"")</f>
        <v/>
      </c>
      <c r="C330">
        <f>IFERROR(INDEX($S$53:$S$853,ROW()-52),"")</f>
        <v/>
      </c>
      <c r="D330">
        <f>IFERROR(INDEX($W$53:$W$853,ROW()-52),"")</f>
        <v/>
      </c>
      <c r="E330">
        <f>IFERROR(C330-D330,"")</f>
        <v/>
      </c>
    </row>
    <row r="331">
      <c r="B331" s="23">
        <f>IFERROR(INDEX($R$53:$R$853,ROW()-52),"")</f>
        <v/>
      </c>
      <c r="C331">
        <f>IFERROR(INDEX($S$53:$S$853,ROW()-52),"")</f>
        <v/>
      </c>
      <c r="D331">
        <f>IFERROR(INDEX($W$53:$W$853,ROW()-52),"")</f>
        <v/>
      </c>
      <c r="E331">
        <f>IFERROR(C331-D331,"")</f>
        <v/>
      </c>
    </row>
    <row r="332">
      <c r="B332" s="23">
        <f>IFERROR(INDEX($R$53:$R$853,ROW()-52),"")</f>
        <v/>
      </c>
      <c r="C332">
        <f>IFERROR(INDEX($S$53:$S$853,ROW()-52),"")</f>
        <v/>
      </c>
      <c r="D332">
        <f>IFERROR(INDEX($W$53:$W$853,ROW()-52),"")</f>
        <v/>
      </c>
      <c r="E332">
        <f>IFERROR(C332-D332,"")</f>
        <v/>
      </c>
    </row>
    <row r="333">
      <c r="B333" s="23">
        <f>IFERROR(INDEX($R$53:$R$853,ROW()-52),"")</f>
        <v/>
      </c>
      <c r="C333">
        <f>IFERROR(INDEX($S$53:$S$853,ROW()-52),"")</f>
        <v/>
      </c>
      <c r="D333">
        <f>IFERROR(INDEX($W$53:$W$853,ROW()-52),"")</f>
        <v/>
      </c>
      <c r="E333">
        <f>IFERROR(C333-D333,"")</f>
        <v/>
      </c>
    </row>
    <row r="334">
      <c r="B334" s="23">
        <f>IFERROR(INDEX($R$53:$R$853,ROW()-52),"")</f>
        <v/>
      </c>
      <c r="C334">
        <f>IFERROR(INDEX($S$53:$S$853,ROW()-52),"")</f>
        <v/>
      </c>
      <c r="D334">
        <f>IFERROR(INDEX($W$53:$W$853,ROW()-52),"")</f>
        <v/>
      </c>
      <c r="E334">
        <f>IFERROR(C334-D334,"")</f>
        <v/>
      </c>
    </row>
    <row r="335">
      <c r="B335" s="23">
        <f>IFERROR(INDEX($R$53:$R$853,ROW()-52),"")</f>
        <v/>
      </c>
      <c r="C335">
        <f>IFERROR(INDEX($S$53:$S$853,ROW()-52),"")</f>
        <v/>
      </c>
      <c r="D335">
        <f>IFERROR(INDEX($W$53:$W$853,ROW()-52),"")</f>
        <v/>
      </c>
      <c r="E335">
        <f>IFERROR(C335-D335,"")</f>
        <v/>
      </c>
    </row>
    <row r="336">
      <c r="B336" s="23">
        <f>IFERROR(INDEX($R$53:$R$853,ROW()-52),"")</f>
        <v/>
      </c>
      <c r="C336">
        <f>IFERROR(INDEX($S$53:$S$853,ROW()-52),"")</f>
        <v/>
      </c>
      <c r="D336">
        <f>IFERROR(INDEX($W$53:$W$853,ROW()-52),"")</f>
        <v/>
      </c>
      <c r="E336">
        <f>IFERROR(C336-D336,"")</f>
        <v/>
      </c>
    </row>
    <row r="337">
      <c r="B337" s="23">
        <f>IFERROR(INDEX($R$53:$R$853,ROW()-52),"")</f>
        <v/>
      </c>
      <c r="C337">
        <f>IFERROR(INDEX($S$53:$S$853,ROW()-52),"")</f>
        <v/>
      </c>
      <c r="D337">
        <f>IFERROR(INDEX($W$53:$W$853,ROW()-52),"")</f>
        <v/>
      </c>
      <c r="E337">
        <f>IFERROR(C337-D337,"")</f>
        <v/>
      </c>
    </row>
    <row r="338">
      <c r="B338" s="23">
        <f>IFERROR(INDEX($R$53:$R$853,ROW()-52),"")</f>
        <v/>
      </c>
      <c r="C338">
        <f>IFERROR(INDEX($S$53:$S$853,ROW()-52),"")</f>
        <v/>
      </c>
      <c r="D338">
        <f>IFERROR(INDEX($W$53:$W$853,ROW()-52),"")</f>
        <v/>
      </c>
      <c r="E338">
        <f>IFERROR(C338-D338,"")</f>
        <v/>
      </c>
    </row>
    <row r="339">
      <c r="B339" s="23">
        <f>IFERROR(INDEX($R$53:$R$853,ROW()-52),"")</f>
        <v/>
      </c>
      <c r="C339">
        <f>IFERROR(INDEX($S$53:$S$853,ROW()-52),"")</f>
        <v/>
      </c>
      <c r="D339">
        <f>IFERROR(INDEX($W$53:$W$853,ROW()-52),"")</f>
        <v/>
      </c>
      <c r="E339">
        <f>IFERROR(C339-D339,"")</f>
        <v/>
      </c>
    </row>
    <row r="340">
      <c r="B340" s="23">
        <f>IFERROR(INDEX($R$53:$R$853,ROW()-52),"")</f>
        <v/>
      </c>
      <c r="C340">
        <f>IFERROR(INDEX($S$53:$S$853,ROW()-52),"")</f>
        <v/>
      </c>
      <c r="D340">
        <f>IFERROR(INDEX($W$53:$W$853,ROW()-52),"")</f>
        <v/>
      </c>
      <c r="E340">
        <f>IFERROR(C340-D340,"")</f>
        <v/>
      </c>
    </row>
    <row r="341">
      <c r="B341" s="23">
        <f>IFERROR(INDEX($R$53:$R$853,ROW()-52),"")</f>
        <v/>
      </c>
      <c r="C341">
        <f>IFERROR(INDEX($S$53:$S$853,ROW()-52),"")</f>
        <v/>
      </c>
      <c r="D341">
        <f>IFERROR(INDEX($W$53:$W$853,ROW()-52),"")</f>
        <v/>
      </c>
      <c r="E341">
        <f>IFERROR(C341-D341,"")</f>
        <v/>
      </c>
    </row>
    <row r="342">
      <c r="B342" s="23">
        <f>IFERROR(INDEX($R$53:$R$853,ROW()-52),"")</f>
        <v/>
      </c>
      <c r="C342">
        <f>IFERROR(INDEX($S$53:$S$853,ROW()-52),"")</f>
        <v/>
      </c>
      <c r="D342">
        <f>IFERROR(INDEX($W$53:$W$853,ROW()-52),"")</f>
        <v/>
      </c>
      <c r="E342">
        <f>IFERROR(C342-D342,"")</f>
        <v/>
      </c>
    </row>
    <row r="343">
      <c r="B343" s="23">
        <f>IFERROR(INDEX($R$53:$R$853,ROW()-52),"")</f>
        <v/>
      </c>
      <c r="C343">
        <f>IFERROR(INDEX($S$53:$S$853,ROW()-52),"")</f>
        <v/>
      </c>
      <c r="D343">
        <f>IFERROR(INDEX($W$53:$W$853,ROW()-52),"")</f>
        <v/>
      </c>
      <c r="E343">
        <f>IFERROR(C343-D343,"")</f>
        <v/>
      </c>
    </row>
    <row r="344">
      <c r="B344" s="23">
        <f>IFERROR(INDEX($R$53:$R$853,ROW()-52),"")</f>
        <v/>
      </c>
      <c r="C344">
        <f>IFERROR(INDEX($S$53:$S$853,ROW()-52),"")</f>
        <v/>
      </c>
      <c r="D344">
        <f>IFERROR(INDEX($W$53:$W$853,ROW()-52),"")</f>
        <v/>
      </c>
      <c r="E344">
        <f>IFERROR(C344-D344,"")</f>
        <v/>
      </c>
    </row>
    <row r="345">
      <c r="B345" s="23">
        <f>IFERROR(INDEX($R$53:$R$853,ROW()-52),"")</f>
        <v/>
      </c>
      <c r="C345">
        <f>IFERROR(INDEX($S$53:$S$853,ROW()-52),"")</f>
        <v/>
      </c>
      <c r="D345">
        <f>IFERROR(INDEX($W$53:$W$853,ROW()-52),"")</f>
        <v/>
      </c>
      <c r="E345">
        <f>IFERROR(C345-D345,"")</f>
        <v/>
      </c>
    </row>
    <row r="346">
      <c r="B346" s="23">
        <f>IFERROR(INDEX($R$53:$R$853,ROW()-52),"")</f>
        <v/>
      </c>
      <c r="C346">
        <f>IFERROR(INDEX($S$53:$S$853,ROW()-52),"")</f>
        <v/>
      </c>
      <c r="D346">
        <f>IFERROR(INDEX($W$53:$W$853,ROW()-52),"")</f>
        <v/>
      </c>
      <c r="E346">
        <f>IFERROR(C346-D346,"")</f>
        <v/>
      </c>
    </row>
    <row r="347">
      <c r="B347" s="23">
        <f>IFERROR(INDEX($R$53:$R$853,ROW()-52),"")</f>
        <v/>
      </c>
      <c r="C347">
        <f>IFERROR(INDEX($S$53:$S$853,ROW()-52),"")</f>
        <v/>
      </c>
      <c r="D347">
        <f>IFERROR(INDEX($W$53:$W$853,ROW()-52),"")</f>
        <v/>
      </c>
      <c r="E347">
        <f>IFERROR(C347-D347,"")</f>
        <v/>
      </c>
    </row>
    <row r="348">
      <c r="B348" s="23">
        <f>IFERROR(INDEX($R$53:$R$853,ROW()-52),"")</f>
        <v/>
      </c>
      <c r="C348">
        <f>IFERROR(INDEX($S$53:$S$853,ROW()-52),"")</f>
        <v/>
      </c>
      <c r="D348">
        <f>IFERROR(INDEX($W$53:$W$853,ROW()-52),"")</f>
        <v/>
      </c>
      <c r="E348">
        <f>IFERROR(C348-D348,"")</f>
        <v/>
      </c>
    </row>
    <row r="349">
      <c r="B349" s="23">
        <f>IFERROR(INDEX($R$53:$R$853,ROW()-52),"")</f>
        <v/>
      </c>
      <c r="C349">
        <f>IFERROR(INDEX($S$53:$S$853,ROW()-52),"")</f>
        <v/>
      </c>
      <c r="D349">
        <f>IFERROR(INDEX($W$53:$W$853,ROW()-52),"")</f>
        <v/>
      </c>
      <c r="E349">
        <f>IFERROR(C349-D349,"")</f>
        <v/>
      </c>
    </row>
    <row r="350">
      <c r="B350" s="23">
        <f>IFERROR(INDEX($R$53:$R$853,ROW()-52),"")</f>
        <v/>
      </c>
      <c r="C350">
        <f>IFERROR(INDEX($S$53:$S$853,ROW()-52),"")</f>
        <v/>
      </c>
      <c r="D350">
        <f>IFERROR(INDEX($W$53:$W$853,ROW()-52),"")</f>
        <v/>
      </c>
      <c r="E350">
        <f>IFERROR(C350-D350,"")</f>
        <v/>
      </c>
    </row>
    <row r="351">
      <c r="B351" s="23">
        <f>IFERROR(INDEX($R$53:$R$853,ROW()-52),"")</f>
        <v/>
      </c>
      <c r="C351">
        <f>IFERROR(INDEX($S$53:$S$853,ROW()-52),"")</f>
        <v/>
      </c>
      <c r="D351">
        <f>IFERROR(INDEX($W$53:$W$853,ROW()-52),"")</f>
        <v/>
      </c>
      <c r="E351">
        <f>IFERROR(C351-D351,"")</f>
        <v/>
      </c>
    </row>
    <row r="352">
      <c r="B352" s="23">
        <f>IFERROR(INDEX($R$53:$R$853,ROW()-52),"")</f>
        <v/>
      </c>
      <c r="C352">
        <f>IFERROR(INDEX($S$53:$S$853,ROW()-52),"")</f>
        <v/>
      </c>
      <c r="D352">
        <f>IFERROR(INDEX($W$53:$W$853,ROW()-52),"")</f>
        <v/>
      </c>
      <c r="E352">
        <f>IFERROR(C352-D352,"")</f>
        <v/>
      </c>
    </row>
    <row r="353">
      <c r="B353" s="23">
        <f>IFERROR(INDEX($R$53:$R$853,ROW()-52),"")</f>
        <v/>
      </c>
      <c r="C353">
        <f>IFERROR(INDEX($S$53:$S$853,ROW()-52),"")</f>
        <v/>
      </c>
      <c r="D353">
        <f>IFERROR(INDEX($W$53:$W$853,ROW()-52),"")</f>
        <v/>
      </c>
      <c r="E353">
        <f>IFERROR(C353-D353,"")</f>
        <v/>
      </c>
    </row>
    <row r="354">
      <c r="B354" s="23">
        <f>IFERROR(INDEX($R$53:$R$853,ROW()-52),"")</f>
        <v/>
      </c>
      <c r="C354">
        <f>IFERROR(INDEX($S$53:$S$853,ROW()-52),"")</f>
        <v/>
      </c>
      <c r="D354">
        <f>IFERROR(INDEX($W$53:$W$853,ROW()-52),"")</f>
        <v/>
      </c>
      <c r="E354">
        <f>IFERROR(C354-D354,"")</f>
        <v/>
      </c>
    </row>
    <row r="355">
      <c r="B355" s="23">
        <f>IFERROR(INDEX($R$53:$R$853,ROW()-52),"")</f>
        <v/>
      </c>
      <c r="C355">
        <f>IFERROR(INDEX($S$53:$S$853,ROW()-52),"")</f>
        <v/>
      </c>
      <c r="D355">
        <f>IFERROR(INDEX($W$53:$W$853,ROW()-52),"")</f>
        <v/>
      </c>
      <c r="E355">
        <f>IFERROR(C355-D355,"")</f>
        <v/>
      </c>
    </row>
    <row r="356">
      <c r="B356" s="23">
        <f>IFERROR(INDEX($R$53:$R$853,ROW()-52),"")</f>
        <v/>
      </c>
      <c r="C356">
        <f>IFERROR(INDEX($S$53:$S$853,ROW()-52),"")</f>
        <v/>
      </c>
      <c r="D356">
        <f>IFERROR(INDEX($W$53:$W$853,ROW()-52),"")</f>
        <v/>
      </c>
      <c r="E356">
        <f>IFERROR(C356-D356,"")</f>
        <v/>
      </c>
    </row>
    <row r="357">
      <c r="B357" s="23">
        <f>IFERROR(INDEX($R$53:$R$853,ROW()-52),"")</f>
        <v/>
      </c>
      <c r="C357">
        <f>IFERROR(INDEX($S$53:$S$853,ROW()-52),"")</f>
        <v/>
      </c>
      <c r="D357">
        <f>IFERROR(INDEX($W$53:$W$853,ROW()-52),"")</f>
        <v/>
      </c>
      <c r="E357">
        <f>IFERROR(C357-D357,"")</f>
        <v/>
      </c>
    </row>
    <row r="358">
      <c r="B358" s="23">
        <f>IFERROR(INDEX($R$53:$R$853,ROW()-52),"")</f>
        <v/>
      </c>
      <c r="C358">
        <f>IFERROR(INDEX($S$53:$S$853,ROW()-52),"")</f>
        <v/>
      </c>
      <c r="D358">
        <f>IFERROR(INDEX($W$53:$W$853,ROW()-52),"")</f>
        <v/>
      </c>
      <c r="E358">
        <f>IFERROR(C358-D358,"")</f>
        <v/>
      </c>
    </row>
    <row r="359">
      <c r="B359" s="23">
        <f>IFERROR(INDEX($R$53:$R$853,ROW()-52),"")</f>
        <v/>
      </c>
      <c r="C359">
        <f>IFERROR(INDEX($S$53:$S$853,ROW()-52),"")</f>
        <v/>
      </c>
      <c r="D359">
        <f>IFERROR(INDEX($W$53:$W$853,ROW()-52),"")</f>
        <v/>
      </c>
      <c r="E359">
        <f>IFERROR(C359-D359,"")</f>
        <v/>
      </c>
    </row>
    <row r="360">
      <c r="B360" s="23">
        <f>IFERROR(INDEX($R$53:$R$853,ROW()-52),"")</f>
        <v/>
      </c>
      <c r="C360">
        <f>IFERROR(INDEX($S$53:$S$853,ROW()-52),"")</f>
        <v/>
      </c>
      <c r="D360">
        <f>IFERROR(INDEX($W$53:$W$853,ROW()-52),"")</f>
        <v/>
      </c>
      <c r="E360">
        <f>IFERROR(C360-D360,"")</f>
        <v/>
      </c>
    </row>
    <row r="361">
      <c r="B361" s="23">
        <f>IFERROR(INDEX($R$53:$R$853,ROW()-52),"")</f>
        <v/>
      </c>
      <c r="C361">
        <f>IFERROR(INDEX($S$53:$S$853,ROW()-52),"")</f>
        <v/>
      </c>
      <c r="D361">
        <f>IFERROR(INDEX($W$53:$W$853,ROW()-52),"")</f>
        <v/>
      </c>
      <c r="E361">
        <f>IFERROR(C361-D361,"")</f>
        <v/>
      </c>
    </row>
    <row r="362">
      <c r="B362" s="23">
        <f>IFERROR(INDEX($R$53:$R$853,ROW()-52),"")</f>
        <v/>
      </c>
      <c r="C362">
        <f>IFERROR(INDEX($S$53:$S$853,ROW()-52),"")</f>
        <v/>
      </c>
      <c r="D362">
        <f>IFERROR(INDEX($W$53:$W$853,ROW()-52),"")</f>
        <v/>
      </c>
      <c r="E362">
        <f>IFERROR(C362-D362,"")</f>
        <v/>
      </c>
    </row>
    <row r="363">
      <c r="B363" s="23">
        <f>IFERROR(INDEX($R$53:$R$853,ROW()-52),"")</f>
        <v/>
      </c>
      <c r="C363">
        <f>IFERROR(INDEX($S$53:$S$853,ROW()-52),"")</f>
        <v/>
      </c>
      <c r="D363">
        <f>IFERROR(INDEX($W$53:$W$853,ROW()-52),"")</f>
        <v/>
      </c>
      <c r="E363">
        <f>IFERROR(C363-D363,"")</f>
        <v/>
      </c>
    </row>
    <row r="364">
      <c r="B364" s="23">
        <f>IFERROR(INDEX($R$53:$R$853,ROW()-52),"")</f>
        <v/>
      </c>
      <c r="C364">
        <f>IFERROR(INDEX($S$53:$S$853,ROW()-52),"")</f>
        <v/>
      </c>
      <c r="D364">
        <f>IFERROR(INDEX($W$53:$W$853,ROW()-52),"")</f>
        <v/>
      </c>
      <c r="E364">
        <f>IFERROR(C364-D364,"")</f>
        <v/>
      </c>
    </row>
    <row r="365">
      <c r="B365" s="23">
        <f>IFERROR(INDEX($R$53:$R$853,ROW()-52),"")</f>
        <v/>
      </c>
      <c r="C365">
        <f>IFERROR(INDEX($S$53:$S$853,ROW()-52),"")</f>
        <v/>
      </c>
      <c r="D365">
        <f>IFERROR(INDEX($W$53:$W$853,ROW()-52),"")</f>
        <v/>
      </c>
      <c r="E365">
        <f>IFERROR(C365-D365,"")</f>
        <v/>
      </c>
    </row>
    <row r="366">
      <c r="B366" s="23">
        <f>IFERROR(INDEX($R$53:$R$853,ROW()-52),"")</f>
        <v/>
      </c>
      <c r="C366">
        <f>IFERROR(INDEX($S$53:$S$853,ROW()-52),"")</f>
        <v/>
      </c>
      <c r="D366">
        <f>IFERROR(INDEX($W$53:$W$853,ROW()-52),"")</f>
        <v/>
      </c>
      <c r="E366">
        <f>IFERROR(C366-D366,"")</f>
        <v/>
      </c>
    </row>
    <row r="367">
      <c r="B367" s="23">
        <f>IFERROR(INDEX($R$53:$R$853,ROW()-52),"")</f>
        <v/>
      </c>
      <c r="C367">
        <f>IFERROR(INDEX($S$53:$S$853,ROW()-52),"")</f>
        <v/>
      </c>
      <c r="D367">
        <f>IFERROR(INDEX($W$53:$W$853,ROW()-52),"")</f>
        <v/>
      </c>
      <c r="E367">
        <f>IFERROR(C367-D367,"")</f>
        <v/>
      </c>
    </row>
    <row r="368">
      <c r="B368" s="23">
        <f>IFERROR(INDEX($R$53:$R$853,ROW()-52),"")</f>
        <v/>
      </c>
      <c r="C368">
        <f>IFERROR(INDEX($S$53:$S$853,ROW()-52),"")</f>
        <v/>
      </c>
      <c r="D368">
        <f>IFERROR(INDEX($W$53:$W$853,ROW()-52),"")</f>
        <v/>
      </c>
      <c r="E368">
        <f>IFERROR(C368-D368,"")</f>
        <v/>
      </c>
    </row>
    <row r="369">
      <c r="B369" s="23">
        <f>IFERROR(INDEX($R$53:$R$853,ROW()-52),"")</f>
        <v/>
      </c>
      <c r="C369">
        <f>IFERROR(INDEX($S$53:$S$853,ROW()-52),"")</f>
        <v/>
      </c>
      <c r="D369">
        <f>IFERROR(INDEX($W$53:$W$853,ROW()-52),"")</f>
        <v/>
      </c>
      <c r="E369">
        <f>IFERROR(C369-D369,"")</f>
        <v/>
      </c>
    </row>
    <row r="370">
      <c r="B370" s="23">
        <f>IFERROR(INDEX($R$53:$R$853,ROW()-52),"")</f>
        <v/>
      </c>
      <c r="C370">
        <f>IFERROR(INDEX($S$53:$S$853,ROW()-52),"")</f>
        <v/>
      </c>
      <c r="D370">
        <f>IFERROR(INDEX($W$53:$W$853,ROW()-52),"")</f>
        <v/>
      </c>
      <c r="E370">
        <f>IFERROR(C370-D370,"")</f>
        <v/>
      </c>
    </row>
    <row r="371">
      <c r="B371" s="23">
        <f>IFERROR(INDEX($R$53:$R$853,ROW()-52),"")</f>
        <v/>
      </c>
      <c r="C371">
        <f>IFERROR(INDEX($S$53:$S$853,ROW()-52),"")</f>
        <v/>
      </c>
      <c r="D371">
        <f>IFERROR(INDEX($W$53:$W$853,ROW()-52),"")</f>
        <v/>
      </c>
      <c r="E371">
        <f>IFERROR(C371-D371,"")</f>
        <v/>
      </c>
    </row>
    <row r="372">
      <c r="B372" s="23">
        <f>IFERROR(INDEX($R$53:$R$853,ROW()-52),"")</f>
        <v/>
      </c>
      <c r="C372">
        <f>IFERROR(INDEX($S$53:$S$853,ROW()-52),"")</f>
        <v/>
      </c>
      <c r="D372">
        <f>IFERROR(INDEX($W$53:$W$853,ROW()-52),"")</f>
        <v/>
      </c>
      <c r="E372">
        <f>IFERROR(C372-D372,"")</f>
        <v/>
      </c>
    </row>
    <row r="373">
      <c r="B373" s="23">
        <f>IFERROR(INDEX($R$53:$R$853,ROW()-52),"")</f>
        <v/>
      </c>
      <c r="C373">
        <f>IFERROR(INDEX($S$53:$S$853,ROW()-52),"")</f>
        <v/>
      </c>
      <c r="D373">
        <f>IFERROR(INDEX($W$53:$W$853,ROW()-52),"")</f>
        <v/>
      </c>
      <c r="E373">
        <f>IFERROR(C373-D373,"")</f>
        <v/>
      </c>
    </row>
    <row r="374">
      <c r="B374" s="23">
        <f>IFERROR(INDEX($R$53:$R$853,ROW()-52),"")</f>
        <v/>
      </c>
      <c r="C374">
        <f>IFERROR(INDEX($S$53:$S$853,ROW()-52),"")</f>
        <v/>
      </c>
      <c r="D374">
        <f>IFERROR(INDEX($W$53:$W$853,ROW()-52),"")</f>
        <v/>
      </c>
      <c r="E374">
        <f>IFERROR(C374-D374,"")</f>
        <v/>
      </c>
    </row>
    <row r="375">
      <c r="B375" s="23">
        <f>IFERROR(INDEX($R$53:$R$853,ROW()-52),"")</f>
        <v/>
      </c>
      <c r="C375">
        <f>IFERROR(INDEX($S$53:$S$853,ROW()-52),"")</f>
        <v/>
      </c>
      <c r="D375">
        <f>IFERROR(INDEX($W$53:$W$853,ROW()-52),"")</f>
        <v/>
      </c>
      <c r="E375">
        <f>IFERROR(C375-D375,"")</f>
        <v/>
      </c>
    </row>
    <row r="376">
      <c r="B376" s="23">
        <f>IFERROR(INDEX($R$53:$R$853,ROW()-52),"")</f>
        <v/>
      </c>
      <c r="C376">
        <f>IFERROR(INDEX($S$53:$S$853,ROW()-52),"")</f>
        <v/>
      </c>
      <c r="D376">
        <f>IFERROR(INDEX($W$53:$W$853,ROW()-52),"")</f>
        <v/>
      </c>
      <c r="E376">
        <f>IFERROR(C376-D376,"")</f>
        <v/>
      </c>
    </row>
    <row r="377">
      <c r="B377" s="23">
        <f>IFERROR(INDEX($R$53:$R$853,ROW()-52),"")</f>
        <v/>
      </c>
      <c r="C377">
        <f>IFERROR(INDEX($S$53:$S$853,ROW()-52),"")</f>
        <v/>
      </c>
      <c r="D377">
        <f>IFERROR(INDEX($W$53:$W$853,ROW()-52),"")</f>
        <v/>
      </c>
      <c r="E377">
        <f>IFERROR(C377-D377,"")</f>
        <v/>
      </c>
    </row>
    <row r="378">
      <c r="B378" s="23">
        <f>IFERROR(INDEX($R$53:$R$853,ROW()-52),"")</f>
        <v/>
      </c>
      <c r="C378">
        <f>IFERROR(INDEX($S$53:$S$853,ROW()-52),"")</f>
        <v/>
      </c>
      <c r="D378">
        <f>IFERROR(INDEX($W$53:$W$853,ROW()-52),"")</f>
        <v/>
      </c>
      <c r="E378">
        <f>IFERROR(C378-D378,"")</f>
        <v/>
      </c>
    </row>
    <row r="379">
      <c r="B379" s="23">
        <f>IFERROR(INDEX($R$53:$R$853,ROW()-52),"")</f>
        <v/>
      </c>
      <c r="C379">
        <f>IFERROR(INDEX($S$53:$S$853,ROW()-52),"")</f>
        <v/>
      </c>
      <c r="D379">
        <f>IFERROR(INDEX($W$53:$W$853,ROW()-52),"")</f>
        <v/>
      </c>
      <c r="E379">
        <f>IFERROR(C379-D379,"")</f>
        <v/>
      </c>
    </row>
    <row r="380">
      <c r="B380" s="23">
        <f>IFERROR(INDEX($R$53:$R$853,ROW()-52),"")</f>
        <v/>
      </c>
      <c r="C380">
        <f>IFERROR(INDEX($S$53:$S$853,ROW()-52),"")</f>
        <v/>
      </c>
      <c r="D380">
        <f>IFERROR(INDEX($W$53:$W$853,ROW()-52),"")</f>
        <v/>
      </c>
      <c r="E380">
        <f>IFERROR(C380-D380,"")</f>
        <v/>
      </c>
    </row>
    <row r="381">
      <c r="B381" s="23">
        <f>IFERROR(INDEX($R$53:$R$853,ROW()-52),"")</f>
        <v/>
      </c>
      <c r="C381">
        <f>IFERROR(INDEX($S$53:$S$853,ROW()-52),"")</f>
        <v/>
      </c>
      <c r="D381">
        <f>IFERROR(INDEX($W$53:$W$853,ROW()-52),"")</f>
        <v/>
      </c>
      <c r="E381">
        <f>IFERROR(C381-D381,"")</f>
        <v/>
      </c>
    </row>
    <row r="382">
      <c r="B382" s="23">
        <f>IFERROR(INDEX($R$53:$R$853,ROW()-52),"")</f>
        <v/>
      </c>
      <c r="C382">
        <f>IFERROR(INDEX($S$53:$S$853,ROW()-52),"")</f>
        <v/>
      </c>
      <c r="D382">
        <f>IFERROR(INDEX($W$53:$W$853,ROW()-52),"")</f>
        <v/>
      </c>
      <c r="E382">
        <f>IFERROR(C382-D382,"")</f>
        <v/>
      </c>
    </row>
    <row r="383">
      <c r="B383" s="23">
        <f>IFERROR(INDEX($R$53:$R$853,ROW()-52),"")</f>
        <v/>
      </c>
      <c r="C383">
        <f>IFERROR(INDEX($S$53:$S$853,ROW()-52),"")</f>
        <v/>
      </c>
      <c r="D383">
        <f>IFERROR(INDEX($W$53:$W$853,ROW()-52),"")</f>
        <v/>
      </c>
      <c r="E383">
        <f>IFERROR(C383-D383,"")</f>
        <v/>
      </c>
    </row>
    <row r="384">
      <c r="B384" s="23">
        <f>IFERROR(INDEX($R$53:$R$853,ROW()-52),"")</f>
        <v/>
      </c>
      <c r="C384">
        <f>IFERROR(INDEX($S$53:$S$853,ROW()-52),"")</f>
        <v/>
      </c>
      <c r="D384">
        <f>IFERROR(INDEX($W$53:$W$853,ROW()-52),"")</f>
        <v/>
      </c>
      <c r="E384">
        <f>IFERROR(C384-D384,"")</f>
        <v/>
      </c>
    </row>
    <row r="385">
      <c r="B385" s="23">
        <f>IFERROR(INDEX($R$53:$R$853,ROW()-52),"")</f>
        <v/>
      </c>
      <c r="C385">
        <f>IFERROR(INDEX($S$53:$S$853,ROW()-52),"")</f>
        <v/>
      </c>
      <c r="D385">
        <f>IFERROR(INDEX($W$53:$W$853,ROW()-52),"")</f>
        <v/>
      </c>
      <c r="E385">
        <f>IFERROR(C385-D385,"")</f>
        <v/>
      </c>
    </row>
    <row r="386">
      <c r="B386" s="23">
        <f>IFERROR(INDEX($R$53:$R$853,ROW()-52),"")</f>
        <v/>
      </c>
      <c r="C386">
        <f>IFERROR(INDEX($S$53:$S$853,ROW()-52),"")</f>
        <v/>
      </c>
      <c r="D386">
        <f>IFERROR(INDEX($W$53:$W$853,ROW()-52),"")</f>
        <v/>
      </c>
      <c r="E386">
        <f>IFERROR(C386-D386,"")</f>
        <v/>
      </c>
    </row>
    <row r="387">
      <c r="B387" s="23">
        <f>IFERROR(INDEX($R$53:$R$853,ROW()-52),"")</f>
        <v/>
      </c>
      <c r="C387">
        <f>IFERROR(INDEX($S$53:$S$853,ROW()-52),"")</f>
        <v/>
      </c>
      <c r="D387">
        <f>IFERROR(INDEX($W$53:$W$853,ROW()-52),"")</f>
        <v/>
      </c>
      <c r="E387">
        <f>IFERROR(C387-D387,"")</f>
        <v/>
      </c>
    </row>
    <row r="388">
      <c r="B388" s="23">
        <f>IFERROR(INDEX($R$53:$R$853,ROW()-52),"")</f>
        <v/>
      </c>
      <c r="C388">
        <f>IFERROR(INDEX($S$53:$S$853,ROW()-52),"")</f>
        <v/>
      </c>
      <c r="D388">
        <f>IFERROR(INDEX($W$53:$W$853,ROW()-52),"")</f>
        <v/>
      </c>
      <c r="E388">
        <f>IFERROR(C388-D388,"")</f>
        <v/>
      </c>
    </row>
    <row r="389">
      <c r="B389" s="23">
        <f>IFERROR(INDEX($R$53:$R$853,ROW()-52),"")</f>
        <v/>
      </c>
      <c r="C389">
        <f>IFERROR(INDEX($S$53:$S$853,ROW()-52),"")</f>
        <v/>
      </c>
      <c r="D389">
        <f>IFERROR(INDEX($W$53:$W$853,ROW()-52),"")</f>
        <v/>
      </c>
      <c r="E389">
        <f>IFERROR(C389-D389,"")</f>
        <v/>
      </c>
    </row>
    <row r="390">
      <c r="B390" s="23">
        <f>IFERROR(INDEX($R$53:$R$853,ROW()-52),"")</f>
        <v/>
      </c>
      <c r="C390">
        <f>IFERROR(INDEX($S$53:$S$853,ROW()-52),"")</f>
        <v/>
      </c>
      <c r="D390">
        <f>IFERROR(INDEX($W$53:$W$853,ROW()-52),"")</f>
        <v/>
      </c>
      <c r="E390">
        <f>IFERROR(C390-D390,"")</f>
        <v/>
      </c>
    </row>
    <row r="391">
      <c r="B391" s="23">
        <f>IFERROR(INDEX($R$53:$R$853,ROW()-52),"")</f>
        <v/>
      </c>
      <c r="C391">
        <f>IFERROR(INDEX($S$53:$S$853,ROW()-52),"")</f>
        <v/>
      </c>
      <c r="D391">
        <f>IFERROR(INDEX($W$53:$W$853,ROW()-52),"")</f>
        <v/>
      </c>
      <c r="E391">
        <f>IFERROR(C391-D391,"")</f>
        <v/>
      </c>
    </row>
    <row r="392">
      <c r="B392" s="23">
        <f>IFERROR(INDEX($R$53:$R$853,ROW()-52),"")</f>
        <v/>
      </c>
      <c r="C392">
        <f>IFERROR(INDEX($S$53:$S$853,ROW()-52),"")</f>
        <v/>
      </c>
      <c r="D392">
        <f>IFERROR(INDEX($W$53:$W$853,ROW()-52),"")</f>
        <v/>
      </c>
      <c r="E392">
        <f>IFERROR(C392-D392,"")</f>
        <v/>
      </c>
    </row>
    <row r="393">
      <c r="B393" s="23">
        <f>IFERROR(INDEX($R$53:$R$853,ROW()-52),"")</f>
        <v/>
      </c>
      <c r="C393">
        <f>IFERROR(INDEX($S$53:$S$853,ROW()-52),"")</f>
        <v/>
      </c>
      <c r="D393">
        <f>IFERROR(INDEX($W$53:$W$853,ROW()-52),"")</f>
        <v/>
      </c>
      <c r="E393">
        <f>IFERROR(C393-D393,"")</f>
        <v/>
      </c>
    </row>
    <row r="394">
      <c r="B394" s="23">
        <f>IFERROR(INDEX($R$53:$R$853,ROW()-52),"")</f>
        <v/>
      </c>
      <c r="C394">
        <f>IFERROR(INDEX($S$53:$S$853,ROW()-52),"")</f>
        <v/>
      </c>
      <c r="D394">
        <f>IFERROR(INDEX($W$53:$W$853,ROW()-52),"")</f>
        <v/>
      </c>
      <c r="E394">
        <f>IFERROR(C394-D394,"")</f>
        <v/>
      </c>
    </row>
    <row r="395">
      <c r="B395" s="23">
        <f>IFERROR(INDEX($R$53:$R$853,ROW()-52),"")</f>
        <v/>
      </c>
      <c r="C395">
        <f>IFERROR(INDEX($S$53:$S$853,ROW()-52),"")</f>
        <v/>
      </c>
      <c r="D395">
        <f>IFERROR(INDEX($W$53:$W$853,ROW()-52),"")</f>
        <v/>
      </c>
      <c r="E395">
        <f>IFERROR(C395-D395,"")</f>
        <v/>
      </c>
    </row>
    <row r="396">
      <c r="B396" s="23">
        <f>IFERROR(INDEX($R$53:$R$853,ROW()-52),"")</f>
        <v/>
      </c>
      <c r="C396">
        <f>IFERROR(INDEX($S$53:$S$853,ROW()-52),"")</f>
        <v/>
      </c>
      <c r="D396">
        <f>IFERROR(INDEX($W$53:$W$853,ROW()-52),"")</f>
        <v/>
      </c>
      <c r="E396">
        <f>IFERROR(C396-D396,"")</f>
        <v/>
      </c>
    </row>
    <row r="397">
      <c r="B397" s="23">
        <f>IFERROR(INDEX($R$53:$R$853,ROW()-52),"")</f>
        <v/>
      </c>
      <c r="C397">
        <f>IFERROR(INDEX($S$53:$S$853,ROW()-52),"")</f>
        <v/>
      </c>
      <c r="D397">
        <f>IFERROR(INDEX($W$53:$W$853,ROW()-52),"")</f>
        <v/>
      </c>
      <c r="E397">
        <f>IFERROR(C397-D397,"")</f>
        <v/>
      </c>
    </row>
    <row r="398">
      <c r="B398" s="23">
        <f>IFERROR(INDEX($R$53:$R$853,ROW()-52),"")</f>
        <v/>
      </c>
      <c r="C398">
        <f>IFERROR(INDEX($S$53:$S$853,ROW()-52),"")</f>
        <v/>
      </c>
      <c r="D398">
        <f>IFERROR(INDEX($W$53:$W$853,ROW()-52),"")</f>
        <v/>
      </c>
      <c r="E398">
        <f>IFERROR(C398-D398,"")</f>
        <v/>
      </c>
    </row>
    <row r="399">
      <c r="B399" s="23">
        <f>IFERROR(INDEX($R$53:$R$853,ROW()-52),"")</f>
        <v/>
      </c>
      <c r="C399">
        <f>IFERROR(INDEX($S$53:$S$853,ROW()-52),"")</f>
        <v/>
      </c>
      <c r="D399">
        <f>IFERROR(INDEX($W$53:$W$853,ROW()-52),"")</f>
        <v/>
      </c>
      <c r="E399">
        <f>IFERROR(C399-D399,"")</f>
        <v/>
      </c>
    </row>
    <row r="400">
      <c r="B400" s="23">
        <f>IFERROR(INDEX($R$53:$R$853,ROW()-52),"")</f>
        <v/>
      </c>
      <c r="C400">
        <f>IFERROR(INDEX($S$53:$S$853,ROW()-52),"")</f>
        <v/>
      </c>
      <c r="D400">
        <f>IFERROR(INDEX($W$53:$W$853,ROW()-52),"")</f>
        <v/>
      </c>
      <c r="E400">
        <f>IFERROR(C400-D400,"")</f>
        <v/>
      </c>
    </row>
    <row r="401">
      <c r="B401" s="23">
        <f>IFERROR(INDEX($R$53:$R$853,ROW()-52),"")</f>
        <v/>
      </c>
      <c r="C401">
        <f>IFERROR(INDEX($S$53:$S$853,ROW()-52),"")</f>
        <v/>
      </c>
      <c r="D401">
        <f>IFERROR(INDEX($W$53:$W$853,ROW()-52),"")</f>
        <v/>
      </c>
      <c r="E401">
        <f>IFERROR(C401-D401,"")</f>
        <v/>
      </c>
    </row>
    <row r="402">
      <c r="B402" s="23">
        <f>IFERROR(INDEX($R$53:$R$853,ROW()-52),"")</f>
        <v/>
      </c>
      <c r="C402">
        <f>IFERROR(INDEX($S$53:$S$853,ROW()-52),"")</f>
        <v/>
      </c>
      <c r="D402">
        <f>IFERROR(INDEX($W$53:$W$853,ROW()-52),"")</f>
        <v/>
      </c>
      <c r="E402">
        <f>IFERROR(C402-D402,"")</f>
        <v/>
      </c>
    </row>
    <row r="403">
      <c r="B403" s="23">
        <f>IFERROR(INDEX($R$53:$R$853,ROW()-52),"")</f>
        <v/>
      </c>
      <c r="C403">
        <f>IFERROR(INDEX($S$53:$S$853,ROW()-52),"")</f>
        <v/>
      </c>
      <c r="D403">
        <f>IFERROR(INDEX($W$53:$W$853,ROW()-52),"")</f>
        <v/>
      </c>
      <c r="E403">
        <f>IFERROR(C403-D403,"")</f>
        <v/>
      </c>
    </row>
    <row r="404">
      <c r="B404" s="23">
        <f>IFERROR(INDEX($R$53:$R$853,ROW()-52),"")</f>
        <v/>
      </c>
      <c r="C404">
        <f>IFERROR(INDEX($S$53:$S$853,ROW()-52),"")</f>
        <v/>
      </c>
      <c r="D404">
        <f>IFERROR(INDEX($W$53:$W$853,ROW()-52),"")</f>
        <v/>
      </c>
      <c r="E404">
        <f>IFERROR(C404-D404,"")</f>
        <v/>
      </c>
    </row>
    <row r="405">
      <c r="B405" s="23">
        <f>IFERROR(INDEX($R$53:$R$853,ROW()-52),"")</f>
        <v/>
      </c>
      <c r="C405">
        <f>IFERROR(INDEX($S$53:$S$853,ROW()-52),"")</f>
        <v/>
      </c>
      <c r="D405">
        <f>IFERROR(INDEX($W$53:$W$853,ROW()-52),"")</f>
        <v/>
      </c>
      <c r="E405">
        <f>IFERROR(C405-D405,"")</f>
        <v/>
      </c>
    </row>
    <row r="406">
      <c r="B406" s="23">
        <f>IFERROR(INDEX($R$53:$R$853,ROW()-52),"")</f>
        <v/>
      </c>
      <c r="C406">
        <f>IFERROR(INDEX($S$53:$S$853,ROW()-52),"")</f>
        <v/>
      </c>
      <c r="D406">
        <f>IFERROR(INDEX($W$53:$W$853,ROW()-52),"")</f>
        <v/>
      </c>
      <c r="E406">
        <f>IFERROR(C406-D406,"")</f>
        <v/>
      </c>
    </row>
    <row r="407">
      <c r="B407" s="23">
        <f>IFERROR(INDEX($R$53:$R$853,ROW()-52),"")</f>
        <v/>
      </c>
      <c r="C407">
        <f>IFERROR(INDEX($S$53:$S$853,ROW()-52),"")</f>
        <v/>
      </c>
      <c r="D407">
        <f>IFERROR(INDEX($W$53:$W$853,ROW()-52),"")</f>
        <v/>
      </c>
      <c r="E407">
        <f>IFERROR(C407-D407,"")</f>
        <v/>
      </c>
    </row>
    <row r="408">
      <c r="B408" s="23">
        <f>IFERROR(INDEX($R$53:$R$853,ROW()-52),"")</f>
        <v/>
      </c>
      <c r="C408">
        <f>IFERROR(INDEX($S$53:$S$853,ROW()-52),"")</f>
        <v/>
      </c>
      <c r="D408">
        <f>IFERROR(INDEX($W$53:$W$853,ROW()-52),"")</f>
        <v/>
      </c>
      <c r="E408">
        <f>IFERROR(C408-D408,"")</f>
        <v/>
      </c>
    </row>
    <row r="409">
      <c r="B409" s="23">
        <f>IFERROR(INDEX($R$53:$R$853,ROW()-52),"")</f>
        <v/>
      </c>
      <c r="C409">
        <f>IFERROR(INDEX($S$53:$S$853,ROW()-52),"")</f>
        <v/>
      </c>
      <c r="D409">
        <f>IFERROR(INDEX($W$53:$W$853,ROW()-52),"")</f>
        <v/>
      </c>
      <c r="E409">
        <f>IFERROR(C409-D409,"")</f>
        <v/>
      </c>
    </row>
    <row r="410">
      <c r="B410" s="23">
        <f>IFERROR(INDEX($R$53:$R$853,ROW()-52),"")</f>
        <v/>
      </c>
      <c r="C410">
        <f>IFERROR(INDEX($S$53:$S$853,ROW()-52),"")</f>
        <v/>
      </c>
      <c r="D410">
        <f>IFERROR(INDEX($W$53:$W$853,ROW()-52),"")</f>
        <v/>
      </c>
      <c r="E410">
        <f>IFERROR(C410-D410,"")</f>
        <v/>
      </c>
    </row>
    <row r="411">
      <c r="B411" s="23">
        <f>IFERROR(INDEX($R$53:$R$853,ROW()-52),"")</f>
        <v/>
      </c>
      <c r="C411">
        <f>IFERROR(INDEX($S$53:$S$853,ROW()-52),"")</f>
        <v/>
      </c>
      <c r="D411">
        <f>IFERROR(INDEX($W$53:$W$853,ROW()-52),"")</f>
        <v/>
      </c>
      <c r="E411">
        <f>IFERROR(C411-D411,"")</f>
        <v/>
      </c>
    </row>
    <row r="412">
      <c r="B412" s="23">
        <f>IFERROR(INDEX($R$53:$R$853,ROW()-52),"")</f>
        <v/>
      </c>
      <c r="C412">
        <f>IFERROR(INDEX($S$53:$S$853,ROW()-52),"")</f>
        <v/>
      </c>
      <c r="D412">
        <f>IFERROR(INDEX($W$53:$W$853,ROW()-52),"")</f>
        <v/>
      </c>
      <c r="E412">
        <f>IFERROR(C412-D412,"")</f>
        <v/>
      </c>
    </row>
    <row r="413">
      <c r="B413" s="23">
        <f>IFERROR(INDEX($R$53:$R$853,ROW()-52),"")</f>
        <v/>
      </c>
      <c r="C413">
        <f>IFERROR(INDEX($S$53:$S$853,ROW()-52),"")</f>
        <v/>
      </c>
      <c r="D413">
        <f>IFERROR(INDEX($W$53:$W$853,ROW()-52),"")</f>
        <v/>
      </c>
      <c r="E413">
        <f>IFERROR(C413-D413,"")</f>
        <v/>
      </c>
    </row>
    <row r="414">
      <c r="B414" s="23">
        <f>IFERROR(INDEX($R$53:$R$853,ROW()-52),"")</f>
        <v/>
      </c>
      <c r="C414">
        <f>IFERROR(INDEX($S$53:$S$853,ROW()-52),"")</f>
        <v/>
      </c>
      <c r="D414">
        <f>IFERROR(INDEX($W$53:$W$853,ROW()-52),"")</f>
        <v/>
      </c>
      <c r="E414">
        <f>IFERROR(C414-D414,"")</f>
        <v/>
      </c>
    </row>
    <row r="415">
      <c r="B415" s="23">
        <f>IFERROR(INDEX($R$53:$R$853,ROW()-52),"")</f>
        <v/>
      </c>
      <c r="C415">
        <f>IFERROR(INDEX($S$53:$S$853,ROW()-52),"")</f>
        <v/>
      </c>
      <c r="D415">
        <f>IFERROR(INDEX($W$53:$W$853,ROW()-52),"")</f>
        <v/>
      </c>
      <c r="E415">
        <f>IFERROR(C415-D415,"")</f>
        <v/>
      </c>
    </row>
    <row r="416">
      <c r="B416" s="23">
        <f>IFERROR(INDEX($R$53:$R$853,ROW()-52),"")</f>
        <v/>
      </c>
      <c r="C416">
        <f>IFERROR(INDEX($S$53:$S$853,ROW()-52),"")</f>
        <v/>
      </c>
      <c r="D416">
        <f>IFERROR(INDEX($W$53:$W$853,ROW()-52),"")</f>
        <v/>
      </c>
      <c r="E416">
        <f>IFERROR(C416-D416,"")</f>
        <v/>
      </c>
    </row>
    <row r="417">
      <c r="B417" s="23">
        <f>IFERROR(INDEX($R$53:$R$853,ROW()-52),"")</f>
        <v/>
      </c>
      <c r="C417">
        <f>IFERROR(INDEX($S$53:$S$853,ROW()-52),"")</f>
        <v/>
      </c>
      <c r="D417">
        <f>IFERROR(INDEX($W$53:$W$853,ROW()-52),"")</f>
        <v/>
      </c>
      <c r="E417">
        <f>IFERROR(C417-D417,"")</f>
        <v/>
      </c>
    </row>
    <row r="418">
      <c r="B418" s="23">
        <f>IFERROR(INDEX($R$53:$R$853,ROW()-52),"")</f>
        <v/>
      </c>
      <c r="C418">
        <f>IFERROR(INDEX($S$53:$S$853,ROW()-52),"")</f>
        <v/>
      </c>
      <c r="D418">
        <f>IFERROR(INDEX($W$53:$W$853,ROW()-52),"")</f>
        <v/>
      </c>
      <c r="E418">
        <f>IFERROR(C418-D418,"")</f>
        <v/>
      </c>
    </row>
    <row r="419">
      <c r="B419" s="23">
        <f>IFERROR(INDEX($R$53:$R$853,ROW()-52),"")</f>
        <v/>
      </c>
      <c r="C419">
        <f>IFERROR(INDEX($S$53:$S$853,ROW()-52),"")</f>
        <v/>
      </c>
      <c r="D419">
        <f>IFERROR(INDEX($W$53:$W$853,ROW()-52),"")</f>
        <v/>
      </c>
      <c r="E419">
        <f>IFERROR(C419-D419,"")</f>
        <v/>
      </c>
    </row>
    <row r="420">
      <c r="B420" s="23">
        <f>IFERROR(INDEX($R$53:$R$853,ROW()-52),"")</f>
        <v/>
      </c>
      <c r="C420">
        <f>IFERROR(INDEX($S$53:$S$853,ROW()-52),"")</f>
        <v/>
      </c>
      <c r="D420">
        <f>IFERROR(INDEX($W$53:$W$853,ROW()-52),"")</f>
        <v/>
      </c>
      <c r="E420">
        <f>IFERROR(C420-D420,"")</f>
        <v/>
      </c>
    </row>
    <row r="421">
      <c r="B421" s="23">
        <f>IFERROR(INDEX($R$53:$R$853,ROW()-52),"")</f>
        <v/>
      </c>
      <c r="C421">
        <f>IFERROR(INDEX($S$53:$S$853,ROW()-52),"")</f>
        <v/>
      </c>
      <c r="D421">
        <f>IFERROR(INDEX($W$53:$W$853,ROW()-52),"")</f>
        <v/>
      </c>
      <c r="E421">
        <f>IFERROR(C421-D421,"")</f>
        <v/>
      </c>
    </row>
    <row r="422">
      <c r="B422" s="23">
        <f>IFERROR(INDEX($R$53:$R$853,ROW()-52),"")</f>
        <v/>
      </c>
      <c r="C422">
        <f>IFERROR(INDEX($S$53:$S$853,ROW()-52),"")</f>
        <v/>
      </c>
      <c r="D422">
        <f>IFERROR(INDEX($W$53:$W$853,ROW()-52),"")</f>
        <v/>
      </c>
      <c r="E422">
        <f>IFERROR(C422-D422,"")</f>
        <v/>
      </c>
    </row>
    <row r="423">
      <c r="B423" s="23">
        <f>IFERROR(INDEX($R$53:$R$853,ROW()-52),"")</f>
        <v/>
      </c>
      <c r="C423">
        <f>IFERROR(INDEX($S$53:$S$853,ROW()-52),"")</f>
        <v/>
      </c>
      <c r="D423">
        <f>IFERROR(INDEX($W$53:$W$853,ROW()-52),"")</f>
        <v/>
      </c>
      <c r="E423">
        <f>IFERROR(C423-D423,"")</f>
        <v/>
      </c>
    </row>
    <row r="424">
      <c r="B424" s="23">
        <f>IFERROR(INDEX($R$53:$R$853,ROW()-52),"")</f>
        <v/>
      </c>
      <c r="C424">
        <f>IFERROR(INDEX($S$53:$S$853,ROW()-52),"")</f>
        <v/>
      </c>
      <c r="D424">
        <f>IFERROR(INDEX($W$53:$W$853,ROW()-52),"")</f>
        <v/>
      </c>
      <c r="E424">
        <f>IFERROR(C424-D424,"")</f>
        <v/>
      </c>
    </row>
    <row r="425">
      <c r="B425" s="23">
        <f>IFERROR(INDEX($R$53:$R$853,ROW()-52),"")</f>
        <v/>
      </c>
      <c r="C425">
        <f>IFERROR(INDEX($S$53:$S$853,ROW()-52),"")</f>
        <v/>
      </c>
      <c r="D425">
        <f>IFERROR(INDEX($W$53:$W$853,ROW()-52),"")</f>
        <v/>
      </c>
      <c r="E425">
        <f>IFERROR(C425-D425,"")</f>
        <v/>
      </c>
    </row>
    <row r="426">
      <c r="B426" s="23">
        <f>IFERROR(INDEX($R$53:$R$853,ROW()-52),"")</f>
        <v/>
      </c>
      <c r="C426">
        <f>IFERROR(INDEX($S$53:$S$853,ROW()-52),"")</f>
        <v/>
      </c>
      <c r="D426">
        <f>IFERROR(INDEX($W$53:$W$853,ROW()-52),"")</f>
        <v/>
      </c>
      <c r="E426">
        <f>IFERROR(C426-D426,"")</f>
        <v/>
      </c>
    </row>
    <row r="427">
      <c r="B427" s="23">
        <f>IFERROR(INDEX($R$53:$R$853,ROW()-52),"")</f>
        <v/>
      </c>
      <c r="C427">
        <f>IFERROR(INDEX($S$53:$S$853,ROW()-52),"")</f>
        <v/>
      </c>
      <c r="D427">
        <f>IFERROR(INDEX($W$53:$W$853,ROW()-52),"")</f>
        <v/>
      </c>
      <c r="E427">
        <f>IFERROR(C427-D427,"")</f>
        <v/>
      </c>
    </row>
    <row r="428">
      <c r="B428" s="23">
        <f>IFERROR(INDEX($R$53:$R$853,ROW()-52),"")</f>
        <v/>
      </c>
      <c r="C428">
        <f>IFERROR(INDEX($S$53:$S$853,ROW()-52),"")</f>
        <v/>
      </c>
      <c r="D428">
        <f>IFERROR(INDEX($W$53:$W$853,ROW()-52),"")</f>
        <v/>
      </c>
      <c r="E428">
        <f>IFERROR(C428-D428,"")</f>
        <v/>
      </c>
    </row>
    <row r="429">
      <c r="B429" s="23">
        <f>IFERROR(INDEX($R$53:$R$853,ROW()-52),"")</f>
        <v/>
      </c>
      <c r="C429">
        <f>IFERROR(INDEX($S$53:$S$853,ROW()-52),"")</f>
        <v/>
      </c>
      <c r="D429">
        <f>IFERROR(INDEX($W$53:$W$853,ROW()-52),"")</f>
        <v/>
      </c>
      <c r="E429">
        <f>IFERROR(C429-D429,"")</f>
        <v/>
      </c>
    </row>
    <row r="430">
      <c r="B430" s="23">
        <f>IFERROR(INDEX($R$53:$R$853,ROW()-52),"")</f>
        <v/>
      </c>
      <c r="C430">
        <f>IFERROR(INDEX($S$53:$S$853,ROW()-52),"")</f>
        <v/>
      </c>
      <c r="D430">
        <f>IFERROR(INDEX($W$53:$W$853,ROW()-52),"")</f>
        <v/>
      </c>
      <c r="E430">
        <f>IFERROR(C430-D430,"")</f>
        <v/>
      </c>
    </row>
    <row r="431">
      <c r="B431" s="23">
        <f>IFERROR(INDEX($R$53:$R$853,ROW()-52),"")</f>
        <v/>
      </c>
      <c r="C431">
        <f>IFERROR(INDEX($S$53:$S$853,ROW()-52),"")</f>
        <v/>
      </c>
      <c r="D431">
        <f>IFERROR(INDEX($W$53:$W$853,ROW()-52),"")</f>
        <v/>
      </c>
      <c r="E431">
        <f>IFERROR(C431-D431,"")</f>
        <v/>
      </c>
    </row>
    <row r="432">
      <c r="B432" s="23">
        <f>IFERROR(INDEX($R$53:$R$853,ROW()-52),"")</f>
        <v/>
      </c>
      <c r="C432">
        <f>IFERROR(INDEX($S$53:$S$853,ROW()-52),"")</f>
        <v/>
      </c>
      <c r="D432">
        <f>IFERROR(INDEX($W$53:$W$853,ROW()-52),"")</f>
        <v/>
      </c>
      <c r="E432">
        <f>IFERROR(C432-D432,"")</f>
        <v/>
      </c>
    </row>
    <row r="433">
      <c r="B433" s="23">
        <f>IFERROR(INDEX($R$53:$R$853,ROW()-52),"")</f>
        <v/>
      </c>
      <c r="C433">
        <f>IFERROR(INDEX($S$53:$S$853,ROW()-52),"")</f>
        <v/>
      </c>
      <c r="D433">
        <f>IFERROR(INDEX($W$53:$W$853,ROW()-52),"")</f>
        <v/>
      </c>
      <c r="E433">
        <f>IFERROR(C433-D433,"")</f>
        <v/>
      </c>
    </row>
    <row r="434">
      <c r="B434" s="23">
        <f>IFERROR(INDEX($R$53:$R$853,ROW()-52),"")</f>
        <v/>
      </c>
      <c r="C434">
        <f>IFERROR(INDEX($S$53:$S$853,ROW()-52),"")</f>
        <v/>
      </c>
      <c r="D434">
        <f>IFERROR(INDEX($W$53:$W$853,ROW()-52),"")</f>
        <v/>
      </c>
      <c r="E434">
        <f>IFERROR(C434-D434,"")</f>
        <v/>
      </c>
    </row>
    <row r="435">
      <c r="B435" s="23">
        <f>IFERROR(INDEX($R$53:$R$853,ROW()-52),"")</f>
        <v/>
      </c>
      <c r="C435">
        <f>IFERROR(INDEX($S$53:$S$853,ROW()-52),"")</f>
        <v/>
      </c>
      <c r="D435">
        <f>IFERROR(INDEX($W$53:$W$853,ROW()-52),"")</f>
        <v/>
      </c>
      <c r="E435">
        <f>IFERROR(C435-D435,"")</f>
        <v/>
      </c>
    </row>
    <row r="436">
      <c r="B436" s="23">
        <f>IFERROR(INDEX($R$53:$R$853,ROW()-52),"")</f>
        <v/>
      </c>
      <c r="C436">
        <f>IFERROR(INDEX($S$53:$S$853,ROW()-52),"")</f>
        <v/>
      </c>
      <c r="D436">
        <f>IFERROR(INDEX($W$53:$W$853,ROW()-52),"")</f>
        <v/>
      </c>
      <c r="E436">
        <f>IFERROR(C436-D436,"")</f>
        <v/>
      </c>
    </row>
    <row r="437">
      <c r="B437" s="23">
        <f>IFERROR(INDEX($R$53:$R$853,ROW()-52),"")</f>
        <v/>
      </c>
      <c r="C437">
        <f>IFERROR(INDEX($S$53:$S$853,ROW()-52),"")</f>
        <v/>
      </c>
      <c r="D437">
        <f>IFERROR(INDEX($W$53:$W$853,ROW()-52),"")</f>
        <v/>
      </c>
      <c r="E437">
        <f>IFERROR(C437-D437,"")</f>
        <v/>
      </c>
    </row>
    <row r="438">
      <c r="B438" s="23">
        <f>IFERROR(INDEX($R$53:$R$853,ROW()-52),"")</f>
        <v/>
      </c>
      <c r="C438">
        <f>IFERROR(INDEX($S$53:$S$853,ROW()-52),"")</f>
        <v/>
      </c>
      <c r="D438">
        <f>IFERROR(INDEX($W$53:$W$853,ROW()-52),"")</f>
        <v/>
      </c>
      <c r="E438">
        <f>IFERROR(C438-D438,"")</f>
        <v/>
      </c>
    </row>
    <row r="439">
      <c r="B439" s="23">
        <f>IFERROR(INDEX($R$53:$R$853,ROW()-52),"")</f>
        <v/>
      </c>
      <c r="C439">
        <f>IFERROR(INDEX($S$53:$S$853,ROW()-52),"")</f>
        <v/>
      </c>
      <c r="D439">
        <f>IFERROR(INDEX($W$53:$W$853,ROW()-52),"")</f>
        <v/>
      </c>
      <c r="E439">
        <f>IFERROR(C439-D439,"")</f>
        <v/>
      </c>
    </row>
    <row r="440">
      <c r="B440" s="23">
        <f>IFERROR(INDEX($R$53:$R$853,ROW()-52),"")</f>
        <v/>
      </c>
      <c r="C440">
        <f>IFERROR(INDEX($S$53:$S$853,ROW()-52),"")</f>
        <v/>
      </c>
      <c r="D440">
        <f>IFERROR(INDEX($W$53:$W$853,ROW()-52),"")</f>
        <v/>
      </c>
      <c r="E440">
        <f>IFERROR(C440-D440,"")</f>
        <v/>
      </c>
    </row>
    <row r="441">
      <c r="B441" s="23">
        <f>IFERROR(INDEX($R$53:$R$853,ROW()-52),"")</f>
        <v/>
      </c>
      <c r="C441">
        <f>IFERROR(INDEX($S$53:$S$853,ROW()-52),"")</f>
        <v/>
      </c>
      <c r="D441">
        <f>IFERROR(INDEX($W$53:$W$853,ROW()-52),"")</f>
        <v/>
      </c>
      <c r="E441">
        <f>IFERROR(C441-D441,"")</f>
        <v/>
      </c>
    </row>
    <row r="442">
      <c r="B442" s="23">
        <f>IFERROR(INDEX($R$53:$R$853,ROW()-52),"")</f>
        <v/>
      </c>
      <c r="C442">
        <f>IFERROR(INDEX($S$53:$S$853,ROW()-52),"")</f>
        <v/>
      </c>
      <c r="D442">
        <f>IFERROR(INDEX($W$53:$W$853,ROW()-52),"")</f>
        <v/>
      </c>
      <c r="E442">
        <f>IFERROR(C442-D442,"")</f>
        <v/>
      </c>
    </row>
    <row r="443">
      <c r="B443" s="23">
        <f>IFERROR(INDEX($R$53:$R$853,ROW()-52),"")</f>
        <v/>
      </c>
      <c r="C443">
        <f>IFERROR(INDEX($S$53:$S$853,ROW()-52),"")</f>
        <v/>
      </c>
      <c r="D443">
        <f>IFERROR(INDEX($W$53:$W$853,ROW()-52),"")</f>
        <v/>
      </c>
      <c r="E443">
        <f>IFERROR(C443-D443,"")</f>
        <v/>
      </c>
    </row>
    <row r="444">
      <c r="B444" s="23">
        <f>IFERROR(INDEX($R$53:$R$853,ROW()-52),"")</f>
        <v/>
      </c>
      <c r="C444">
        <f>IFERROR(INDEX($S$53:$S$853,ROW()-52),"")</f>
        <v/>
      </c>
      <c r="D444">
        <f>IFERROR(INDEX($W$53:$W$853,ROW()-52),"")</f>
        <v/>
      </c>
      <c r="E444">
        <f>IFERROR(C444-D444,"")</f>
        <v/>
      </c>
    </row>
    <row r="445">
      <c r="B445" s="23">
        <f>IFERROR(INDEX($R$53:$R$853,ROW()-52),"")</f>
        <v/>
      </c>
      <c r="C445">
        <f>IFERROR(INDEX($S$53:$S$853,ROW()-52),"")</f>
        <v/>
      </c>
      <c r="D445">
        <f>IFERROR(INDEX($W$53:$W$853,ROW()-52),"")</f>
        <v/>
      </c>
      <c r="E445">
        <f>IFERROR(C445-D445,"")</f>
        <v/>
      </c>
    </row>
    <row r="446">
      <c r="B446" s="23">
        <f>IFERROR(INDEX($R$53:$R$853,ROW()-52),"")</f>
        <v/>
      </c>
      <c r="C446">
        <f>IFERROR(INDEX($S$53:$S$853,ROW()-52),"")</f>
        <v/>
      </c>
      <c r="D446">
        <f>IFERROR(INDEX($W$53:$W$853,ROW()-52),"")</f>
        <v/>
      </c>
      <c r="E446">
        <f>IFERROR(C446-D446,"")</f>
        <v/>
      </c>
    </row>
    <row r="447">
      <c r="B447" s="23">
        <f>IFERROR(INDEX($R$53:$R$853,ROW()-52),"")</f>
        <v/>
      </c>
      <c r="C447">
        <f>IFERROR(INDEX($S$53:$S$853,ROW()-52),"")</f>
        <v/>
      </c>
      <c r="D447">
        <f>IFERROR(INDEX($W$53:$W$853,ROW()-52),"")</f>
        <v/>
      </c>
      <c r="E447">
        <f>IFERROR(C447-D447,"")</f>
        <v/>
      </c>
    </row>
    <row r="448">
      <c r="B448" s="23">
        <f>IFERROR(INDEX($R$53:$R$853,ROW()-52),"")</f>
        <v/>
      </c>
      <c r="C448">
        <f>IFERROR(INDEX($S$53:$S$853,ROW()-52),"")</f>
        <v/>
      </c>
      <c r="D448">
        <f>IFERROR(INDEX($W$53:$W$853,ROW()-52),"")</f>
        <v/>
      </c>
      <c r="E448">
        <f>IFERROR(C448-D448,"")</f>
        <v/>
      </c>
    </row>
    <row r="449">
      <c r="B449" s="23">
        <f>IFERROR(INDEX($R$53:$R$853,ROW()-52),"")</f>
        <v/>
      </c>
      <c r="C449">
        <f>IFERROR(INDEX($S$53:$S$853,ROW()-52),"")</f>
        <v/>
      </c>
      <c r="D449">
        <f>IFERROR(INDEX($W$53:$W$853,ROW()-52),"")</f>
        <v/>
      </c>
      <c r="E449">
        <f>IFERROR(C449-D449,"")</f>
        <v/>
      </c>
    </row>
    <row r="450">
      <c r="B450" s="23">
        <f>IFERROR(INDEX($R$53:$R$853,ROW()-52),"")</f>
        <v/>
      </c>
      <c r="C450">
        <f>IFERROR(INDEX($S$53:$S$853,ROW()-52),"")</f>
        <v/>
      </c>
      <c r="D450">
        <f>IFERROR(INDEX($W$53:$W$853,ROW()-52),"")</f>
        <v/>
      </c>
      <c r="E450">
        <f>IFERROR(C450-D450,"")</f>
        <v/>
      </c>
    </row>
    <row r="451">
      <c r="B451" s="23">
        <f>IFERROR(INDEX($R$53:$R$853,ROW()-52),"")</f>
        <v/>
      </c>
      <c r="C451">
        <f>IFERROR(INDEX($S$53:$S$853,ROW()-52),"")</f>
        <v/>
      </c>
      <c r="D451">
        <f>IFERROR(INDEX($W$53:$W$853,ROW()-52),"")</f>
        <v/>
      </c>
      <c r="E451">
        <f>IFERROR(C451-D451,"")</f>
        <v/>
      </c>
    </row>
    <row r="452">
      <c r="B452" s="23">
        <f>IFERROR(INDEX($R$53:$R$853,ROW()-52),"")</f>
        <v/>
      </c>
      <c r="C452">
        <f>IFERROR(INDEX($S$53:$S$853,ROW()-52),"")</f>
        <v/>
      </c>
      <c r="D452">
        <f>IFERROR(INDEX($W$53:$W$853,ROW()-52),"")</f>
        <v/>
      </c>
      <c r="E452">
        <f>IFERROR(C452-D452,"")</f>
        <v/>
      </c>
    </row>
    <row r="453">
      <c r="B453" s="23">
        <f>IFERROR(INDEX($R$53:$R$853,ROW()-52),"")</f>
        <v/>
      </c>
      <c r="C453">
        <f>IFERROR(INDEX($S$53:$S$853,ROW()-52),"")</f>
        <v/>
      </c>
      <c r="D453">
        <f>IFERROR(INDEX($W$53:$W$853,ROW()-52),"")</f>
        <v/>
      </c>
      <c r="E453">
        <f>IFERROR(C453-D453,"")</f>
        <v/>
      </c>
    </row>
    <row r="454">
      <c r="B454" s="23">
        <f>IFERROR(INDEX($R$53:$R$853,ROW()-52),"")</f>
        <v/>
      </c>
      <c r="C454">
        <f>IFERROR(INDEX($S$53:$S$853,ROW()-52),"")</f>
        <v/>
      </c>
      <c r="D454">
        <f>IFERROR(INDEX($W$53:$W$853,ROW()-52),"")</f>
        <v/>
      </c>
      <c r="E454">
        <f>IFERROR(C454-D454,"")</f>
        <v/>
      </c>
    </row>
    <row r="455">
      <c r="B455" s="23">
        <f>IFERROR(INDEX($R$53:$R$853,ROW()-52),"")</f>
        <v/>
      </c>
      <c r="C455">
        <f>IFERROR(INDEX($S$53:$S$853,ROW()-52),"")</f>
        <v/>
      </c>
      <c r="D455">
        <f>IFERROR(INDEX($W$53:$W$853,ROW()-52),"")</f>
        <v/>
      </c>
      <c r="E455">
        <f>IFERROR(C455-D455,"")</f>
        <v/>
      </c>
    </row>
    <row r="456">
      <c r="B456" s="23">
        <f>IFERROR(INDEX($R$53:$R$853,ROW()-52),"")</f>
        <v/>
      </c>
      <c r="C456">
        <f>IFERROR(INDEX($S$53:$S$853,ROW()-52),"")</f>
        <v/>
      </c>
      <c r="D456">
        <f>IFERROR(INDEX($W$53:$W$853,ROW()-52),"")</f>
        <v/>
      </c>
      <c r="E456">
        <f>IFERROR(C456-D456,"")</f>
        <v/>
      </c>
    </row>
    <row r="457">
      <c r="B457" s="23">
        <f>IFERROR(INDEX($R$53:$R$853,ROW()-52),"")</f>
        <v/>
      </c>
      <c r="C457">
        <f>IFERROR(INDEX($S$53:$S$853,ROW()-52),"")</f>
        <v/>
      </c>
      <c r="D457">
        <f>IFERROR(INDEX($W$53:$W$853,ROW()-52),"")</f>
        <v/>
      </c>
      <c r="E457">
        <f>IFERROR(C457-D457,"")</f>
        <v/>
      </c>
    </row>
    <row r="458">
      <c r="B458" s="23">
        <f>IFERROR(INDEX($R$53:$R$853,ROW()-52),"")</f>
        <v/>
      </c>
      <c r="C458">
        <f>IFERROR(INDEX($S$53:$S$853,ROW()-52),"")</f>
        <v/>
      </c>
      <c r="D458">
        <f>IFERROR(INDEX($W$53:$W$853,ROW()-52),"")</f>
        <v/>
      </c>
      <c r="E458">
        <f>IFERROR(C458-D458,"")</f>
        <v/>
      </c>
    </row>
    <row r="459">
      <c r="B459" s="23">
        <f>IFERROR(INDEX($R$53:$R$853,ROW()-52),"")</f>
        <v/>
      </c>
      <c r="C459">
        <f>IFERROR(INDEX($S$53:$S$853,ROW()-52),"")</f>
        <v/>
      </c>
      <c r="D459">
        <f>IFERROR(INDEX($W$53:$W$853,ROW()-52),"")</f>
        <v/>
      </c>
      <c r="E459">
        <f>IFERROR(C459-D459,"")</f>
        <v/>
      </c>
    </row>
    <row r="460">
      <c r="B460" s="23">
        <f>IFERROR(INDEX($R$53:$R$853,ROW()-52),"")</f>
        <v/>
      </c>
      <c r="C460">
        <f>IFERROR(INDEX($S$53:$S$853,ROW()-52),"")</f>
        <v/>
      </c>
      <c r="D460">
        <f>IFERROR(INDEX($W$53:$W$853,ROW()-52),"")</f>
        <v/>
      </c>
      <c r="E460">
        <f>IFERROR(C460-D460,"")</f>
        <v/>
      </c>
    </row>
    <row r="461">
      <c r="B461" s="23">
        <f>IFERROR(INDEX($R$53:$R$853,ROW()-52),"")</f>
        <v/>
      </c>
      <c r="C461">
        <f>IFERROR(INDEX($S$53:$S$853,ROW()-52),"")</f>
        <v/>
      </c>
      <c r="D461">
        <f>IFERROR(INDEX($W$53:$W$853,ROW()-52),"")</f>
        <v/>
      </c>
      <c r="E461">
        <f>IFERROR(C461-D461,"")</f>
        <v/>
      </c>
    </row>
    <row r="462">
      <c r="B462" s="23">
        <f>IFERROR(INDEX($R$53:$R$853,ROW()-52),"")</f>
        <v/>
      </c>
      <c r="C462">
        <f>IFERROR(INDEX($S$53:$S$853,ROW()-52),"")</f>
        <v/>
      </c>
      <c r="D462">
        <f>IFERROR(INDEX($W$53:$W$853,ROW()-52),"")</f>
        <v/>
      </c>
      <c r="E462">
        <f>IFERROR(C462-D462,"")</f>
        <v/>
      </c>
    </row>
    <row r="463">
      <c r="B463" s="23">
        <f>IFERROR(INDEX($R$53:$R$853,ROW()-52),"")</f>
        <v/>
      </c>
      <c r="C463">
        <f>IFERROR(INDEX($S$53:$S$853,ROW()-52),"")</f>
        <v/>
      </c>
      <c r="D463">
        <f>IFERROR(INDEX($W$53:$W$853,ROW()-52),"")</f>
        <v/>
      </c>
      <c r="E463">
        <f>IFERROR(C463-D463,"")</f>
        <v/>
      </c>
    </row>
    <row r="464">
      <c r="B464" s="23">
        <f>IFERROR(INDEX($R$53:$R$853,ROW()-52),"")</f>
        <v/>
      </c>
      <c r="C464">
        <f>IFERROR(INDEX($S$53:$S$853,ROW()-52),"")</f>
        <v/>
      </c>
      <c r="D464">
        <f>IFERROR(INDEX($W$53:$W$853,ROW()-52),"")</f>
        <v/>
      </c>
      <c r="E464">
        <f>IFERROR(C464-D464,"")</f>
        <v/>
      </c>
    </row>
    <row r="465">
      <c r="B465" s="23">
        <f>IFERROR(INDEX($R$53:$R$853,ROW()-52),"")</f>
        <v/>
      </c>
      <c r="C465">
        <f>IFERROR(INDEX($S$53:$S$853,ROW()-52),"")</f>
        <v/>
      </c>
      <c r="D465">
        <f>IFERROR(INDEX($W$53:$W$853,ROW()-52),"")</f>
        <v/>
      </c>
      <c r="E465">
        <f>IFERROR(C465-D465,"")</f>
        <v/>
      </c>
    </row>
    <row r="466">
      <c r="B466" s="23">
        <f>IFERROR(INDEX($R$53:$R$853,ROW()-52),"")</f>
        <v/>
      </c>
      <c r="C466">
        <f>IFERROR(INDEX($S$53:$S$853,ROW()-52),"")</f>
        <v/>
      </c>
      <c r="D466">
        <f>IFERROR(INDEX($W$53:$W$853,ROW()-52),"")</f>
        <v/>
      </c>
      <c r="E466">
        <f>IFERROR(C466-D466,"")</f>
        <v/>
      </c>
    </row>
    <row r="467">
      <c r="B467" s="23">
        <f>IFERROR(INDEX($R$53:$R$853,ROW()-52),"")</f>
        <v/>
      </c>
      <c r="C467">
        <f>IFERROR(INDEX($S$53:$S$853,ROW()-52),"")</f>
        <v/>
      </c>
      <c r="D467">
        <f>IFERROR(INDEX($W$53:$W$853,ROW()-52),"")</f>
        <v/>
      </c>
      <c r="E467">
        <f>IFERROR(C467-D467,"")</f>
        <v/>
      </c>
    </row>
    <row r="468">
      <c r="B468" s="23">
        <f>IFERROR(INDEX($R$53:$R$853,ROW()-52),"")</f>
        <v/>
      </c>
      <c r="C468">
        <f>IFERROR(INDEX($S$53:$S$853,ROW()-52),"")</f>
        <v/>
      </c>
      <c r="D468">
        <f>IFERROR(INDEX($W$53:$W$853,ROW()-52),"")</f>
        <v/>
      </c>
      <c r="E468">
        <f>IFERROR(C468-D468,"")</f>
        <v/>
      </c>
    </row>
    <row r="469">
      <c r="B469" s="23">
        <f>IFERROR(INDEX($R$53:$R$853,ROW()-52),"")</f>
        <v/>
      </c>
      <c r="C469">
        <f>IFERROR(INDEX($S$53:$S$853,ROW()-52),"")</f>
        <v/>
      </c>
      <c r="D469">
        <f>IFERROR(INDEX($W$53:$W$853,ROW()-52),"")</f>
        <v/>
      </c>
      <c r="E469">
        <f>IFERROR(C469-D469,"")</f>
        <v/>
      </c>
    </row>
    <row r="470">
      <c r="B470" s="23">
        <f>IFERROR(INDEX($R$53:$R$853,ROW()-52),"")</f>
        <v/>
      </c>
      <c r="C470">
        <f>IFERROR(INDEX($S$53:$S$853,ROW()-52),"")</f>
        <v/>
      </c>
      <c r="D470">
        <f>IFERROR(INDEX($W$53:$W$853,ROW()-52),"")</f>
        <v/>
      </c>
      <c r="E470">
        <f>IFERROR(C470-D470,"")</f>
        <v/>
      </c>
    </row>
    <row r="471">
      <c r="B471" s="23">
        <f>IFERROR(INDEX($R$53:$R$853,ROW()-52),"")</f>
        <v/>
      </c>
      <c r="C471">
        <f>IFERROR(INDEX($S$53:$S$853,ROW()-52),"")</f>
        <v/>
      </c>
      <c r="D471">
        <f>IFERROR(INDEX($W$53:$W$853,ROW()-52),"")</f>
        <v/>
      </c>
      <c r="E471">
        <f>IFERROR(C471-D471,"")</f>
        <v/>
      </c>
    </row>
    <row r="472">
      <c r="B472" s="23">
        <f>IFERROR(INDEX($R$53:$R$853,ROW()-52),"")</f>
        <v/>
      </c>
      <c r="C472">
        <f>IFERROR(INDEX($S$53:$S$853,ROW()-52),"")</f>
        <v/>
      </c>
      <c r="D472">
        <f>IFERROR(INDEX($W$53:$W$853,ROW()-52),"")</f>
        <v/>
      </c>
      <c r="E472">
        <f>IFERROR(C472-D472,"")</f>
        <v/>
      </c>
    </row>
    <row r="473">
      <c r="B473" s="23">
        <f>IFERROR(INDEX($R$53:$R$853,ROW()-52),"")</f>
        <v/>
      </c>
      <c r="C473">
        <f>IFERROR(INDEX($S$53:$S$853,ROW()-52),"")</f>
        <v/>
      </c>
      <c r="D473">
        <f>IFERROR(INDEX($W$53:$W$853,ROW()-52),"")</f>
        <v/>
      </c>
      <c r="E473">
        <f>IFERROR(C473-D473,"")</f>
        <v/>
      </c>
    </row>
    <row r="474">
      <c r="B474" s="23">
        <f>IFERROR(INDEX($R$53:$R$853,ROW()-52),"")</f>
        <v/>
      </c>
      <c r="C474">
        <f>IFERROR(INDEX($S$53:$S$853,ROW()-52),"")</f>
        <v/>
      </c>
      <c r="D474">
        <f>IFERROR(INDEX($W$53:$W$853,ROW()-52),"")</f>
        <v/>
      </c>
      <c r="E474">
        <f>IFERROR(C474-D474,"")</f>
        <v/>
      </c>
    </row>
    <row r="475">
      <c r="B475" s="23">
        <f>IFERROR(INDEX($R$53:$R$853,ROW()-52),"")</f>
        <v/>
      </c>
      <c r="C475">
        <f>IFERROR(INDEX($S$53:$S$853,ROW()-52),"")</f>
        <v/>
      </c>
      <c r="D475">
        <f>IFERROR(INDEX($W$53:$W$853,ROW()-52),"")</f>
        <v/>
      </c>
      <c r="E475">
        <f>IFERROR(C475-D475,"")</f>
        <v/>
      </c>
    </row>
    <row r="476">
      <c r="B476" s="23">
        <f>IFERROR(INDEX($R$53:$R$853,ROW()-52),"")</f>
        <v/>
      </c>
      <c r="C476">
        <f>IFERROR(INDEX($S$53:$S$853,ROW()-52),"")</f>
        <v/>
      </c>
      <c r="D476">
        <f>IFERROR(INDEX($W$53:$W$853,ROW()-52),"")</f>
        <v/>
      </c>
      <c r="E476">
        <f>IFERROR(C476-D476,"")</f>
        <v/>
      </c>
    </row>
    <row r="477">
      <c r="B477" s="23">
        <f>IFERROR(INDEX($R$53:$R$853,ROW()-52),"")</f>
        <v/>
      </c>
      <c r="C477">
        <f>IFERROR(INDEX($S$53:$S$853,ROW()-52),"")</f>
        <v/>
      </c>
      <c r="D477">
        <f>IFERROR(INDEX($W$53:$W$853,ROW()-52),"")</f>
        <v/>
      </c>
      <c r="E477">
        <f>IFERROR(C477-D477,"")</f>
        <v/>
      </c>
    </row>
    <row r="478">
      <c r="B478" s="23">
        <f>IFERROR(INDEX($R$53:$R$853,ROW()-52),"")</f>
        <v/>
      </c>
      <c r="C478">
        <f>IFERROR(INDEX($S$53:$S$853,ROW()-52),"")</f>
        <v/>
      </c>
      <c r="D478">
        <f>IFERROR(INDEX($W$53:$W$853,ROW()-52),"")</f>
        <v/>
      </c>
      <c r="E478">
        <f>IFERROR(C478-D478,"")</f>
        <v/>
      </c>
    </row>
    <row r="479">
      <c r="B479" s="23">
        <f>IFERROR(INDEX($R$53:$R$853,ROW()-52),"")</f>
        <v/>
      </c>
      <c r="C479">
        <f>IFERROR(INDEX($S$53:$S$853,ROW()-52),"")</f>
        <v/>
      </c>
      <c r="D479">
        <f>IFERROR(INDEX($W$53:$W$853,ROW()-52),"")</f>
        <v/>
      </c>
      <c r="E479">
        <f>IFERROR(C479-D479,"")</f>
        <v/>
      </c>
    </row>
    <row r="480">
      <c r="B480" s="23">
        <f>IFERROR(INDEX($R$53:$R$853,ROW()-52),"")</f>
        <v/>
      </c>
      <c r="C480">
        <f>IFERROR(INDEX($S$53:$S$853,ROW()-52),"")</f>
        <v/>
      </c>
      <c r="D480">
        <f>IFERROR(INDEX($W$53:$W$853,ROW()-52),"")</f>
        <v/>
      </c>
      <c r="E480">
        <f>IFERROR(C480-D480,"")</f>
        <v/>
      </c>
    </row>
    <row r="481">
      <c r="B481" s="23">
        <f>IFERROR(INDEX($R$53:$R$853,ROW()-52),"")</f>
        <v/>
      </c>
      <c r="C481">
        <f>IFERROR(INDEX($S$53:$S$853,ROW()-52),"")</f>
        <v/>
      </c>
      <c r="D481">
        <f>IFERROR(INDEX($W$53:$W$853,ROW()-52),"")</f>
        <v/>
      </c>
      <c r="E481">
        <f>IFERROR(C481-D481,"")</f>
        <v/>
      </c>
    </row>
    <row r="482">
      <c r="B482" s="23">
        <f>IFERROR(INDEX($R$53:$R$853,ROW()-52),"")</f>
        <v/>
      </c>
      <c r="C482">
        <f>IFERROR(INDEX($S$53:$S$853,ROW()-52),"")</f>
        <v/>
      </c>
      <c r="D482">
        <f>IFERROR(INDEX($W$53:$W$853,ROW()-52),"")</f>
        <v/>
      </c>
      <c r="E482">
        <f>IFERROR(C482-D482,"")</f>
        <v/>
      </c>
    </row>
    <row r="483">
      <c r="B483" s="23">
        <f>IFERROR(INDEX($R$53:$R$853,ROW()-52),"")</f>
        <v/>
      </c>
      <c r="C483">
        <f>IFERROR(INDEX($S$53:$S$853,ROW()-52),"")</f>
        <v/>
      </c>
      <c r="D483">
        <f>IFERROR(INDEX($W$53:$W$853,ROW()-52),"")</f>
        <v/>
      </c>
      <c r="E483">
        <f>IFERROR(C483-D483,"")</f>
        <v/>
      </c>
    </row>
    <row r="484">
      <c r="B484" s="23">
        <f>IFERROR(INDEX($R$53:$R$853,ROW()-52),"")</f>
        <v/>
      </c>
      <c r="C484">
        <f>IFERROR(INDEX($S$53:$S$853,ROW()-52),"")</f>
        <v/>
      </c>
      <c r="D484">
        <f>IFERROR(INDEX($W$53:$W$853,ROW()-52),"")</f>
        <v/>
      </c>
      <c r="E484">
        <f>IFERROR(C484-D484,"")</f>
        <v/>
      </c>
    </row>
    <row r="485">
      <c r="B485" s="23">
        <f>IFERROR(INDEX($R$53:$R$853,ROW()-52),"")</f>
        <v/>
      </c>
      <c r="C485">
        <f>IFERROR(INDEX($S$53:$S$853,ROW()-52),"")</f>
        <v/>
      </c>
      <c r="D485">
        <f>IFERROR(INDEX($W$53:$W$853,ROW()-52),"")</f>
        <v/>
      </c>
      <c r="E485">
        <f>IFERROR(C485-D485,"")</f>
        <v/>
      </c>
    </row>
    <row r="486">
      <c r="B486" s="23">
        <f>IFERROR(INDEX($R$53:$R$853,ROW()-52),"")</f>
        <v/>
      </c>
      <c r="C486">
        <f>IFERROR(INDEX($S$53:$S$853,ROW()-52),"")</f>
        <v/>
      </c>
      <c r="D486">
        <f>IFERROR(INDEX($W$53:$W$853,ROW()-52),"")</f>
        <v/>
      </c>
      <c r="E486">
        <f>IFERROR(C486-D486,"")</f>
        <v/>
      </c>
    </row>
    <row r="487">
      <c r="B487" s="23">
        <f>IFERROR(INDEX($R$53:$R$853,ROW()-52),"")</f>
        <v/>
      </c>
      <c r="C487">
        <f>IFERROR(INDEX($S$53:$S$853,ROW()-52),"")</f>
        <v/>
      </c>
      <c r="D487">
        <f>IFERROR(INDEX($W$53:$W$853,ROW()-52),"")</f>
        <v/>
      </c>
      <c r="E487">
        <f>IFERROR(C487-D487,"")</f>
        <v/>
      </c>
    </row>
    <row r="488">
      <c r="B488" s="23">
        <f>IFERROR(INDEX($R$53:$R$853,ROW()-52),"")</f>
        <v/>
      </c>
      <c r="C488">
        <f>IFERROR(INDEX($S$53:$S$853,ROW()-52),"")</f>
        <v/>
      </c>
      <c r="D488">
        <f>IFERROR(INDEX($W$53:$W$853,ROW()-52),"")</f>
        <v/>
      </c>
      <c r="E488">
        <f>IFERROR(C488-D488,"")</f>
        <v/>
      </c>
    </row>
    <row r="489">
      <c r="B489" s="23">
        <f>IFERROR(INDEX($R$53:$R$853,ROW()-52),"")</f>
        <v/>
      </c>
      <c r="C489">
        <f>IFERROR(INDEX($S$53:$S$853,ROW()-52),"")</f>
        <v/>
      </c>
      <c r="D489">
        <f>IFERROR(INDEX($W$53:$W$853,ROW()-52),"")</f>
        <v/>
      </c>
      <c r="E489">
        <f>IFERROR(C489-D489,"")</f>
        <v/>
      </c>
    </row>
    <row r="490">
      <c r="B490" s="23">
        <f>IFERROR(INDEX($R$53:$R$853,ROW()-52),"")</f>
        <v/>
      </c>
      <c r="C490">
        <f>IFERROR(INDEX($S$53:$S$853,ROW()-52),"")</f>
        <v/>
      </c>
      <c r="D490">
        <f>IFERROR(INDEX($W$53:$W$853,ROW()-52),"")</f>
        <v/>
      </c>
      <c r="E490">
        <f>IFERROR(C490-D490,"")</f>
        <v/>
      </c>
    </row>
    <row r="491">
      <c r="B491" s="23">
        <f>IFERROR(INDEX($R$53:$R$853,ROW()-52),"")</f>
        <v/>
      </c>
      <c r="C491">
        <f>IFERROR(INDEX($S$53:$S$853,ROW()-52),"")</f>
        <v/>
      </c>
      <c r="D491">
        <f>IFERROR(INDEX($W$53:$W$853,ROW()-52),"")</f>
        <v/>
      </c>
      <c r="E491">
        <f>IFERROR(C491-D491,"")</f>
        <v/>
      </c>
    </row>
    <row r="492">
      <c r="B492" s="23">
        <f>IFERROR(INDEX($R$53:$R$853,ROW()-52),"")</f>
        <v/>
      </c>
      <c r="C492">
        <f>IFERROR(INDEX($S$53:$S$853,ROW()-52),"")</f>
        <v/>
      </c>
      <c r="D492">
        <f>IFERROR(INDEX($W$53:$W$853,ROW()-52),"")</f>
        <v/>
      </c>
      <c r="E492">
        <f>IFERROR(C492-D492,"")</f>
        <v/>
      </c>
    </row>
    <row r="493">
      <c r="B493" s="23">
        <f>IFERROR(INDEX($R$53:$R$853,ROW()-52),"")</f>
        <v/>
      </c>
      <c r="C493">
        <f>IFERROR(INDEX($S$53:$S$853,ROW()-52),"")</f>
        <v/>
      </c>
      <c r="D493">
        <f>IFERROR(INDEX($W$53:$W$853,ROW()-52),"")</f>
        <v/>
      </c>
      <c r="E493">
        <f>IFERROR(C493-D493,"")</f>
        <v/>
      </c>
    </row>
    <row r="494">
      <c r="B494" s="23">
        <f>IFERROR(INDEX($R$53:$R$853,ROW()-52),"")</f>
        <v/>
      </c>
      <c r="C494">
        <f>IFERROR(INDEX($S$53:$S$853,ROW()-52),"")</f>
        <v/>
      </c>
      <c r="D494">
        <f>IFERROR(INDEX($W$53:$W$853,ROW()-52),"")</f>
        <v/>
      </c>
      <c r="E494">
        <f>IFERROR(C494-D494,"")</f>
        <v/>
      </c>
    </row>
    <row r="495">
      <c r="B495" s="23">
        <f>IFERROR(INDEX($R$53:$R$853,ROW()-52),"")</f>
        <v/>
      </c>
      <c r="C495">
        <f>IFERROR(INDEX($S$53:$S$853,ROW()-52),"")</f>
        <v/>
      </c>
      <c r="D495">
        <f>IFERROR(INDEX($W$53:$W$853,ROW()-52),"")</f>
        <v/>
      </c>
      <c r="E495">
        <f>IFERROR(C495-D495,"")</f>
        <v/>
      </c>
    </row>
    <row r="496">
      <c r="B496" s="23">
        <f>IFERROR(INDEX($R$53:$R$853,ROW()-52),"")</f>
        <v/>
      </c>
      <c r="C496">
        <f>IFERROR(INDEX($S$53:$S$853,ROW()-52),"")</f>
        <v/>
      </c>
      <c r="D496">
        <f>IFERROR(INDEX($W$53:$W$853,ROW()-52),"")</f>
        <v/>
      </c>
      <c r="E496">
        <f>IFERROR(C496-D496,"")</f>
        <v/>
      </c>
    </row>
    <row r="497">
      <c r="B497" s="23">
        <f>IFERROR(INDEX($R$53:$R$853,ROW()-52),"")</f>
        <v/>
      </c>
      <c r="C497">
        <f>IFERROR(INDEX($S$53:$S$853,ROW()-52),"")</f>
        <v/>
      </c>
      <c r="D497">
        <f>IFERROR(INDEX($W$53:$W$853,ROW()-52),"")</f>
        <v/>
      </c>
      <c r="E497">
        <f>IFERROR(C497-D497,"")</f>
        <v/>
      </c>
    </row>
    <row r="498">
      <c r="B498" s="23">
        <f>IFERROR(INDEX($R$53:$R$853,ROW()-52),"")</f>
        <v/>
      </c>
      <c r="C498">
        <f>IFERROR(INDEX($S$53:$S$853,ROW()-52),"")</f>
        <v/>
      </c>
      <c r="D498">
        <f>IFERROR(INDEX($W$53:$W$853,ROW()-52),"")</f>
        <v/>
      </c>
      <c r="E498">
        <f>IFERROR(C498-D498,"")</f>
        <v/>
      </c>
    </row>
    <row r="499">
      <c r="B499" s="23">
        <f>IFERROR(INDEX($R$53:$R$853,ROW()-52),"")</f>
        <v/>
      </c>
      <c r="C499">
        <f>IFERROR(INDEX($S$53:$S$853,ROW()-52),"")</f>
        <v/>
      </c>
      <c r="D499">
        <f>IFERROR(INDEX($W$53:$W$853,ROW()-52),"")</f>
        <v/>
      </c>
      <c r="E499">
        <f>IFERROR(C499-D499,"")</f>
        <v/>
      </c>
    </row>
    <row r="500">
      <c r="B500" s="23">
        <f>IFERROR(INDEX($R$53:$R$853,ROW()-52),"")</f>
        <v/>
      </c>
      <c r="C500">
        <f>IFERROR(INDEX($S$53:$S$853,ROW()-52),"")</f>
        <v/>
      </c>
      <c r="D500">
        <f>IFERROR(INDEX($W$53:$W$853,ROW()-52),"")</f>
        <v/>
      </c>
      <c r="E500">
        <f>IFERROR(C500-D500,"")</f>
        <v/>
      </c>
    </row>
    <row r="501">
      <c r="B501" s="23">
        <f>IFERROR(INDEX($R$53:$R$853,ROW()-52),"")</f>
        <v/>
      </c>
      <c r="C501">
        <f>IFERROR(INDEX($S$53:$S$853,ROW()-52),"")</f>
        <v/>
      </c>
      <c r="D501">
        <f>IFERROR(INDEX($W$53:$W$853,ROW()-52),"")</f>
        <v/>
      </c>
      <c r="E501">
        <f>IFERROR(C501-D501,"")</f>
        <v/>
      </c>
    </row>
    <row r="502">
      <c r="B502" s="23">
        <f>IFERROR(INDEX($R$53:$R$853,ROW()-52),"")</f>
        <v/>
      </c>
      <c r="C502">
        <f>IFERROR(INDEX($S$53:$S$853,ROW()-52),"")</f>
        <v/>
      </c>
      <c r="D502">
        <f>IFERROR(INDEX($W$53:$W$853,ROW()-52),"")</f>
        <v/>
      </c>
      <c r="E502">
        <f>IFERROR(C502-D502,"")</f>
        <v/>
      </c>
    </row>
    <row r="503">
      <c r="B503" s="23">
        <f>IFERROR(INDEX($R$53:$R$853,ROW()-52),"")</f>
        <v/>
      </c>
      <c r="C503">
        <f>IFERROR(INDEX($S$53:$S$853,ROW()-52),"")</f>
        <v/>
      </c>
      <c r="D503">
        <f>IFERROR(INDEX($W$53:$W$853,ROW()-52),"")</f>
        <v/>
      </c>
      <c r="E503">
        <f>IFERROR(C503-D503,"")</f>
        <v/>
      </c>
    </row>
    <row r="504">
      <c r="B504" s="23">
        <f>IFERROR(INDEX($R$53:$R$853,ROW()-52),"")</f>
        <v/>
      </c>
      <c r="C504">
        <f>IFERROR(INDEX($S$53:$S$853,ROW()-52),"")</f>
        <v/>
      </c>
      <c r="D504">
        <f>IFERROR(INDEX($W$53:$W$853,ROW()-52),"")</f>
        <v/>
      </c>
      <c r="E504">
        <f>IFERROR(C504-D504,"")</f>
        <v/>
      </c>
    </row>
    <row r="505">
      <c r="B505" s="23">
        <f>IFERROR(INDEX($R$53:$R$853,ROW()-52),"")</f>
        <v/>
      </c>
      <c r="C505">
        <f>IFERROR(INDEX($S$53:$S$853,ROW()-52),"")</f>
        <v/>
      </c>
      <c r="D505">
        <f>IFERROR(INDEX($W$53:$W$853,ROW()-52),"")</f>
        <v/>
      </c>
      <c r="E505">
        <f>IFERROR(C505-D505,"")</f>
        <v/>
      </c>
    </row>
    <row r="506">
      <c r="B506" s="23">
        <f>IFERROR(INDEX($R$53:$R$853,ROW()-52),"")</f>
        <v/>
      </c>
      <c r="C506">
        <f>IFERROR(INDEX($S$53:$S$853,ROW()-52),"")</f>
        <v/>
      </c>
      <c r="D506">
        <f>IFERROR(INDEX($W$53:$W$853,ROW()-52),"")</f>
        <v/>
      </c>
      <c r="E506">
        <f>IFERROR(C506-D506,"")</f>
        <v/>
      </c>
    </row>
    <row r="507">
      <c r="B507" s="23">
        <f>IFERROR(INDEX($R$53:$R$853,ROW()-52),"")</f>
        <v/>
      </c>
      <c r="C507">
        <f>IFERROR(INDEX($S$53:$S$853,ROW()-52),"")</f>
        <v/>
      </c>
      <c r="D507">
        <f>IFERROR(INDEX($W$53:$W$853,ROW()-52),"")</f>
        <v/>
      </c>
      <c r="E507">
        <f>IFERROR(C507-D507,"")</f>
        <v/>
      </c>
    </row>
    <row r="508">
      <c r="B508" s="23">
        <f>IFERROR(INDEX($R$53:$R$853,ROW()-52),"")</f>
        <v/>
      </c>
      <c r="C508">
        <f>IFERROR(INDEX($S$53:$S$853,ROW()-52),"")</f>
        <v/>
      </c>
      <c r="D508">
        <f>IFERROR(INDEX($W$53:$W$853,ROW()-52),"")</f>
        <v/>
      </c>
      <c r="E508">
        <f>IFERROR(C508-D508,"")</f>
        <v/>
      </c>
    </row>
    <row r="509">
      <c r="B509" s="23">
        <f>IFERROR(INDEX($R$53:$R$853,ROW()-52),"")</f>
        <v/>
      </c>
      <c r="C509">
        <f>IFERROR(INDEX($S$53:$S$853,ROW()-52),"")</f>
        <v/>
      </c>
      <c r="D509">
        <f>IFERROR(INDEX($W$53:$W$853,ROW()-52),"")</f>
        <v/>
      </c>
      <c r="E509">
        <f>IFERROR(C509-D509,"")</f>
        <v/>
      </c>
    </row>
    <row r="510">
      <c r="B510" s="23">
        <f>IFERROR(INDEX($R$53:$R$853,ROW()-52),"")</f>
        <v/>
      </c>
      <c r="C510">
        <f>IFERROR(INDEX($S$53:$S$853,ROW()-52),"")</f>
        <v/>
      </c>
      <c r="D510">
        <f>IFERROR(INDEX($W$53:$W$853,ROW()-52),"")</f>
        <v/>
      </c>
      <c r="E510">
        <f>IFERROR(C510-D510,"")</f>
        <v/>
      </c>
    </row>
    <row r="511">
      <c r="B511" s="23">
        <f>IFERROR(INDEX($R$53:$R$853,ROW()-52),"")</f>
        <v/>
      </c>
      <c r="C511">
        <f>IFERROR(INDEX($S$53:$S$853,ROW()-52),"")</f>
        <v/>
      </c>
      <c r="D511">
        <f>IFERROR(INDEX($W$53:$W$853,ROW()-52),"")</f>
        <v/>
      </c>
      <c r="E511">
        <f>IFERROR(C511-D511,"")</f>
        <v/>
      </c>
    </row>
    <row r="512">
      <c r="B512" s="23">
        <f>IFERROR(INDEX($R$53:$R$853,ROW()-52),"")</f>
        <v/>
      </c>
      <c r="C512">
        <f>IFERROR(INDEX($S$53:$S$853,ROW()-52),"")</f>
        <v/>
      </c>
      <c r="D512">
        <f>IFERROR(INDEX($W$53:$W$853,ROW()-52),"")</f>
        <v/>
      </c>
      <c r="E512">
        <f>IFERROR(C512-D512,"")</f>
        <v/>
      </c>
    </row>
    <row r="513">
      <c r="B513" s="23">
        <f>IFERROR(INDEX($R$53:$R$853,ROW()-52),"")</f>
        <v/>
      </c>
      <c r="C513">
        <f>IFERROR(INDEX($S$53:$S$853,ROW()-52),"")</f>
        <v/>
      </c>
      <c r="D513">
        <f>IFERROR(INDEX($W$53:$W$853,ROW()-52),"")</f>
        <v/>
      </c>
      <c r="E513">
        <f>IFERROR(C513-D513,"")</f>
        <v/>
      </c>
    </row>
    <row r="514">
      <c r="B514" s="23">
        <f>IFERROR(INDEX($R$53:$R$853,ROW()-52),"")</f>
        <v/>
      </c>
      <c r="C514">
        <f>IFERROR(INDEX($S$53:$S$853,ROW()-52),"")</f>
        <v/>
      </c>
      <c r="D514">
        <f>IFERROR(INDEX($W$53:$W$853,ROW()-52),"")</f>
        <v/>
      </c>
      <c r="E514">
        <f>IFERROR(C514-D514,"")</f>
        <v/>
      </c>
    </row>
    <row r="515">
      <c r="B515" s="23">
        <f>IFERROR(INDEX($R$53:$R$853,ROW()-52),"")</f>
        <v/>
      </c>
      <c r="C515">
        <f>IFERROR(INDEX($S$53:$S$853,ROW()-52),"")</f>
        <v/>
      </c>
      <c r="D515">
        <f>IFERROR(INDEX($W$53:$W$853,ROW()-52),"")</f>
        <v/>
      </c>
      <c r="E515">
        <f>IFERROR(C515-D515,"")</f>
        <v/>
      </c>
    </row>
    <row r="516">
      <c r="B516" s="23">
        <f>IFERROR(INDEX($R$53:$R$853,ROW()-52),"")</f>
        <v/>
      </c>
      <c r="C516">
        <f>IFERROR(INDEX($S$53:$S$853,ROW()-52),"")</f>
        <v/>
      </c>
      <c r="D516">
        <f>IFERROR(INDEX($W$53:$W$853,ROW()-52),"")</f>
        <v/>
      </c>
      <c r="E516">
        <f>IFERROR(C516-D516,"")</f>
        <v/>
      </c>
    </row>
    <row r="517">
      <c r="B517" s="23">
        <f>IFERROR(INDEX($R$53:$R$853,ROW()-52),"")</f>
        <v/>
      </c>
      <c r="C517">
        <f>IFERROR(INDEX($S$53:$S$853,ROW()-52),"")</f>
        <v/>
      </c>
      <c r="D517">
        <f>IFERROR(INDEX($W$53:$W$853,ROW()-52),"")</f>
        <v/>
      </c>
      <c r="E517">
        <f>IFERROR(C517-D517,"")</f>
        <v/>
      </c>
    </row>
    <row r="518">
      <c r="B518" s="23">
        <f>IFERROR(INDEX($R$53:$R$853,ROW()-52),"")</f>
        <v/>
      </c>
      <c r="C518">
        <f>IFERROR(INDEX($S$53:$S$853,ROW()-52),"")</f>
        <v/>
      </c>
      <c r="D518">
        <f>IFERROR(INDEX($W$53:$W$853,ROW()-52),"")</f>
        <v/>
      </c>
      <c r="E518">
        <f>IFERROR(C518-D518,"")</f>
        <v/>
      </c>
    </row>
    <row r="519">
      <c r="B519" s="23">
        <f>IFERROR(INDEX($R$53:$R$853,ROW()-52),"")</f>
        <v/>
      </c>
      <c r="C519">
        <f>IFERROR(INDEX($S$53:$S$853,ROW()-52),"")</f>
        <v/>
      </c>
      <c r="D519">
        <f>IFERROR(INDEX($W$53:$W$853,ROW()-52),"")</f>
        <v/>
      </c>
      <c r="E519">
        <f>IFERROR(C519-D519,"")</f>
        <v/>
      </c>
    </row>
    <row r="520">
      <c r="B520" s="23">
        <f>IFERROR(INDEX($R$53:$R$853,ROW()-52),"")</f>
        <v/>
      </c>
      <c r="C520">
        <f>IFERROR(INDEX($S$53:$S$853,ROW()-52),"")</f>
        <v/>
      </c>
      <c r="D520">
        <f>IFERROR(INDEX($W$53:$W$853,ROW()-52),"")</f>
        <v/>
      </c>
      <c r="E520">
        <f>IFERROR(C520-D520,"")</f>
        <v/>
      </c>
    </row>
    <row r="521">
      <c r="B521" s="23">
        <f>IFERROR(INDEX($R$53:$R$853,ROW()-52),"")</f>
        <v/>
      </c>
      <c r="C521">
        <f>IFERROR(INDEX($S$53:$S$853,ROW()-52),"")</f>
        <v/>
      </c>
      <c r="D521">
        <f>IFERROR(INDEX($W$53:$W$853,ROW()-52),"")</f>
        <v/>
      </c>
      <c r="E521">
        <f>IFERROR(C521-D521,"")</f>
        <v/>
      </c>
    </row>
    <row r="522">
      <c r="B522" s="23">
        <f>IFERROR(INDEX($R$53:$R$853,ROW()-52),"")</f>
        <v/>
      </c>
      <c r="C522">
        <f>IFERROR(INDEX($S$53:$S$853,ROW()-52),"")</f>
        <v/>
      </c>
      <c r="D522">
        <f>IFERROR(INDEX($W$53:$W$853,ROW()-52),"")</f>
        <v/>
      </c>
      <c r="E522">
        <f>IFERROR(C522-D522,"")</f>
        <v/>
      </c>
    </row>
    <row r="523">
      <c r="B523" s="23">
        <f>IFERROR(INDEX($R$53:$R$853,ROW()-52),"")</f>
        <v/>
      </c>
      <c r="C523">
        <f>IFERROR(INDEX($S$53:$S$853,ROW()-52),"")</f>
        <v/>
      </c>
      <c r="D523">
        <f>IFERROR(INDEX($W$53:$W$853,ROW()-52),"")</f>
        <v/>
      </c>
      <c r="E523">
        <f>IFERROR(C523-D523,"")</f>
        <v/>
      </c>
    </row>
    <row r="524">
      <c r="B524" s="23">
        <f>IFERROR(INDEX($R$53:$R$853,ROW()-52),"")</f>
        <v/>
      </c>
      <c r="C524">
        <f>IFERROR(INDEX($S$53:$S$853,ROW()-52),"")</f>
        <v/>
      </c>
      <c r="D524">
        <f>IFERROR(INDEX($W$53:$W$853,ROW()-52),"")</f>
        <v/>
      </c>
      <c r="E524">
        <f>IFERROR(C524-D524,"")</f>
        <v/>
      </c>
    </row>
    <row r="525">
      <c r="B525" s="23">
        <f>IFERROR(INDEX($R$53:$R$853,ROW()-52),"")</f>
        <v/>
      </c>
      <c r="C525">
        <f>IFERROR(INDEX($S$53:$S$853,ROW()-52),"")</f>
        <v/>
      </c>
      <c r="D525">
        <f>IFERROR(INDEX($W$53:$W$853,ROW()-52),"")</f>
        <v/>
      </c>
      <c r="E525">
        <f>IFERROR(C525-D525,"")</f>
        <v/>
      </c>
    </row>
    <row r="526">
      <c r="B526" s="23">
        <f>IFERROR(INDEX($R$53:$R$853,ROW()-52),"")</f>
        <v/>
      </c>
      <c r="C526">
        <f>IFERROR(INDEX($S$53:$S$853,ROW()-52),"")</f>
        <v/>
      </c>
      <c r="D526">
        <f>IFERROR(INDEX($W$53:$W$853,ROW()-52),"")</f>
        <v/>
      </c>
      <c r="E526">
        <f>IFERROR(C526-D526,"")</f>
        <v/>
      </c>
    </row>
    <row r="527">
      <c r="B527" s="23">
        <f>IFERROR(INDEX($R$53:$R$853,ROW()-52),"")</f>
        <v/>
      </c>
      <c r="C527">
        <f>IFERROR(INDEX($S$53:$S$853,ROW()-52),"")</f>
        <v/>
      </c>
      <c r="D527">
        <f>IFERROR(INDEX($W$53:$W$853,ROW()-52),"")</f>
        <v/>
      </c>
      <c r="E527">
        <f>IFERROR(C527-D527,"")</f>
        <v/>
      </c>
    </row>
    <row r="528">
      <c r="B528" s="23">
        <f>IFERROR(INDEX($R$53:$R$853,ROW()-52),"")</f>
        <v/>
      </c>
      <c r="C528">
        <f>IFERROR(INDEX($S$53:$S$853,ROW()-52),"")</f>
        <v/>
      </c>
      <c r="D528">
        <f>IFERROR(INDEX($W$53:$W$853,ROW()-52),"")</f>
        <v/>
      </c>
      <c r="E528">
        <f>IFERROR(C528-D528,"")</f>
        <v/>
      </c>
    </row>
    <row r="529">
      <c r="B529" s="23">
        <f>IFERROR(INDEX($R$53:$R$853,ROW()-52),"")</f>
        <v/>
      </c>
      <c r="C529">
        <f>IFERROR(INDEX($S$53:$S$853,ROW()-52),"")</f>
        <v/>
      </c>
      <c r="D529">
        <f>IFERROR(INDEX($W$53:$W$853,ROW()-52),"")</f>
        <v/>
      </c>
      <c r="E529">
        <f>IFERROR(C529-D529,"")</f>
        <v/>
      </c>
    </row>
    <row r="530">
      <c r="B530" s="23">
        <f>IFERROR(INDEX($R$53:$R$853,ROW()-52),"")</f>
        <v/>
      </c>
      <c r="C530">
        <f>IFERROR(INDEX($S$53:$S$853,ROW()-52),"")</f>
        <v/>
      </c>
      <c r="D530">
        <f>IFERROR(INDEX($W$53:$W$853,ROW()-52),"")</f>
        <v/>
      </c>
      <c r="E530">
        <f>IFERROR(C530-D530,"")</f>
        <v/>
      </c>
    </row>
    <row r="531">
      <c r="B531" s="23">
        <f>IFERROR(INDEX($R$53:$R$853,ROW()-52),"")</f>
        <v/>
      </c>
      <c r="C531">
        <f>IFERROR(INDEX($S$53:$S$853,ROW()-52),"")</f>
        <v/>
      </c>
      <c r="D531">
        <f>IFERROR(INDEX($W$53:$W$853,ROW()-52),"")</f>
        <v/>
      </c>
      <c r="E531">
        <f>IFERROR(C531-D531,"")</f>
        <v/>
      </c>
    </row>
    <row r="532">
      <c r="B532" s="23">
        <f>IFERROR(INDEX($R$53:$R$853,ROW()-52),"")</f>
        <v/>
      </c>
      <c r="C532">
        <f>IFERROR(INDEX($S$53:$S$853,ROW()-52),"")</f>
        <v/>
      </c>
      <c r="D532">
        <f>IFERROR(INDEX($W$53:$W$853,ROW()-52),"")</f>
        <v/>
      </c>
      <c r="E532">
        <f>IFERROR(C532-D532,"")</f>
        <v/>
      </c>
    </row>
    <row r="533">
      <c r="B533" s="23">
        <f>IFERROR(INDEX($R$53:$R$853,ROW()-52),"")</f>
        <v/>
      </c>
      <c r="C533">
        <f>IFERROR(INDEX($S$53:$S$853,ROW()-52),"")</f>
        <v/>
      </c>
      <c r="D533">
        <f>IFERROR(INDEX($W$53:$W$853,ROW()-52),"")</f>
        <v/>
      </c>
      <c r="E533">
        <f>IFERROR(C533-D533,"")</f>
        <v/>
      </c>
    </row>
    <row r="534">
      <c r="B534" s="23">
        <f>IFERROR(INDEX($R$53:$R$853,ROW()-52),"")</f>
        <v/>
      </c>
      <c r="C534">
        <f>IFERROR(INDEX($S$53:$S$853,ROW()-52),"")</f>
        <v/>
      </c>
      <c r="D534">
        <f>IFERROR(INDEX($W$53:$W$853,ROW()-52),"")</f>
        <v/>
      </c>
      <c r="E534">
        <f>IFERROR(C534-D534,"")</f>
        <v/>
      </c>
    </row>
    <row r="535">
      <c r="B535" s="23">
        <f>IFERROR(INDEX($R$53:$R$853,ROW()-52),"")</f>
        <v/>
      </c>
      <c r="C535">
        <f>IFERROR(INDEX($S$53:$S$853,ROW()-52),"")</f>
        <v/>
      </c>
      <c r="D535">
        <f>IFERROR(INDEX($W$53:$W$853,ROW()-52),"")</f>
        <v/>
      </c>
      <c r="E535">
        <f>IFERROR(C535-D535,"")</f>
        <v/>
      </c>
    </row>
    <row r="536">
      <c r="B536" s="23">
        <f>IFERROR(INDEX($R$53:$R$853,ROW()-52),"")</f>
        <v/>
      </c>
      <c r="C536">
        <f>IFERROR(INDEX($S$53:$S$853,ROW()-52),"")</f>
        <v/>
      </c>
      <c r="D536">
        <f>IFERROR(INDEX($W$53:$W$853,ROW()-52),"")</f>
        <v/>
      </c>
      <c r="E536">
        <f>IFERROR(C536-D536,"")</f>
        <v/>
      </c>
    </row>
    <row r="537">
      <c r="B537" s="23">
        <f>IFERROR(INDEX($R$53:$R$853,ROW()-52),"")</f>
        <v/>
      </c>
      <c r="C537">
        <f>IFERROR(INDEX($S$53:$S$853,ROW()-52),"")</f>
        <v/>
      </c>
      <c r="D537">
        <f>IFERROR(INDEX($W$53:$W$853,ROW()-52),"")</f>
        <v/>
      </c>
      <c r="E537">
        <f>IFERROR(C537-D537,"")</f>
        <v/>
      </c>
    </row>
    <row r="538">
      <c r="B538" s="23">
        <f>IFERROR(INDEX($R$53:$R$853,ROW()-52),"")</f>
        <v/>
      </c>
      <c r="C538">
        <f>IFERROR(INDEX($S$53:$S$853,ROW()-52),"")</f>
        <v/>
      </c>
      <c r="D538">
        <f>IFERROR(INDEX($W$53:$W$853,ROW()-52),"")</f>
        <v/>
      </c>
      <c r="E538">
        <f>IFERROR(C538-D538,"")</f>
        <v/>
      </c>
    </row>
    <row r="539">
      <c r="B539" s="23">
        <f>IFERROR(INDEX($R$53:$R$853,ROW()-52),"")</f>
        <v/>
      </c>
      <c r="C539">
        <f>IFERROR(INDEX($S$53:$S$853,ROW()-52),"")</f>
        <v/>
      </c>
      <c r="D539">
        <f>IFERROR(INDEX($W$53:$W$853,ROW()-52),"")</f>
        <v/>
      </c>
      <c r="E539">
        <f>IFERROR(C539-D539,"")</f>
        <v/>
      </c>
    </row>
    <row r="540">
      <c r="B540" s="23">
        <f>IFERROR(INDEX($R$53:$R$853,ROW()-52),"")</f>
        <v/>
      </c>
      <c r="C540">
        <f>IFERROR(INDEX($S$53:$S$853,ROW()-52),"")</f>
        <v/>
      </c>
      <c r="D540">
        <f>IFERROR(INDEX($W$53:$W$853,ROW()-52),"")</f>
        <v/>
      </c>
      <c r="E540">
        <f>IFERROR(C540-D540,"")</f>
        <v/>
      </c>
    </row>
    <row r="541">
      <c r="B541" s="23">
        <f>IFERROR(INDEX($R$53:$R$853,ROW()-52),"")</f>
        <v/>
      </c>
      <c r="C541">
        <f>IFERROR(INDEX($S$53:$S$853,ROW()-52),"")</f>
        <v/>
      </c>
      <c r="D541">
        <f>IFERROR(INDEX($W$53:$W$853,ROW()-52),"")</f>
        <v/>
      </c>
      <c r="E541">
        <f>IFERROR(C541-D541,"")</f>
        <v/>
      </c>
    </row>
    <row r="542">
      <c r="B542" s="23">
        <f>IFERROR(INDEX($R$53:$R$853,ROW()-52),"")</f>
        <v/>
      </c>
      <c r="C542">
        <f>IFERROR(INDEX($S$53:$S$853,ROW()-52),"")</f>
        <v/>
      </c>
      <c r="D542">
        <f>IFERROR(INDEX($W$53:$W$853,ROW()-52),"")</f>
        <v/>
      </c>
      <c r="E542">
        <f>IFERROR(C542-D542,"")</f>
        <v/>
      </c>
    </row>
    <row r="543">
      <c r="B543" s="23">
        <f>IFERROR(INDEX($R$53:$R$853,ROW()-52),"")</f>
        <v/>
      </c>
      <c r="C543">
        <f>IFERROR(INDEX($S$53:$S$853,ROW()-52),"")</f>
        <v/>
      </c>
      <c r="D543">
        <f>IFERROR(INDEX($W$53:$W$853,ROW()-52),"")</f>
        <v/>
      </c>
      <c r="E543">
        <f>IFERROR(C543-D543,"")</f>
        <v/>
      </c>
    </row>
    <row r="544">
      <c r="B544" s="23">
        <f>IFERROR(INDEX($R$53:$R$853,ROW()-52),"")</f>
        <v/>
      </c>
      <c r="C544">
        <f>IFERROR(INDEX($S$53:$S$853,ROW()-52),"")</f>
        <v/>
      </c>
      <c r="D544">
        <f>IFERROR(INDEX($W$53:$W$853,ROW()-52),"")</f>
        <v/>
      </c>
      <c r="E544">
        <f>IFERROR(C544-D544,"")</f>
        <v/>
      </c>
    </row>
    <row r="545">
      <c r="B545" s="23">
        <f>IFERROR(INDEX($R$53:$R$853,ROW()-52),"")</f>
        <v/>
      </c>
      <c r="C545">
        <f>IFERROR(INDEX($S$53:$S$853,ROW()-52),"")</f>
        <v/>
      </c>
      <c r="D545">
        <f>IFERROR(INDEX($W$53:$W$853,ROW()-52),"")</f>
        <v/>
      </c>
      <c r="E545">
        <f>IFERROR(C545-D545,"")</f>
        <v/>
      </c>
    </row>
    <row r="546">
      <c r="B546" s="23">
        <f>IFERROR(INDEX($R$53:$R$853,ROW()-52),"")</f>
        <v/>
      </c>
      <c r="C546">
        <f>IFERROR(INDEX($S$53:$S$853,ROW()-52),"")</f>
        <v/>
      </c>
      <c r="D546">
        <f>IFERROR(INDEX($W$53:$W$853,ROW()-52),"")</f>
        <v/>
      </c>
      <c r="E546">
        <f>IFERROR(C546-D546,"")</f>
        <v/>
      </c>
    </row>
    <row r="547">
      <c r="B547" s="23">
        <f>IFERROR(INDEX($R$53:$R$853,ROW()-52),"")</f>
        <v/>
      </c>
      <c r="C547">
        <f>IFERROR(INDEX($S$53:$S$853,ROW()-52),"")</f>
        <v/>
      </c>
      <c r="D547">
        <f>IFERROR(INDEX($W$53:$W$853,ROW()-52),"")</f>
        <v/>
      </c>
      <c r="E547">
        <f>IFERROR(C547-D547,"")</f>
        <v/>
      </c>
    </row>
    <row r="548">
      <c r="B548" s="23">
        <f>IFERROR(INDEX($R$53:$R$853,ROW()-52),"")</f>
        <v/>
      </c>
      <c r="C548">
        <f>IFERROR(INDEX($S$53:$S$853,ROW()-52),"")</f>
        <v/>
      </c>
      <c r="D548">
        <f>IFERROR(INDEX($W$53:$W$853,ROW()-52),"")</f>
        <v/>
      </c>
      <c r="E548">
        <f>IFERROR(C548-D548,"")</f>
        <v/>
      </c>
    </row>
    <row r="549">
      <c r="B549" s="23">
        <f>IFERROR(INDEX($R$53:$R$853,ROW()-52),"")</f>
        <v/>
      </c>
      <c r="C549">
        <f>IFERROR(INDEX($S$53:$S$853,ROW()-52),"")</f>
        <v/>
      </c>
      <c r="D549">
        <f>IFERROR(INDEX($W$53:$W$853,ROW()-52),"")</f>
        <v/>
      </c>
      <c r="E549">
        <f>IFERROR(C549-D549,"")</f>
        <v/>
      </c>
    </row>
    <row r="550">
      <c r="B550" s="23">
        <f>IFERROR(INDEX($R$53:$R$853,ROW()-52),"")</f>
        <v/>
      </c>
      <c r="C550">
        <f>IFERROR(INDEX($S$53:$S$853,ROW()-52),"")</f>
        <v/>
      </c>
      <c r="D550">
        <f>IFERROR(INDEX($W$53:$W$853,ROW()-52),"")</f>
        <v/>
      </c>
      <c r="E550">
        <f>IFERROR(C550-D550,"")</f>
        <v/>
      </c>
    </row>
    <row r="551">
      <c r="B551" s="23">
        <f>IFERROR(INDEX($R$53:$R$853,ROW()-52),"")</f>
        <v/>
      </c>
      <c r="C551">
        <f>IFERROR(INDEX($S$53:$S$853,ROW()-52),"")</f>
        <v/>
      </c>
      <c r="D551">
        <f>IFERROR(INDEX($W$53:$W$853,ROW()-52),"")</f>
        <v/>
      </c>
      <c r="E551">
        <f>IFERROR(C551-D551,"")</f>
        <v/>
      </c>
    </row>
    <row r="552">
      <c r="B552" s="23">
        <f>IFERROR(INDEX($R$53:$R$853,ROW()-52),"")</f>
        <v/>
      </c>
      <c r="C552">
        <f>IFERROR(INDEX($S$53:$S$853,ROW()-52),"")</f>
        <v/>
      </c>
      <c r="D552">
        <f>IFERROR(INDEX($W$53:$W$853,ROW()-52),"")</f>
        <v/>
      </c>
      <c r="E552">
        <f>IFERROR(C552-D552,"")</f>
        <v/>
      </c>
    </row>
    <row r="553">
      <c r="B553" s="23">
        <f>IFERROR(INDEX($R$53:$R$853,ROW()-52),"")</f>
        <v/>
      </c>
      <c r="C553">
        <f>IFERROR(INDEX($S$53:$S$853,ROW()-52),"")</f>
        <v/>
      </c>
      <c r="D553">
        <f>IFERROR(INDEX($W$53:$W$853,ROW()-52),"")</f>
        <v/>
      </c>
      <c r="E553">
        <f>IFERROR(C553-D553,"")</f>
        <v/>
      </c>
    </row>
    <row r="554">
      <c r="B554" s="23">
        <f>IFERROR(INDEX($R$53:$R$853,ROW()-52),"")</f>
        <v/>
      </c>
      <c r="C554">
        <f>IFERROR(INDEX($S$53:$S$853,ROW()-52),"")</f>
        <v/>
      </c>
      <c r="D554">
        <f>IFERROR(INDEX($W$53:$W$853,ROW()-52),"")</f>
        <v/>
      </c>
      <c r="E554">
        <f>IFERROR(C554-D554,"")</f>
        <v/>
      </c>
    </row>
    <row r="555">
      <c r="B555" s="23">
        <f>IFERROR(INDEX($R$53:$R$853,ROW()-52),"")</f>
        <v/>
      </c>
      <c r="C555">
        <f>IFERROR(INDEX($S$53:$S$853,ROW()-52),"")</f>
        <v/>
      </c>
      <c r="D555">
        <f>IFERROR(INDEX($W$53:$W$853,ROW()-52),"")</f>
        <v/>
      </c>
      <c r="E555">
        <f>IFERROR(C555-D555,"")</f>
        <v/>
      </c>
    </row>
    <row r="556">
      <c r="B556" s="23">
        <f>IFERROR(INDEX($R$53:$R$853,ROW()-52),"")</f>
        <v/>
      </c>
      <c r="C556">
        <f>IFERROR(INDEX($S$53:$S$853,ROW()-52),"")</f>
        <v/>
      </c>
      <c r="D556">
        <f>IFERROR(INDEX($W$53:$W$853,ROW()-52),"")</f>
        <v/>
      </c>
      <c r="E556">
        <f>IFERROR(C556-D556,"")</f>
        <v/>
      </c>
    </row>
    <row r="557">
      <c r="B557" s="23">
        <f>IFERROR(INDEX($R$53:$R$853,ROW()-52),"")</f>
        <v/>
      </c>
      <c r="C557">
        <f>IFERROR(INDEX($S$53:$S$853,ROW()-52),"")</f>
        <v/>
      </c>
      <c r="D557">
        <f>IFERROR(INDEX($W$53:$W$853,ROW()-52),"")</f>
        <v/>
      </c>
      <c r="E557">
        <f>IFERROR(C557-D557,"")</f>
        <v/>
      </c>
    </row>
    <row r="558">
      <c r="B558" s="23">
        <f>IFERROR(INDEX($R$53:$R$853,ROW()-52),"")</f>
        <v/>
      </c>
      <c r="C558">
        <f>IFERROR(INDEX($S$53:$S$853,ROW()-52),"")</f>
        <v/>
      </c>
      <c r="D558">
        <f>IFERROR(INDEX($W$53:$W$853,ROW()-52),"")</f>
        <v/>
      </c>
      <c r="E558">
        <f>IFERROR(C558-D558,"")</f>
        <v/>
      </c>
    </row>
    <row r="559">
      <c r="B559" s="23">
        <f>IFERROR(INDEX($R$53:$R$853,ROW()-52),"")</f>
        <v/>
      </c>
      <c r="C559">
        <f>IFERROR(INDEX($S$53:$S$853,ROW()-52),"")</f>
        <v/>
      </c>
      <c r="D559">
        <f>IFERROR(INDEX($W$53:$W$853,ROW()-52),"")</f>
        <v/>
      </c>
      <c r="E559">
        <f>IFERROR(C559-D559,"")</f>
        <v/>
      </c>
    </row>
    <row r="560">
      <c r="B560" s="23">
        <f>IFERROR(INDEX($R$53:$R$853,ROW()-52),"")</f>
        <v/>
      </c>
      <c r="C560">
        <f>IFERROR(INDEX($S$53:$S$853,ROW()-52),"")</f>
        <v/>
      </c>
      <c r="D560">
        <f>IFERROR(INDEX($W$53:$W$853,ROW()-52),"")</f>
        <v/>
      </c>
      <c r="E560">
        <f>IFERROR(C560-D560,"")</f>
        <v/>
      </c>
    </row>
    <row r="561">
      <c r="B561" s="23">
        <f>IFERROR(INDEX($R$53:$R$853,ROW()-52),"")</f>
        <v/>
      </c>
      <c r="C561">
        <f>IFERROR(INDEX($S$53:$S$853,ROW()-52),"")</f>
        <v/>
      </c>
      <c r="D561">
        <f>IFERROR(INDEX($W$53:$W$853,ROW()-52),"")</f>
        <v/>
      </c>
      <c r="E561">
        <f>IFERROR(C561-D561,"")</f>
        <v/>
      </c>
    </row>
    <row r="562">
      <c r="B562" s="23">
        <f>IFERROR(INDEX($R$53:$R$853,ROW()-52),"")</f>
        <v/>
      </c>
      <c r="C562">
        <f>IFERROR(INDEX($S$53:$S$853,ROW()-52),"")</f>
        <v/>
      </c>
      <c r="D562">
        <f>IFERROR(INDEX($W$53:$W$853,ROW()-52),"")</f>
        <v/>
      </c>
      <c r="E562">
        <f>IFERROR(C562-D562,"")</f>
        <v/>
      </c>
    </row>
    <row r="563">
      <c r="B563" s="23">
        <f>IFERROR(INDEX($R$53:$R$853,ROW()-52),"")</f>
        <v/>
      </c>
      <c r="C563">
        <f>IFERROR(INDEX($S$53:$S$853,ROW()-52),"")</f>
        <v/>
      </c>
      <c r="D563">
        <f>IFERROR(INDEX($W$53:$W$853,ROW()-52),"")</f>
        <v/>
      </c>
      <c r="E563">
        <f>IFERROR(C563-D563,"")</f>
        <v/>
      </c>
    </row>
    <row r="564">
      <c r="B564" s="23">
        <f>IFERROR(INDEX($R$53:$R$853,ROW()-52),"")</f>
        <v/>
      </c>
      <c r="C564">
        <f>IFERROR(INDEX($S$53:$S$853,ROW()-52),"")</f>
        <v/>
      </c>
      <c r="D564">
        <f>IFERROR(INDEX($W$53:$W$853,ROW()-52),"")</f>
        <v/>
      </c>
      <c r="E564">
        <f>IFERROR(C564-D564,"")</f>
        <v/>
      </c>
    </row>
    <row r="565">
      <c r="B565" s="23">
        <f>IFERROR(INDEX($R$53:$R$853,ROW()-52),"")</f>
        <v/>
      </c>
      <c r="C565">
        <f>IFERROR(INDEX($S$53:$S$853,ROW()-52),"")</f>
        <v/>
      </c>
      <c r="D565">
        <f>IFERROR(INDEX($W$53:$W$853,ROW()-52),"")</f>
        <v/>
      </c>
      <c r="E565">
        <f>IFERROR(C565-D565,"")</f>
        <v/>
      </c>
    </row>
    <row r="566">
      <c r="B566" s="23">
        <f>IFERROR(INDEX($R$53:$R$853,ROW()-52),"")</f>
        <v/>
      </c>
      <c r="C566">
        <f>IFERROR(INDEX($S$53:$S$853,ROW()-52),"")</f>
        <v/>
      </c>
      <c r="D566">
        <f>IFERROR(INDEX($W$53:$W$853,ROW()-52),"")</f>
        <v/>
      </c>
      <c r="E566">
        <f>IFERROR(C566-D566,"")</f>
        <v/>
      </c>
    </row>
    <row r="567">
      <c r="B567" s="23">
        <f>IFERROR(INDEX($R$53:$R$853,ROW()-52),"")</f>
        <v/>
      </c>
      <c r="C567">
        <f>IFERROR(INDEX($S$53:$S$853,ROW()-52),"")</f>
        <v/>
      </c>
      <c r="D567">
        <f>IFERROR(INDEX($W$53:$W$853,ROW()-52),"")</f>
        <v/>
      </c>
      <c r="E567">
        <f>IFERROR(C567-D567,"")</f>
        <v/>
      </c>
    </row>
    <row r="568">
      <c r="B568" s="23">
        <f>IFERROR(INDEX($R$53:$R$853,ROW()-52),"")</f>
        <v/>
      </c>
      <c r="C568">
        <f>IFERROR(INDEX($S$53:$S$853,ROW()-52),"")</f>
        <v/>
      </c>
      <c r="D568">
        <f>IFERROR(INDEX($W$53:$W$853,ROW()-52),"")</f>
        <v/>
      </c>
      <c r="E568">
        <f>IFERROR(C568-D568,"")</f>
        <v/>
      </c>
    </row>
    <row r="569">
      <c r="B569" s="23">
        <f>IFERROR(INDEX($R$53:$R$853,ROW()-52),"")</f>
        <v/>
      </c>
      <c r="C569">
        <f>IFERROR(INDEX($S$53:$S$853,ROW()-52),"")</f>
        <v/>
      </c>
      <c r="D569">
        <f>IFERROR(INDEX($W$53:$W$853,ROW()-52),"")</f>
        <v/>
      </c>
      <c r="E569">
        <f>IFERROR(C569-D569,"")</f>
        <v/>
      </c>
    </row>
    <row r="570">
      <c r="B570" s="23">
        <f>IFERROR(INDEX($R$53:$R$853,ROW()-52),"")</f>
        <v/>
      </c>
      <c r="C570">
        <f>IFERROR(INDEX($S$53:$S$853,ROW()-52),"")</f>
        <v/>
      </c>
      <c r="D570">
        <f>IFERROR(INDEX($W$53:$W$853,ROW()-52),"")</f>
        <v/>
      </c>
      <c r="E570">
        <f>IFERROR(C570-D570,"")</f>
        <v/>
      </c>
    </row>
    <row r="571">
      <c r="B571" s="23">
        <f>IFERROR(INDEX($R$53:$R$853,ROW()-52),"")</f>
        <v/>
      </c>
      <c r="C571">
        <f>IFERROR(INDEX($S$53:$S$853,ROW()-52),"")</f>
        <v/>
      </c>
      <c r="D571">
        <f>IFERROR(INDEX($W$53:$W$853,ROW()-52),"")</f>
        <v/>
      </c>
      <c r="E571">
        <f>IFERROR(C571-D571,"")</f>
        <v/>
      </c>
    </row>
    <row r="572">
      <c r="B572" s="23">
        <f>IFERROR(INDEX($R$53:$R$853,ROW()-52),"")</f>
        <v/>
      </c>
      <c r="C572">
        <f>IFERROR(INDEX($S$53:$S$853,ROW()-52),"")</f>
        <v/>
      </c>
      <c r="D572">
        <f>IFERROR(INDEX($W$53:$W$853,ROW()-52),"")</f>
        <v/>
      </c>
      <c r="E572">
        <f>IFERROR(C572-D572,"")</f>
        <v/>
      </c>
    </row>
    <row r="573">
      <c r="B573" s="23">
        <f>IFERROR(INDEX($R$53:$R$853,ROW()-52),"")</f>
        <v/>
      </c>
      <c r="C573">
        <f>IFERROR(INDEX($S$53:$S$853,ROW()-52),"")</f>
        <v/>
      </c>
      <c r="D573">
        <f>IFERROR(INDEX($W$53:$W$853,ROW()-52),"")</f>
        <v/>
      </c>
      <c r="E573">
        <f>IFERROR(C573-D573,"")</f>
        <v/>
      </c>
    </row>
    <row r="574">
      <c r="B574" s="23">
        <f>IFERROR(INDEX($R$53:$R$853,ROW()-52),"")</f>
        <v/>
      </c>
      <c r="C574">
        <f>IFERROR(INDEX($S$53:$S$853,ROW()-52),"")</f>
        <v/>
      </c>
      <c r="D574">
        <f>IFERROR(INDEX($W$53:$W$853,ROW()-52),"")</f>
        <v/>
      </c>
      <c r="E574">
        <f>IFERROR(C574-D574,"")</f>
        <v/>
      </c>
    </row>
    <row r="575">
      <c r="B575" s="23">
        <f>IFERROR(INDEX($R$53:$R$853,ROW()-52),"")</f>
        <v/>
      </c>
      <c r="C575">
        <f>IFERROR(INDEX($S$53:$S$853,ROW()-52),"")</f>
        <v/>
      </c>
      <c r="D575">
        <f>IFERROR(INDEX($W$53:$W$853,ROW()-52),"")</f>
        <v/>
      </c>
      <c r="E575">
        <f>IFERROR(C575-D575,"")</f>
        <v/>
      </c>
    </row>
    <row r="576">
      <c r="B576" s="23">
        <f>IFERROR(INDEX($R$53:$R$853,ROW()-52),"")</f>
        <v/>
      </c>
      <c r="C576">
        <f>IFERROR(INDEX($S$53:$S$853,ROW()-52),"")</f>
        <v/>
      </c>
      <c r="D576">
        <f>IFERROR(INDEX($W$53:$W$853,ROW()-52),"")</f>
        <v/>
      </c>
      <c r="E576">
        <f>IFERROR(C576-D576,"")</f>
        <v/>
      </c>
    </row>
    <row r="577">
      <c r="B577" s="23">
        <f>IFERROR(INDEX($R$53:$R$853,ROW()-52),"")</f>
        <v/>
      </c>
      <c r="C577">
        <f>IFERROR(INDEX($S$53:$S$853,ROW()-52),"")</f>
        <v/>
      </c>
      <c r="D577">
        <f>IFERROR(INDEX($W$53:$W$853,ROW()-52),"")</f>
        <v/>
      </c>
      <c r="E577">
        <f>IFERROR(C577-D577,"")</f>
        <v/>
      </c>
    </row>
    <row r="578">
      <c r="B578" s="23">
        <f>IFERROR(INDEX($R$53:$R$853,ROW()-52),"")</f>
        <v/>
      </c>
      <c r="C578">
        <f>IFERROR(INDEX($S$53:$S$853,ROW()-52),"")</f>
        <v/>
      </c>
      <c r="D578">
        <f>IFERROR(INDEX($W$53:$W$853,ROW()-52),"")</f>
        <v/>
      </c>
      <c r="E578">
        <f>IFERROR(C578-D578,"")</f>
        <v/>
      </c>
    </row>
    <row r="579">
      <c r="B579" s="23">
        <f>IFERROR(INDEX($R$53:$R$853,ROW()-52),"")</f>
        <v/>
      </c>
      <c r="C579">
        <f>IFERROR(INDEX($S$53:$S$853,ROW()-52),"")</f>
        <v/>
      </c>
      <c r="D579">
        <f>IFERROR(INDEX($W$53:$W$853,ROW()-52),"")</f>
        <v/>
      </c>
      <c r="E579">
        <f>IFERROR(C579-D579,"")</f>
        <v/>
      </c>
    </row>
    <row r="580">
      <c r="B580" s="23">
        <f>IFERROR(INDEX($R$53:$R$853,ROW()-52),"")</f>
        <v/>
      </c>
      <c r="C580">
        <f>IFERROR(INDEX($S$53:$S$853,ROW()-52),"")</f>
        <v/>
      </c>
      <c r="D580">
        <f>IFERROR(INDEX($W$53:$W$853,ROW()-52),"")</f>
        <v/>
      </c>
      <c r="E580">
        <f>IFERROR(C580-D580,"")</f>
        <v/>
      </c>
    </row>
    <row r="581">
      <c r="B581" s="23">
        <f>IFERROR(INDEX($R$53:$R$853,ROW()-52),"")</f>
        <v/>
      </c>
      <c r="C581">
        <f>IFERROR(INDEX($S$53:$S$853,ROW()-52),"")</f>
        <v/>
      </c>
      <c r="D581">
        <f>IFERROR(INDEX($W$53:$W$853,ROW()-52),"")</f>
        <v/>
      </c>
      <c r="E581">
        <f>IFERROR(C581-D581,"")</f>
        <v/>
      </c>
    </row>
    <row r="582">
      <c r="B582" s="23">
        <f>IFERROR(INDEX($R$53:$R$853,ROW()-52),"")</f>
        <v/>
      </c>
      <c r="C582">
        <f>IFERROR(INDEX($S$53:$S$853,ROW()-52),"")</f>
        <v/>
      </c>
      <c r="D582">
        <f>IFERROR(INDEX($W$53:$W$853,ROW()-52),"")</f>
        <v/>
      </c>
      <c r="E582">
        <f>IFERROR(C582-D582,"")</f>
        <v/>
      </c>
    </row>
    <row r="583">
      <c r="B583" s="23">
        <f>IFERROR(INDEX($R$53:$R$853,ROW()-52),"")</f>
        <v/>
      </c>
      <c r="C583">
        <f>IFERROR(INDEX($S$53:$S$853,ROW()-52),"")</f>
        <v/>
      </c>
      <c r="D583">
        <f>IFERROR(INDEX($W$53:$W$853,ROW()-52),"")</f>
        <v/>
      </c>
      <c r="E583">
        <f>IFERROR(C583-D583,"")</f>
        <v/>
      </c>
    </row>
    <row r="584">
      <c r="B584" s="23">
        <f>IFERROR(INDEX($R$53:$R$853,ROW()-52),"")</f>
        <v/>
      </c>
      <c r="C584">
        <f>IFERROR(INDEX($S$53:$S$853,ROW()-52),"")</f>
        <v/>
      </c>
      <c r="D584">
        <f>IFERROR(INDEX($W$53:$W$853,ROW()-52),"")</f>
        <v/>
      </c>
      <c r="E584">
        <f>IFERROR(C584-D584,"")</f>
        <v/>
      </c>
    </row>
    <row r="585">
      <c r="B585" s="23">
        <f>IFERROR(INDEX($R$53:$R$853,ROW()-52),"")</f>
        <v/>
      </c>
      <c r="C585">
        <f>IFERROR(INDEX($S$53:$S$853,ROW()-52),"")</f>
        <v/>
      </c>
      <c r="D585">
        <f>IFERROR(INDEX($W$53:$W$853,ROW()-52),"")</f>
        <v/>
      </c>
      <c r="E585">
        <f>IFERROR(C585-D585,"")</f>
        <v/>
      </c>
    </row>
    <row r="586">
      <c r="B586" s="23">
        <f>IFERROR(INDEX($R$53:$R$853,ROW()-52),"")</f>
        <v/>
      </c>
      <c r="C586">
        <f>IFERROR(INDEX($S$53:$S$853,ROW()-52),"")</f>
        <v/>
      </c>
      <c r="D586">
        <f>IFERROR(INDEX($W$53:$W$853,ROW()-52),"")</f>
        <v/>
      </c>
      <c r="E586">
        <f>IFERROR(C586-D586,"")</f>
        <v/>
      </c>
    </row>
    <row r="587">
      <c r="B587" s="23">
        <f>IFERROR(INDEX($R$53:$R$853,ROW()-52),"")</f>
        <v/>
      </c>
      <c r="C587">
        <f>IFERROR(INDEX($S$53:$S$853,ROW()-52),"")</f>
        <v/>
      </c>
      <c r="D587">
        <f>IFERROR(INDEX($W$53:$W$853,ROW()-52),"")</f>
        <v/>
      </c>
      <c r="E587">
        <f>IFERROR(C587-D587,"")</f>
        <v/>
      </c>
    </row>
    <row r="588">
      <c r="B588" s="23">
        <f>IFERROR(INDEX($R$53:$R$853,ROW()-52),"")</f>
        <v/>
      </c>
      <c r="C588">
        <f>IFERROR(INDEX($S$53:$S$853,ROW()-52),"")</f>
        <v/>
      </c>
      <c r="D588">
        <f>IFERROR(INDEX($W$53:$W$853,ROW()-52),"")</f>
        <v/>
      </c>
      <c r="E588">
        <f>IFERROR(C588-D588,"")</f>
        <v/>
      </c>
    </row>
    <row r="589">
      <c r="B589" s="23">
        <f>IFERROR(INDEX($R$53:$R$853,ROW()-52),"")</f>
        <v/>
      </c>
      <c r="C589">
        <f>IFERROR(INDEX($S$53:$S$853,ROW()-52),"")</f>
        <v/>
      </c>
      <c r="D589">
        <f>IFERROR(INDEX($W$53:$W$853,ROW()-52),"")</f>
        <v/>
      </c>
      <c r="E589">
        <f>IFERROR(C589-D589,"")</f>
        <v/>
      </c>
    </row>
    <row r="590">
      <c r="B590" s="23">
        <f>IFERROR(INDEX($R$53:$R$853,ROW()-52),"")</f>
        <v/>
      </c>
      <c r="C590">
        <f>IFERROR(INDEX($S$53:$S$853,ROW()-52),"")</f>
        <v/>
      </c>
      <c r="D590">
        <f>IFERROR(INDEX($W$53:$W$853,ROW()-52),"")</f>
        <v/>
      </c>
      <c r="E590">
        <f>IFERROR(C590-D590,"")</f>
        <v/>
      </c>
    </row>
    <row r="591">
      <c r="B591" s="23">
        <f>IFERROR(INDEX($R$53:$R$853,ROW()-52),"")</f>
        <v/>
      </c>
      <c r="C591">
        <f>IFERROR(INDEX($S$53:$S$853,ROW()-52),"")</f>
        <v/>
      </c>
      <c r="D591">
        <f>IFERROR(INDEX($W$53:$W$853,ROW()-52),"")</f>
        <v/>
      </c>
      <c r="E591">
        <f>IFERROR(C591-D591,"")</f>
        <v/>
      </c>
    </row>
    <row r="592">
      <c r="B592" s="23">
        <f>IFERROR(INDEX($R$53:$R$853,ROW()-52),"")</f>
        <v/>
      </c>
      <c r="C592">
        <f>IFERROR(INDEX($S$53:$S$853,ROW()-52),"")</f>
        <v/>
      </c>
      <c r="D592">
        <f>IFERROR(INDEX($W$53:$W$853,ROW()-52),"")</f>
        <v/>
      </c>
      <c r="E592">
        <f>IFERROR(C592-D592,"")</f>
        <v/>
      </c>
    </row>
    <row r="593">
      <c r="B593" s="23">
        <f>IFERROR(INDEX($R$53:$R$853,ROW()-52),"")</f>
        <v/>
      </c>
      <c r="C593">
        <f>IFERROR(INDEX($S$53:$S$853,ROW()-52),"")</f>
        <v/>
      </c>
      <c r="D593">
        <f>IFERROR(INDEX($W$53:$W$853,ROW()-52),"")</f>
        <v/>
      </c>
      <c r="E593">
        <f>IFERROR(C593-D593,"")</f>
        <v/>
      </c>
    </row>
    <row r="594">
      <c r="B594" s="23">
        <f>IFERROR(INDEX($R$53:$R$853,ROW()-52),"")</f>
        <v/>
      </c>
      <c r="C594">
        <f>IFERROR(INDEX($S$53:$S$853,ROW()-52),"")</f>
        <v/>
      </c>
      <c r="D594">
        <f>IFERROR(INDEX($W$53:$W$853,ROW()-52),"")</f>
        <v/>
      </c>
      <c r="E594">
        <f>IFERROR(C594-D594,"")</f>
        <v/>
      </c>
    </row>
    <row r="595">
      <c r="B595" s="23">
        <f>IFERROR(INDEX($R$53:$R$853,ROW()-52),"")</f>
        <v/>
      </c>
      <c r="C595">
        <f>IFERROR(INDEX($S$53:$S$853,ROW()-52),"")</f>
        <v/>
      </c>
      <c r="D595">
        <f>IFERROR(INDEX($W$53:$W$853,ROW()-52),"")</f>
        <v/>
      </c>
      <c r="E595">
        <f>IFERROR(C595-D595,"")</f>
        <v/>
      </c>
    </row>
    <row r="596">
      <c r="B596" s="23">
        <f>IFERROR(INDEX($R$53:$R$853,ROW()-52),"")</f>
        <v/>
      </c>
      <c r="C596">
        <f>IFERROR(INDEX($S$53:$S$853,ROW()-52),"")</f>
        <v/>
      </c>
      <c r="D596">
        <f>IFERROR(INDEX($W$53:$W$853,ROW()-52),"")</f>
        <v/>
      </c>
      <c r="E596">
        <f>IFERROR(C596-D596,"")</f>
        <v/>
      </c>
    </row>
    <row r="597">
      <c r="B597" s="23">
        <f>IFERROR(INDEX($R$53:$R$853,ROW()-52),"")</f>
        <v/>
      </c>
      <c r="C597">
        <f>IFERROR(INDEX($S$53:$S$853,ROW()-52),"")</f>
        <v/>
      </c>
      <c r="D597">
        <f>IFERROR(INDEX($W$53:$W$853,ROW()-52),"")</f>
        <v/>
      </c>
      <c r="E597">
        <f>IFERROR(C597-D597,"")</f>
        <v/>
      </c>
    </row>
    <row r="598">
      <c r="B598" s="23">
        <f>IFERROR(INDEX($R$53:$R$853,ROW()-52),"")</f>
        <v/>
      </c>
      <c r="C598">
        <f>IFERROR(INDEX($S$53:$S$853,ROW()-52),"")</f>
        <v/>
      </c>
      <c r="D598">
        <f>IFERROR(INDEX($W$53:$W$853,ROW()-52),"")</f>
        <v/>
      </c>
      <c r="E598">
        <f>IFERROR(C598-D598,"")</f>
        <v/>
      </c>
    </row>
    <row r="599">
      <c r="B599" s="23">
        <f>IFERROR(INDEX($R$53:$R$853,ROW()-52),"")</f>
        <v/>
      </c>
      <c r="C599">
        <f>IFERROR(INDEX($S$53:$S$853,ROW()-52),"")</f>
        <v/>
      </c>
      <c r="D599">
        <f>IFERROR(INDEX($W$53:$W$853,ROW()-52),"")</f>
        <v/>
      </c>
      <c r="E599">
        <f>IFERROR(C599-D599,"")</f>
        <v/>
      </c>
    </row>
    <row r="600">
      <c r="B600" s="23">
        <f>IFERROR(INDEX($R$53:$R$853,ROW()-52),"")</f>
        <v/>
      </c>
      <c r="C600">
        <f>IFERROR(INDEX($S$53:$S$853,ROW()-52),"")</f>
        <v/>
      </c>
      <c r="D600">
        <f>IFERROR(INDEX($W$53:$W$853,ROW()-52),"")</f>
        <v/>
      </c>
      <c r="E600">
        <f>IFERROR(C600-D600,"")</f>
        <v/>
      </c>
    </row>
    <row r="601">
      <c r="B601" s="23">
        <f>IFERROR(INDEX($R$53:$R$853,ROW()-52),"")</f>
        <v/>
      </c>
      <c r="C601">
        <f>IFERROR(INDEX($S$53:$S$853,ROW()-52),"")</f>
        <v/>
      </c>
      <c r="D601">
        <f>IFERROR(INDEX($W$53:$W$853,ROW()-52),"")</f>
        <v/>
      </c>
      <c r="E601">
        <f>IFERROR(C601-D601,"")</f>
        <v/>
      </c>
    </row>
    <row r="602">
      <c r="B602" s="23">
        <f>IFERROR(INDEX($R$53:$R$853,ROW()-52),"")</f>
        <v/>
      </c>
      <c r="C602">
        <f>IFERROR(INDEX($S$53:$S$853,ROW()-52),"")</f>
        <v/>
      </c>
      <c r="D602">
        <f>IFERROR(INDEX($W$53:$W$853,ROW()-52),"")</f>
        <v/>
      </c>
      <c r="E602">
        <f>IFERROR(C602-D602,"")</f>
        <v/>
      </c>
    </row>
    <row r="603">
      <c r="B603" s="23">
        <f>IFERROR(INDEX($R$53:$R$853,ROW()-52),"")</f>
        <v/>
      </c>
      <c r="C603">
        <f>IFERROR(INDEX($S$53:$S$853,ROW()-52),"")</f>
        <v/>
      </c>
      <c r="D603">
        <f>IFERROR(INDEX($W$53:$W$853,ROW()-52),"")</f>
        <v/>
      </c>
      <c r="E603">
        <f>IFERROR(C603-D603,"")</f>
        <v/>
      </c>
    </row>
    <row r="604">
      <c r="B604" s="23">
        <f>IFERROR(INDEX($R$53:$R$853,ROW()-52),"")</f>
        <v/>
      </c>
      <c r="C604">
        <f>IFERROR(INDEX($S$53:$S$853,ROW()-52),"")</f>
        <v/>
      </c>
      <c r="D604">
        <f>IFERROR(INDEX($W$53:$W$853,ROW()-52),"")</f>
        <v/>
      </c>
      <c r="E604">
        <f>IFERROR(C604-D604,"")</f>
        <v/>
      </c>
    </row>
    <row r="605">
      <c r="B605" s="23">
        <f>IFERROR(INDEX($R$53:$R$853,ROW()-52),"")</f>
        <v/>
      </c>
      <c r="C605">
        <f>IFERROR(INDEX($S$53:$S$853,ROW()-52),"")</f>
        <v/>
      </c>
      <c r="D605">
        <f>IFERROR(INDEX($W$53:$W$853,ROW()-52),"")</f>
        <v/>
      </c>
      <c r="E605">
        <f>IFERROR(C605-D605,"")</f>
        <v/>
      </c>
    </row>
    <row r="606">
      <c r="B606" s="23">
        <f>IFERROR(INDEX($R$53:$R$853,ROW()-52),"")</f>
        <v/>
      </c>
      <c r="C606">
        <f>IFERROR(INDEX($S$53:$S$853,ROW()-52),"")</f>
        <v/>
      </c>
      <c r="D606">
        <f>IFERROR(INDEX($W$53:$W$853,ROW()-52),"")</f>
        <v/>
      </c>
      <c r="E606">
        <f>IFERROR(C606-D606,"")</f>
        <v/>
      </c>
    </row>
    <row r="607">
      <c r="B607" s="23">
        <f>IFERROR(INDEX($R$53:$R$853,ROW()-52),"")</f>
        <v/>
      </c>
      <c r="C607">
        <f>IFERROR(INDEX($S$53:$S$853,ROW()-52),"")</f>
        <v/>
      </c>
      <c r="D607">
        <f>IFERROR(INDEX($W$53:$W$853,ROW()-52),"")</f>
        <v/>
      </c>
      <c r="E607">
        <f>IFERROR(C607-D607,"")</f>
        <v/>
      </c>
    </row>
    <row r="608">
      <c r="B608" s="23">
        <f>IFERROR(INDEX($R$53:$R$853,ROW()-52),"")</f>
        <v/>
      </c>
      <c r="C608">
        <f>IFERROR(INDEX($S$53:$S$853,ROW()-52),"")</f>
        <v/>
      </c>
      <c r="D608">
        <f>IFERROR(INDEX($W$53:$W$853,ROW()-52),"")</f>
        <v/>
      </c>
      <c r="E608">
        <f>IFERROR(C608-D608,"")</f>
        <v/>
      </c>
    </row>
    <row r="609">
      <c r="B609" s="23">
        <f>IFERROR(INDEX($R$53:$R$853,ROW()-52),"")</f>
        <v/>
      </c>
      <c r="C609">
        <f>IFERROR(INDEX($S$53:$S$853,ROW()-52),"")</f>
        <v/>
      </c>
      <c r="D609">
        <f>IFERROR(INDEX($W$53:$W$853,ROW()-52),"")</f>
        <v/>
      </c>
      <c r="E609">
        <f>IFERROR(C609-D609,"")</f>
        <v/>
      </c>
    </row>
    <row r="610">
      <c r="B610" s="23">
        <f>IFERROR(INDEX($R$53:$R$853,ROW()-52),"")</f>
        <v/>
      </c>
      <c r="C610">
        <f>IFERROR(INDEX($S$53:$S$853,ROW()-52),"")</f>
        <v/>
      </c>
      <c r="D610">
        <f>IFERROR(INDEX($W$53:$W$853,ROW()-52),"")</f>
        <v/>
      </c>
      <c r="E610">
        <f>IFERROR(C610-D610,"")</f>
        <v/>
      </c>
    </row>
    <row r="611">
      <c r="B611" s="23">
        <f>IFERROR(INDEX($R$53:$R$853,ROW()-52),"")</f>
        <v/>
      </c>
      <c r="C611">
        <f>IFERROR(INDEX($S$53:$S$853,ROW()-52),"")</f>
        <v/>
      </c>
      <c r="D611">
        <f>IFERROR(INDEX($W$53:$W$853,ROW()-52),"")</f>
        <v/>
      </c>
      <c r="E611">
        <f>IFERROR(C611-D611,"")</f>
        <v/>
      </c>
    </row>
    <row r="612">
      <c r="B612" s="23">
        <f>IFERROR(INDEX($R$53:$R$853,ROW()-52),"")</f>
        <v/>
      </c>
      <c r="C612">
        <f>IFERROR(INDEX($S$53:$S$853,ROW()-52),"")</f>
        <v/>
      </c>
      <c r="D612">
        <f>IFERROR(INDEX($W$53:$W$853,ROW()-52),"")</f>
        <v/>
      </c>
      <c r="E612">
        <f>IFERROR(C612-D612,"")</f>
        <v/>
      </c>
    </row>
    <row r="613">
      <c r="B613" s="23">
        <f>IFERROR(INDEX($R$53:$R$853,ROW()-52),"")</f>
        <v/>
      </c>
      <c r="C613">
        <f>IFERROR(INDEX($S$53:$S$853,ROW()-52),"")</f>
        <v/>
      </c>
      <c r="D613">
        <f>IFERROR(INDEX($W$53:$W$853,ROW()-52),"")</f>
        <v/>
      </c>
      <c r="E613">
        <f>IFERROR(C613-D613,"")</f>
        <v/>
      </c>
    </row>
    <row r="614">
      <c r="B614" s="23">
        <f>IFERROR(INDEX($R$53:$R$853,ROW()-52),"")</f>
        <v/>
      </c>
      <c r="C614">
        <f>IFERROR(INDEX($S$53:$S$853,ROW()-52),"")</f>
        <v/>
      </c>
      <c r="D614">
        <f>IFERROR(INDEX($W$53:$W$853,ROW()-52),"")</f>
        <v/>
      </c>
      <c r="E614">
        <f>IFERROR(C614-D614,"")</f>
        <v/>
      </c>
    </row>
    <row r="615">
      <c r="B615" s="23">
        <f>IFERROR(INDEX($R$53:$R$853,ROW()-52),"")</f>
        <v/>
      </c>
      <c r="C615">
        <f>IFERROR(INDEX($S$53:$S$853,ROW()-52),"")</f>
        <v/>
      </c>
      <c r="D615">
        <f>IFERROR(INDEX($W$53:$W$853,ROW()-52),"")</f>
        <v/>
      </c>
      <c r="E615">
        <f>IFERROR(C615-D615,"")</f>
        <v/>
      </c>
    </row>
    <row r="616">
      <c r="B616" s="23">
        <f>IFERROR(INDEX($R$53:$R$853,ROW()-52),"")</f>
        <v/>
      </c>
      <c r="C616">
        <f>IFERROR(INDEX($S$53:$S$853,ROW()-52),"")</f>
        <v/>
      </c>
      <c r="D616">
        <f>IFERROR(INDEX($W$53:$W$853,ROW()-52),"")</f>
        <v/>
      </c>
      <c r="E616">
        <f>IFERROR(C616-D616,"")</f>
        <v/>
      </c>
    </row>
    <row r="617">
      <c r="B617" s="23">
        <f>IFERROR(INDEX($R$53:$R$853,ROW()-52),"")</f>
        <v/>
      </c>
      <c r="C617">
        <f>IFERROR(INDEX($S$53:$S$853,ROW()-52),"")</f>
        <v/>
      </c>
      <c r="D617">
        <f>IFERROR(INDEX($W$53:$W$853,ROW()-52),"")</f>
        <v/>
      </c>
      <c r="E617">
        <f>IFERROR(C617-D617,"")</f>
        <v/>
      </c>
    </row>
    <row r="618">
      <c r="B618" s="23">
        <f>IFERROR(INDEX($R$53:$R$853,ROW()-52),"")</f>
        <v/>
      </c>
      <c r="C618">
        <f>IFERROR(INDEX($S$53:$S$853,ROW()-52),"")</f>
        <v/>
      </c>
      <c r="D618">
        <f>IFERROR(INDEX($W$53:$W$853,ROW()-52),"")</f>
        <v/>
      </c>
      <c r="E618">
        <f>IFERROR(C618-D618,"")</f>
        <v/>
      </c>
    </row>
    <row r="619">
      <c r="B619" s="23">
        <f>IFERROR(INDEX($R$53:$R$853,ROW()-52),"")</f>
        <v/>
      </c>
      <c r="C619">
        <f>IFERROR(INDEX($S$53:$S$853,ROW()-52),"")</f>
        <v/>
      </c>
      <c r="D619">
        <f>IFERROR(INDEX($W$53:$W$853,ROW()-52),"")</f>
        <v/>
      </c>
      <c r="E619">
        <f>IFERROR(C619-D619,"")</f>
        <v/>
      </c>
    </row>
    <row r="620">
      <c r="B620" s="23">
        <f>IFERROR(INDEX($R$53:$R$853,ROW()-52),"")</f>
        <v/>
      </c>
      <c r="C620">
        <f>IFERROR(INDEX($S$53:$S$853,ROW()-52),"")</f>
        <v/>
      </c>
      <c r="D620">
        <f>IFERROR(INDEX($W$53:$W$853,ROW()-52),"")</f>
        <v/>
      </c>
      <c r="E620">
        <f>IFERROR(C620-D620,"")</f>
        <v/>
      </c>
    </row>
    <row r="621">
      <c r="B621" s="23">
        <f>IFERROR(INDEX($R$53:$R$853,ROW()-52),"")</f>
        <v/>
      </c>
      <c r="C621">
        <f>IFERROR(INDEX($S$53:$S$853,ROW()-52),"")</f>
        <v/>
      </c>
      <c r="D621">
        <f>IFERROR(INDEX($W$53:$W$853,ROW()-52),"")</f>
        <v/>
      </c>
      <c r="E621">
        <f>IFERROR(C621-D621,"")</f>
        <v/>
      </c>
    </row>
    <row r="622">
      <c r="B622" s="23">
        <f>IFERROR(INDEX($R$53:$R$853,ROW()-52),"")</f>
        <v/>
      </c>
      <c r="C622">
        <f>IFERROR(INDEX($S$53:$S$853,ROW()-52),"")</f>
        <v/>
      </c>
      <c r="D622">
        <f>IFERROR(INDEX($W$53:$W$853,ROW()-52),"")</f>
        <v/>
      </c>
      <c r="E622">
        <f>IFERROR(C622-D622,"")</f>
        <v/>
      </c>
    </row>
    <row r="623">
      <c r="B623" s="23">
        <f>IFERROR(INDEX($R$53:$R$853,ROW()-52),"")</f>
        <v/>
      </c>
      <c r="C623">
        <f>IFERROR(INDEX($S$53:$S$853,ROW()-52),"")</f>
        <v/>
      </c>
      <c r="D623">
        <f>IFERROR(INDEX($W$53:$W$853,ROW()-52),"")</f>
        <v/>
      </c>
      <c r="E623">
        <f>IFERROR(C623-D623,"")</f>
        <v/>
      </c>
    </row>
    <row r="624">
      <c r="B624" s="23">
        <f>IFERROR(INDEX($R$53:$R$853,ROW()-52),"")</f>
        <v/>
      </c>
      <c r="C624">
        <f>IFERROR(INDEX($S$53:$S$853,ROW()-52),"")</f>
        <v/>
      </c>
      <c r="D624">
        <f>IFERROR(INDEX($W$53:$W$853,ROW()-52),"")</f>
        <v/>
      </c>
      <c r="E624">
        <f>IFERROR(C624-D624,"")</f>
        <v/>
      </c>
    </row>
    <row r="625">
      <c r="B625" s="23">
        <f>IFERROR(INDEX($R$53:$R$853,ROW()-52),"")</f>
        <v/>
      </c>
      <c r="C625">
        <f>IFERROR(INDEX($S$53:$S$853,ROW()-52),"")</f>
        <v/>
      </c>
      <c r="D625">
        <f>IFERROR(INDEX($W$53:$W$853,ROW()-52),"")</f>
        <v/>
      </c>
      <c r="E625">
        <f>IFERROR(C625-D625,"")</f>
        <v/>
      </c>
    </row>
    <row r="626">
      <c r="B626" s="23">
        <f>IFERROR(INDEX($R$53:$R$853,ROW()-52),"")</f>
        <v/>
      </c>
      <c r="C626">
        <f>IFERROR(INDEX($S$53:$S$853,ROW()-52),"")</f>
        <v/>
      </c>
      <c r="D626">
        <f>IFERROR(INDEX($W$53:$W$853,ROW()-52),"")</f>
        <v/>
      </c>
      <c r="E626">
        <f>IFERROR(C626-D626,"")</f>
        <v/>
      </c>
    </row>
    <row r="627">
      <c r="B627" s="23">
        <f>IFERROR(INDEX($R$53:$R$853,ROW()-52),"")</f>
        <v/>
      </c>
      <c r="C627">
        <f>IFERROR(INDEX($S$53:$S$853,ROW()-52),"")</f>
        <v/>
      </c>
      <c r="D627">
        <f>IFERROR(INDEX($W$53:$W$853,ROW()-52),"")</f>
        <v/>
      </c>
      <c r="E627">
        <f>IFERROR(C627-D627,"")</f>
        <v/>
      </c>
    </row>
    <row r="628">
      <c r="B628" s="23">
        <f>IFERROR(INDEX($R$53:$R$853,ROW()-52),"")</f>
        <v/>
      </c>
      <c r="C628">
        <f>IFERROR(INDEX($S$53:$S$853,ROW()-52),"")</f>
        <v/>
      </c>
      <c r="D628">
        <f>IFERROR(INDEX($W$53:$W$853,ROW()-52),"")</f>
        <v/>
      </c>
      <c r="E628">
        <f>IFERROR(C628-D628,"")</f>
        <v/>
      </c>
    </row>
    <row r="629">
      <c r="B629" s="23">
        <f>IFERROR(INDEX($R$53:$R$853,ROW()-52),"")</f>
        <v/>
      </c>
      <c r="C629">
        <f>IFERROR(INDEX($S$53:$S$853,ROW()-52),"")</f>
        <v/>
      </c>
      <c r="D629">
        <f>IFERROR(INDEX($W$53:$W$853,ROW()-52),"")</f>
        <v/>
      </c>
      <c r="E629">
        <f>IFERROR(C629-D629,"")</f>
        <v/>
      </c>
    </row>
    <row r="630">
      <c r="B630" s="23">
        <f>IFERROR(INDEX($R$53:$R$853,ROW()-52),"")</f>
        <v/>
      </c>
      <c r="C630">
        <f>IFERROR(INDEX($S$53:$S$853,ROW()-52),"")</f>
        <v/>
      </c>
      <c r="D630">
        <f>IFERROR(INDEX($W$53:$W$853,ROW()-52),"")</f>
        <v/>
      </c>
      <c r="E630">
        <f>IFERROR(C630-D630,"")</f>
        <v/>
      </c>
    </row>
    <row r="631">
      <c r="B631" s="23">
        <f>IFERROR(INDEX($R$53:$R$853,ROW()-52),"")</f>
        <v/>
      </c>
      <c r="C631">
        <f>IFERROR(INDEX($S$53:$S$853,ROW()-52),"")</f>
        <v/>
      </c>
      <c r="D631">
        <f>IFERROR(INDEX($W$53:$W$853,ROW()-52),"")</f>
        <v/>
      </c>
      <c r="E631">
        <f>IFERROR(C631-D631,"")</f>
        <v/>
      </c>
    </row>
    <row r="632">
      <c r="B632" s="23">
        <f>IFERROR(INDEX($R$53:$R$853,ROW()-52),"")</f>
        <v/>
      </c>
      <c r="C632">
        <f>IFERROR(INDEX($S$53:$S$853,ROW()-52),"")</f>
        <v/>
      </c>
      <c r="D632">
        <f>IFERROR(INDEX($W$53:$W$853,ROW()-52),"")</f>
        <v/>
      </c>
      <c r="E632">
        <f>IFERROR(C632-D632,"")</f>
        <v/>
      </c>
    </row>
    <row r="633">
      <c r="B633" s="23">
        <f>IFERROR(INDEX($R$53:$R$853,ROW()-52),"")</f>
        <v/>
      </c>
      <c r="C633">
        <f>IFERROR(INDEX($S$53:$S$853,ROW()-52),"")</f>
        <v/>
      </c>
      <c r="D633">
        <f>IFERROR(INDEX($W$53:$W$853,ROW()-52),"")</f>
        <v/>
      </c>
      <c r="E633">
        <f>IFERROR(C633-D633,"")</f>
        <v/>
      </c>
    </row>
    <row r="634">
      <c r="B634" s="23">
        <f>IFERROR(INDEX($R$53:$R$853,ROW()-52),"")</f>
        <v/>
      </c>
      <c r="C634">
        <f>IFERROR(INDEX($S$53:$S$853,ROW()-52),"")</f>
        <v/>
      </c>
      <c r="D634">
        <f>IFERROR(INDEX($W$53:$W$853,ROW()-52),"")</f>
        <v/>
      </c>
      <c r="E634">
        <f>IFERROR(C634-D634,"")</f>
        <v/>
      </c>
    </row>
    <row r="635">
      <c r="B635" s="23">
        <f>IFERROR(INDEX($R$53:$R$853,ROW()-52),"")</f>
        <v/>
      </c>
      <c r="C635">
        <f>IFERROR(INDEX($S$53:$S$853,ROW()-52),"")</f>
        <v/>
      </c>
      <c r="D635">
        <f>IFERROR(INDEX($W$53:$W$853,ROW()-52),"")</f>
        <v/>
      </c>
      <c r="E635">
        <f>IFERROR(C635-D635,"")</f>
        <v/>
      </c>
    </row>
    <row r="636">
      <c r="B636" s="23">
        <f>IFERROR(INDEX($R$53:$R$853,ROW()-52),"")</f>
        <v/>
      </c>
      <c r="C636">
        <f>IFERROR(INDEX($S$53:$S$853,ROW()-52),"")</f>
        <v/>
      </c>
      <c r="D636">
        <f>IFERROR(INDEX($W$53:$W$853,ROW()-52),"")</f>
        <v/>
      </c>
      <c r="E636">
        <f>IFERROR(C636-D636,"")</f>
        <v/>
      </c>
    </row>
    <row r="637">
      <c r="B637" s="23">
        <f>IFERROR(INDEX($R$53:$R$853,ROW()-52),"")</f>
        <v/>
      </c>
      <c r="C637">
        <f>IFERROR(INDEX($S$53:$S$853,ROW()-52),"")</f>
        <v/>
      </c>
      <c r="D637">
        <f>IFERROR(INDEX($W$53:$W$853,ROW()-52),"")</f>
        <v/>
      </c>
      <c r="E637">
        <f>IFERROR(C637-D637,"")</f>
        <v/>
      </c>
    </row>
    <row r="638">
      <c r="B638" s="23">
        <f>IFERROR(INDEX($R$53:$R$853,ROW()-52),"")</f>
        <v/>
      </c>
      <c r="C638">
        <f>IFERROR(INDEX($S$53:$S$853,ROW()-52),"")</f>
        <v/>
      </c>
      <c r="D638">
        <f>IFERROR(INDEX($W$53:$W$853,ROW()-52),"")</f>
        <v/>
      </c>
      <c r="E638">
        <f>IFERROR(C638-D638,"")</f>
        <v/>
      </c>
    </row>
    <row r="639">
      <c r="B639" s="23">
        <f>IFERROR(INDEX($R$53:$R$853,ROW()-52),"")</f>
        <v/>
      </c>
      <c r="C639">
        <f>IFERROR(INDEX($S$53:$S$853,ROW()-52),"")</f>
        <v/>
      </c>
      <c r="D639">
        <f>IFERROR(INDEX($W$53:$W$853,ROW()-52),"")</f>
        <v/>
      </c>
      <c r="E639">
        <f>IFERROR(C639-D639,"")</f>
        <v/>
      </c>
    </row>
    <row r="640">
      <c r="B640" s="23">
        <f>IFERROR(INDEX($R$53:$R$853,ROW()-52),"")</f>
        <v/>
      </c>
      <c r="C640">
        <f>IFERROR(INDEX($S$53:$S$853,ROW()-52),"")</f>
        <v/>
      </c>
      <c r="D640">
        <f>IFERROR(INDEX($W$53:$W$853,ROW()-52),"")</f>
        <v/>
      </c>
      <c r="E640">
        <f>IFERROR(C640-D640,"")</f>
        <v/>
      </c>
    </row>
    <row r="641">
      <c r="B641" s="23">
        <f>IFERROR(INDEX($R$53:$R$853,ROW()-52),"")</f>
        <v/>
      </c>
      <c r="C641">
        <f>IFERROR(INDEX($S$53:$S$853,ROW()-52),"")</f>
        <v/>
      </c>
      <c r="D641">
        <f>IFERROR(INDEX($W$53:$W$853,ROW()-52),"")</f>
        <v/>
      </c>
      <c r="E641">
        <f>IFERROR(C641-D641,"")</f>
        <v/>
      </c>
    </row>
    <row r="642">
      <c r="B642" s="23">
        <f>IFERROR(INDEX($R$53:$R$853,ROW()-52),"")</f>
        <v/>
      </c>
      <c r="C642">
        <f>IFERROR(INDEX($S$53:$S$853,ROW()-52),"")</f>
        <v/>
      </c>
      <c r="D642">
        <f>IFERROR(INDEX($W$53:$W$853,ROW()-52),"")</f>
        <v/>
      </c>
      <c r="E642">
        <f>IFERROR(C642-D642,"")</f>
        <v/>
      </c>
    </row>
    <row r="643">
      <c r="B643" s="23">
        <f>IFERROR(INDEX($R$53:$R$853,ROW()-52),"")</f>
        <v/>
      </c>
      <c r="C643">
        <f>IFERROR(INDEX($S$53:$S$853,ROW()-52),"")</f>
        <v/>
      </c>
      <c r="D643">
        <f>IFERROR(INDEX($W$53:$W$853,ROW()-52),"")</f>
        <v/>
      </c>
      <c r="E643">
        <f>IFERROR(C643-D643,"")</f>
        <v/>
      </c>
    </row>
    <row r="644">
      <c r="B644" s="23">
        <f>IFERROR(INDEX($R$53:$R$853,ROW()-52),"")</f>
        <v/>
      </c>
      <c r="C644">
        <f>IFERROR(INDEX($S$53:$S$853,ROW()-52),"")</f>
        <v/>
      </c>
      <c r="D644">
        <f>IFERROR(INDEX($W$53:$W$853,ROW()-52),"")</f>
        <v/>
      </c>
      <c r="E644">
        <f>IFERROR(C644-D644,"")</f>
        <v/>
      </c>
    </row>
    <row r="645">
      <c r="B645" s="23">
        <f>IFERROR(INDEX($R$53:$R$853,ROW()-52),"")</f>
        <v/>
      </c>
      <c r="C645">
        <f>IFERROR(INDEX($S$53:$S$853,ROW()-52),"")</f>
        <v/>
      </c>
      <c r="D645">
        <f>IFERROR(INDEX($W$53:$W$853,ROW()-52),"")</f>
        <v/>
      </c>
      <c r="E645">
        <f>IFERROR(C645-D645,"")</f>
        <v/>
      </c>
    </row>
    <row r="646">
      <c r="B646" s="23">
        <f>IFERROR(INDEX($R$53:$R$853,ROW()-52),"")</f>
        <v/>
      </c>
      <c r="C646">
        <f>IFERROR(INDEX($S$53:$S$853,ROW()-52),"")</f>
        <v/>
      </c>
      <c r="D646">
        <f>IFERROR(INDEX($W$53:$W$853,ROW()-52),"")</f>
        <v/>
      </c>
      <c r="E646">
        <f>IFERROR(C646-D646,"")</f>
        <v/>
      </c>
    </row>
    <row r="647">
      <c r="B647" s="23">
        <f>IFERROR(INDEX($R$53:$R$853,ROW()-52),"")</f>
        <v/>
      </c>
      <c r="C647">
        <f>IFERROR(INDEX($S$53:$S$853,ROW()-52),"")</f>
        <v/>
      </c>
      <c r="D647">
        <f>IFERROR(INDEX($W$53:$W$853,ROW()-52),"")</f>
        <v/>
      </c>
      <c r="E647">
        <f>IFERROR(C647-D647,"")</f>
        <v/>
      </c>
    </row>
    <row r="648">
      <c r="B648" s="23">
        <f>IFERROR(INDEX($R$53:$R$853,ROW()-52),"")</f>
        <v/>
      </c>
      <c r="C648">
        <f>IFERROR(INDEX($S$53:$S$853,ROW()-52),"")</f>
        <v/>
      </c>
      <c r="D648">
        <f>IFERROR(INDEX($W$53:$W$853,ROW()-52),"")</f>
        <v/>
      </c>
      <c r="E648">
        <f>IFERROR(C648-D648,"")</f>
        <v/>
      </c>
    </row>
    <row r="649">
      <c r="B649" s="23">
        <f>IFERROR(INDEX($R$53:$R$853,ROW()-52),"")</f>
        <v/>
      </c>
      <c r="C649">
        <f>IFERROR(INDEX($S$53:$S$853,ROW()-52),"")</f>
        <v/>
      </c>
      <c r="D649">
        <f>IFERROR(INDEX($W$53:$W$853,ROW()-52),"")</f>
        <v/>
      </c>
      <c r="E649">
        <f>IFERROR(C649-D649,"")</f>
        <v/>
      </c>
    </row>
    <row r="650">
      <c r="B650" s="23">
        <f>IFERROR(INDEX($R$53:$R$853,ROW()-52),"")</f>
        <v/>
      </c>
      <c r="C650">
        <f>IFERROR(INDEX($S$53:$S$853,ROW()-52),"")</f>
        <v/>
      </c>
      <c r="D650">
        <f>IFERROR(INDEX($W$53:$W$853,ROW()-52),"")</f>
        <v/>
      </c>
      <c r="E650">
        <f>IFERROR(C650-D650,"")</f>
        <v/>
      </c>
    </row>
    <row r="651">
      <c r="B651" s="23">
        <f>IFERROR(INDEX($R$53:$R$853,ROW()-52),"")</f>
        <v/>
      </c>
      <c r="C651">
        <f>IFERROR(INDEX($S$53:$S$853,ROW()-52),"")</f>
        <v/>
      </c>
      <c r="D651">
        <f>IFERROR(INDEX($W$53:$W$853,ROW()-52),"")</f>
        <v/>
      </c>
      <c r="E651">
        <f>IFERROR(C651-D651,"")</f>
        <v/>
      </c>
    </row>
    <row r="652">
      <c r="B652" s="23">
        <f>IFERROR(INDEX($R$53:$R$853,ROW()-52),"")</f>
        <v/>
      </c>
      <c r="C652">
        <f>IFERROR(INDEX($S$53:$S$853,ROW()-52),"")</f>
        <v/>
      </c>
      <c r="D652">
        <f>IFERROR(INDEX($W$53:$W$853,ROW()-52),"")</f>
        <v/>
      </c>
      <c r="E652">
        <f>IFERROR(C652-D652,"")</f>
        <v/>
      </c>
    </row>
    <row r="653">
      <c r="B653" s="23">
        <f>IFERROR(INDEX($R$53:$R$853,ROW()-52),"")</f>
        <v/>
      </c>
      <c r="C653">
        <f>IFERROR(INDEX($S$53:$S$853,ROW()-52),"")</f>
        <v/>
      </c>
      <c r="D653">
        <f>IFERROR(INDEX($W$53:$W$853,ROW()-52),"")</f>
        <v/>
      </c>
      <c r="E653">
        <f>IFERROR(C653-D653,"")</f>
        <v/>
      </c>
    </row>
    <row r="654">
      <c r="B654" s="23">
        <f>IFERROR(INDEX($R$53:$R$853,ROW()-52),"")</f>
        <v/>
      </c>
      <c r="C654">
        <f>IFERROR(INDEX($S$53:$S$853,ROW()-52),"")</f>
        <v/>
      </c>
      <c r="D654">
        <f>IFERROR(INDEX($W$53:$W$853,ROW()-52),"")</f>
        <v/>
      </c>
      <c r="E654">
        <f>IFERROR(C654-D654,"")</f>
        <v/>
      </c>
    </row>
    <row r="655">
      <c r="B655" s="23">
        <f>IFERROR(INDEX($R$53:$R$853,ROW()-52),"")</f>
        <v/>
      </c>
      <c r="C655">
        <f>IFERROR(INDEX($S$53:$S$853,ROW()-52),"")</f>
        <v/>
      </c>
      <c r="D655">
        <f>IFERROR(INDEX($W$53:$W$853,ROW()-52),"")</f>
        <v/>
      </c>
      <c r="E655">
        <f>IFERROR(C655-D655,"")</f>
        <v/>
      </c>
    </row>
    <row r="656">
      <c r="B656" s="23">
        <f>IFERROR(INDEX($R$53:$R$853,ROW()-52),"")</f>
        <v/>
      </c>
      <c r="C656">
        <f>IFERROR(INDEX($S$53:$S$853,ROW()-52),"")</f>
        <v/>
      </c>
      <c r="D656">
        <f>IFERROR(INDEX($W$53:$W$853,ROW()-52),"")</f>
        <v/>
      </c>
      <c r="E656">
        <f>IFERROR(C656-D656,"")</f>
        <v/>
      </c>
    </row>
    <row r="657">
      <c r="B657" s="23">
        <f>IFERROR(INDEX($R$53:$R$853,ROW()-52),"")</f>
        <v/>
      </c>
      <c r="C657">
        <f>IFERROR(INDEX($S$53:$S$853,ROW()-52),"")</f>
        <v/>
      </c>
      <c r="D657">
        <f>IFERROR(INDEX($W$53:$W$853,ROW()-52),"")</f>
        <v/>
      </c>
      <c r="E657">
        <f>IFERROR(C657-D657,"")</f>
        <v/>
      </c>
    </row>
    <row r="658">
      <c r="B658" s="23">
        <f>IFERROR(INDEX($R$53:$R$853,ROW()-52),"")</f>
        <v/>
      </c>
      <c r="C658">
        <f>IFERROR(INDEX($S$53:$S$853,ROW()-52),"")</f>
        <v/>
      </c>
      <c r="D658">
        <f>IFERROR(INDEX($W$53:$W$853,ROW()-52),"")</f>
        <v/>
      </c>
      <c r="E658">
        <f>IFERROR(C658-D658,"")</f>
        <v/>
      </c>
    </row>
    <row r="659">
      <c r="B659" s="23">
        <f>IFERROR(INDEX($R$53:$R$853,ROW()-52),"")</f>
        <v/>
      </c>
      <c r="C659">
        <f>IFERROR(INDEX($S$53:$S$853,ROW()-52),"")</f>
        <v/>
      </c>
      <c r="D659">
        <f>IFERROR(INDEX($W$53:$W$853,ROW()-52),"")</f>
        <v/>
      </c>
      <c r="E659">
        <f>IFERROR(C659-D659,"")</f>
        <v/>
      </c>
    </row>
    <row r="660">
      <c r="B660" s="23">
        <f>IFERROR(INDEX($R$53:$R$853,ROW()-52),"")</f>
        <v/>
      </c>
      <c r="C660">
        <f>IFERROR(INDEX($S$53:$S$853,ROW()-52),"")</f>
        <v/>
      </c>
      <c r="D660">
        <f>IFERROR(INDEX($W$53:$W$853,ROW()-52),"")</f>
        <v/>
      </c>
      <c r="E660">
        <f>IFERROR(C660-D660,"")</f>
        <v/>
      </c>
    </row>
    <row r="661">
      <c r="B661" s="23">
        <f>IFERROR(INDEX($R$53:$R$853,ROW()-52),"")</f>
        <v/>
      </c>
      <c r="C661">
        <f>IFERROR(INDEX($S$53:$S$853,ROW()-52),"")</f>
        <v/>
      </c>
      <c r="D661">
        <f>IFERROR(INDEX($W$53:$W$853,ROW()-52),"")</f>
        <v/>
      </c>
      <c r="E661">
        <f>IFERROR(C661-D661,"")</f>
        <v/>
      </c>
    </row>
    <row r="662">
      <c r="B662" s="23">
        <f>IFERROR(INDEX($R$53:$R$853,ROW()-52),"")</f>
        <v/>
      </c>
      <c r="C662">
        <f>IFERROR(INDEX($S$53:$S$853,ROW()-52),"")</f>
        <v/>
      </c>
      <c r="D662">
        <f>IFERROR(INDEX($W$53:$W$853,ROW()-52),"")</f>
        <v/>
      </c>
      <c r="E662">
        <f>IFERROR(C662-D662,"")</f>
        <v/>
      </c>
    </row>
    <row r="663">
      <c r="B663" s="23">
        <f>IFERROR(INDEX($R$53:$R$853,ROW()-52),"")</f>
        <v/>
      </c>
      <c r="C663">
        <f>IFERROR(INDEX($S$53:$S$853,ROW()-52),"")</f>
        <v/>
      </c>
      <c r="D663">
        <f>IFERROR(INDEX($W$53:$W$853,ROW()-52),"")</f>
        <v/>
      </c>
      <c r="E663">
        <f>IFERROR(C663-D663,"")</f>
        <v/>
      </c>
    </row>
    <row r="664">
      <c r="B664" s="23">
        <f>IFERROR(INDEX($R$53:$R$853,ROW()-52),"")</f>
        <v/>
      </c>
      <c r="C664">
        <f>IFERROR(INDEX($S$53:$S$853,ROW()-52),"")</f>
        <v/>
      </c>
      <c r="D664">
        <f>IFERROR(INDEX($W$53:$W$853,ROW()-52),"")</f>
        <v/>
      </c>
      <c r="E664">
        <f>IFERROR(C664-D664,"")</f>
        <v/>
      </c>
    </row>
    <row r="665">
      <c r="B665" s="23">
        <f>IFERROR(INDEX($R$53:$R$853,ROW()-52),"")</f>
        <v/>
      </c>
      <c r="C665">
        <f>IFERROR(INDEX($S$53:$S$853,ROW()-52),"")</f>
        <v/>
      </c>
      <c r="D665">
        <f>IFERROR(INDEX($W$53:$W$853,ROW()-52),"")</f>
        <v/>
      </c>
      <c r="E665">
        <f>IFERROR(C665-D665,"")</f>
        <v/>
      </c>
    </row>
    <row r="666">
      <c r="B666" s="23">
        <f>IFERROR(INDEX($R$53:$R$853,ROW()-52),"")</f>
        <v/>
      </c>
      <c r="C666">
        <f>IFERROR(INDEX($S$53:$S$853,ROW()-52),"")</f>
        <v/>
      </c>
      <c r="D666">
        <f>IFERROR(INDEX($W$53:$W$853,ROW()-52),"")</f>
        <v/>
      </c>
      <c r="E666">
        <f>IFERROR(C666-D666,"")</f>
        <v/>
      </c>
    </row>
    <row r="667">
      <c r="B667" s="23">
        <f>IFERROR(INDEX($R$53:$R$853,ROW()-52),"")</f>
        <v/>
      </c>
      <c r="C667">
        <f>IFERROR(INDEX($S$53:$S$853,ROW()-52),"")</f>
        <v/>
      </c>
      <c r="D667">
        <f>IFERROR(INDEX($W$53:$W$853,ROW()-52),"")</f>
        <v/>
      </c>
      <c r="E667">
        <f>IFERROR(C667-D667,"")</f>
        <v/>
      </c>
    </row>
    <row r="668">
      <c r="B668" s="23">
        <f>IFERROR(INDEX($R$53:$R$853,ROW()-52),"")</f>
        <v/>
      </c>
      <c r="C668">
        <f>IFERROR(INDEX($S$53:$S$853,ROW()-52),"")</f>
        <v/>
      </c>
      <c r="D668">
        <f>IFERROR(INDEX($W$53:$W$853,ROW()-52),"")</f>
        <v/>
      </c>
      <c r="E668">
        <f>IFERROR(C668-D668,"")</f>
        <v/>
      </c>
    </row>
    <row r="669">
      <c r="B669" s="23">
        <f>IFERROR(INDEX($R$53:$R$853,ROW()-52),"")</f>
        <v/>
      </c>
      <c r="C669">
        <f>IFERROR(INDEX($S$53:$S$853,ROW()-52),"")</f>
        <v/>
      </c>
      <c r="D669">
        <f>IFERROR(INDEX($W$53:$W$853,ROW()-52),"")</f>
        <v/>
      </c>
      <c r="E669">
        <f>IFERROR(C669-D669,"")</f>
        <v/>
      </c>
    </row>
    <row r="670">
      <c r="B670" s="23">
        <f>IFERROR(INDEX($R$53:$R$853,ROW()-52),"")</f>
        <v/>
      </c>
      <c r="C670">
        <f>IFERROR(INDEX($S$53:$S$853,ROW()-52),"")</f>
        <v/>
      </c>
      <c r="D670">
        <f>IFERROR(INDEX($W$53:$W$853,ROW()-52),"")</f>
        <v/>
      </c>
      <c r="E670">
        <f>IFERROR(C670-D670,"")</f>
        <v/>
      </c>
    </row>
    <row r="671">
      <c r="B671" s="23">
        <f>IFERROR(INDEX($R$53:$R$853,ROW()-52),"")</f>
        <v/>
      </c>
      <c r="C671">
        <f>IFERROR(INDEX($S$53:$S$853,ROW()-52),"")</f>
        <v/>
      </c>
      <c r="D671">
        <f>IFERROR(INDEX($W$53:$W$853,ROW()-52),"")</f>
        <v/>
      </c>
      <c r="E671">
        <f>IFERROR(C671-D671,"")</f>
        <v/>
      </c>
    </row>
    <row r="672">
      <c r="B672" s="23">
        <f>IFERROR(INDEX($R$53:$R$853,ROW()-52),"")</f>
        <v/>
      </c>
      <c r="C672">
        <f>IFERROR(INDEX($S$53:$S$853,ROW()-52),"")</f>
        <v/>
      </c>
      <c r="D672">
        <f>IFERROR(INDEX($W$53:$W$853,ROW()-52),"")</f>
        <v/>
      </c>
      <c r="E672">
        <f>IFERROR(C672-D672,"")</f>
        <v/>
      </c>
    </row>
    <row r="673">
      <c r="B673" s="23">
        <f>IFERROR(INDEX($R$53:$R$853,ROW()-52),"")</f>
        <v/>
      </c>
      <c r="C673">
        <f>IFERROR(INDEX($S$53:$S$853,ROW()-52),"")</f>
        <v/>
      </c>
      <c r="D673">
        <f>IFERROR(INDEX($W$53:$W$853,ROW()-52),"")</f>
        <v/>
      </c>
      <c r="E673">
        <f>IFERROR(C673-D673,"")</f>
        <v/>
      </c>
    </row>
    <row r="674">
      <c r="B674" s="23">
        <f>IFERROR(INDEX($R$53:$R$853,ROW()-52),"")</f>
        <v/>
      </c>
      <c r="C674">
        <f>IFERROR(INDEX($S$53:$S$853,ROW()-52),"")</f>
        <v/>
      </c>
      <c r="D674">
        <f>IFERROR(INDEX($W$53:$W$853,ROW()-52),"")</f>
        <v/>
      </c>
      <c r="E674">
        <f>IFERROR(C674-D674,"")</f>
        <v/>
      </c>
    </row>
    <row r="675">
      <c r="B675" s="23">
        <f>IFERROR(INDEX($R$53:$R$853,ROW()-52),"")</f>
        <v/>
      </c>
      <c r="C675">
        <f>IFERROR(INDEX($S$53:$S$853,ROW()-52),"")</f>
        <v/>
      </c>
      <c r="D675">
        <f>IFERROR(INDEX($W$53:$W$853,ROW()-52),"")</f>
        <v/>
      </c>
      <c r="E675">
        <f>IFERROR(C675-D675,"")</f>
        <v/>
      </c>
    </row>
    <row r="676">
      <c r="B676" s="23">
        <f>IFERROR(INDEX($R$53:$R$853,ROW()-52),"")</f>
        <v/>
      </c>
      <c r="C676">
        <f>IFERROR(INDEX($S$53:$S$853,ROW()-52),"")</f>
        <v/>
      </c>
      <c r="D676">
        <f>IFERROR(INDEX($W$53:$W$853,ROW()-52),"")</f>
        <v/>
      </c>
      <c r="E676">
        <f>IFERROR(C676-D676,"")</f>
        <v/>
      </c>
    </row>
    <row r="677">
      <c r="B677" s="23">
        <f>IFERROR(INDEX($R$53:$R$853,ROW()-52),"")</f>
        <v/>
      </c>
      <c r="C677">
        <f>IFERROR(INDEX($S$53:$S$853,ROW()-52),"")</f>
        <v/>
      </c>
      <c r="D677">
        <f>IFERROR(INDEX($W$53:$W$853,ROW()-52),"")</f>
        <v/>
      </c>
      <c r="E677">
        <f>IFERROR(C677-D677,"")</f>
        <v/>
      </c>
    </row>
    <row r="678">
      <c r="B678" s="23">
        <f>IFERROR(INDEX($R$53:$R$853,ROW()-52),"")</f>
        <v/>
      </c>
      <c r="C678">
        <f>IFERROR(INDEX($S$53:$S$853,ROW()-52),"")</f>
        <v/>
      </c>
      <c r="D678">
        <f>IFERROR(INDEX($W$53:$W$853,ROW()-52),"")</f>
        <v/>
      </c>
      <c r="E678">
        <f>IFERROR(C678-D678,"")</f>
        <v/>
      </c>
    </row>
    <row r="679">
      <c r="B679" s="23">
        <f>IFERROR(INDEX($R$53:$R$853,ROW()-52),"")</f>
        <v/>
      </c>
      <c r="C679">
        <f>IFERROR(INDEX($S$53:$S$853,ROW()-52),"")</f>
        <v/>
      </c>
      <c r="D679">
        <f>IFERROR(INDEX($W$53:$W$853,ROW()-52),"")</f>
        <v/>
      </c>
      <c r="E679">
        <f>IFERROR(C679-D679,"")</f>
        <v/>
      </c>
    </row>
    <row r="680">
      <c r="B680" s="23">
        <f>IFERROR(INDEX($R$53:$R$853,ROW()-52),"")</f>
        <v/>
      </c>
      <c r="C680">
        <f>IFERROR(INDEX($S$53:$S$853,ROW()-52),"")</f>
        <v/>
      </c>
      <c r="D680">
        <f>IFERROR(INDEX($W$53:$W$853,ROW()-52),"")</f>
        <v/>
      </c>
      <c r="E680">
        <f>IFERROR(C680-D680,"")</f>
        <v/>
      </c>
    </row>
    <row r="681">
      <c r="B681" s="23">
        <f>IFERROR(INDEX($R$53:$R$853,ROW()-52),"")</f>
        <v/>
      </c>
      <c r="C681">
        <f>IFERROR(INDEX($S$53:$S$853,ROW()-52),"")</f>
        <v/>
      </c>
      <c r="D681">
        <f>IFERROR(INDEX($W$53:$W$853,ROW()-52),"")</f>
        <v/>
      </c>
      <c r="E681">
        <f>IFERROR(C681-D681,"")</f>
        <v/>
      </c>
    </row>
    <row r="682">
      <c r="B682" s="23">
        <f>IFERROR(INDEX($R$53:$R$853,ROW()-52),"")</f>
        <v/>
      </c>
      <c r="C682">
        <f>IFERROR(INDEX($S$53:$S$853,ROW()-52),"")</f>
        <v/>
      </c>
      <c r="D682">
        <f>IFERROR(INDEX($W$53:$W$853,ROW()-52),"")</f>
        <v/>
      </c>
      <c r="E682">
        <f>IFERROR(C682-D682,"")</f>
        <v/>
      </c>
    </row>
    <row r="683">
      <c r="B683" s="23">
        <f>IFERROR(INDEX($R$53:$R$853,ROW()-52),"")</f>
        <v/>
      </c>
      <c r="C683">
        <f>IFERROR(INDEX($S$53:$S$853,ROW()-52),"")</f>
        <v/>
      </c>
      <c r="D683">
        <f>IFERROR(INDEX($W$53:$W$853,ROW()-52),"")</f>
        <v/>
      </c>
      <c r="E683">
        <f>IFERROR(C683-D683,"")</f>
        <v/>
      </c>
    </row>
    <row r="684">
      <c r="B684" s="23">
        <f>IFERROR(INDEX($R$53:$R$853,ROW()-52),"")</f>
        <v/>
      </c>
      <c r="C684">
        <f>IFERROR(INDEX($S$53:$S$853,ROW()-52),"")</f>
        <v/>
      </c>
      <c r="D684">
        <f>IFERROR(INDEX($W$53:$W$853,ROW()-52),"")</f>
        <v/>
      </c>
      <c r="E684">
        <f>IFERROR(C684-D684,"")</f>
        <v/>
      </c>
    </row>
    <row r="685">
      <c r="B685" s="23">
        <f>IFERROR(INDEX($R$53:$R$853,ROW()-52),"")</f>
        <v/>
      </c>
      <c r="C685">
        <f>IFERROR(INDEX($S$53:$S$853,ROW()-52),"")</f>
        <v/>
      </c>
      <c r="D685">
        <f>IFERROR(INDEX($W$53:$W$853,ROW()-52),"")</f>
        <v/>
      </c>
      <c r="E685">
        <f>IFERROR(C685-D685,"")</f>
        <v/>
      </c>
    </row>
    <row r="686">
      <c r="B686" s="23">
        <f>IFERROR(INDEX($R$53:$R$853,ROW()-52),"")</f>
        <v/>
      </c>
      <c r="C686">
        <f>IFERROR(INDEX($S$53:$S$853,ROW()-52),"")</f>
        <v/>
      </c>
      <c r="D686">
        <f>IFERROR(INDEX($W$53:$W$853,ROW()-52),"")</f>
        <v/>
      </c>
      <c r="E686">
        <f>IFERROR(C686-D686,"")</f>
        <v/>
      </c>
    </row>
    <row r="687">
      <c r="B687" s="23">
        <f>IFERROR(INDEX($R$53:$R$853,ROW()-52),"")</f>
        <v/>
      </c>
      <c r="C687">
        <f>IFERROR(INDEX($S$53:$S$853,ROW()-52),"")</f>
        <v/>
      </c>
      <c r="D687">
        <f>IFERROR(INDEX($W$53:$W$853,ROW()-52),"")</f>
        <v/>
      </c>
      <c r="E687">
        <f>IFERROR(C687-D687,"")</f>
        <v/>
      </c>
    </row>
    <row r="688">
      <c r="B688" s="23">
        <f>IFERROR(INDEX($R$53:$R$853,ROW()-52),"")</f>
        <v/>
      </c>
      <c r="C688">
        <f>IFERROR(INDEX($S$53:$S$853,ROW()-52),"")</f>
        <v/>
      </c>
      <c r="D688">
        <f>IFERROR(INDEX($W$53:$W$853,ROW()-52),"")</f>
        <v/>
      </c>
      <c r="E688">
        <f>IFERROR(C688-D688,"")</f>
        <v/>
      </c>
    </row>
    <row r="689">
      <c r="B689" s="23">
        <f>IFERROR(INDEX($R$53:$R$853,ROW()-52),"")</f>
        <v/>
      </c>
      <c r="C689">
        <f>IFERROR(INDEX($S$53:$S$853,ROW()-52),"")</f>
        <v/>
      </c>
      <c r="D689">
        <f>IFERROR(INDEX($W$53:$W$853,ROW()-52),"")</f>
        <v/>
      </c>
      <c r="E689">
        <f>IFERROR(C689-D689,"")</f>
        <v/>
      </c>
    </row>
    <row r="690">
      <c r="B690" s="23">
        <f>IFERROR(INDEX($R$53:$R$853,ROW()-52),"")</f>
        <v/>
      </c>
      <c r="C690">
        <f>IFERROR(INDEX($S$53:$S$853,ROW()-52),"")</f>
        <v/>
      </c>
      <c r="D690">
        <f>IFERROR(INDEX($W$53:$W$853,ROW()-52),"")</f>
        <v/>
      </c>
      <c r="E690">
        <f>IFERROR(C690-D690,"")</f>
        <v/>
      </c>
    </row>
    <row r="691">
      <c r="B691" s="23">
        <f>IFERROR(INDEX($R$53:$R$853,ROW()-52),"")</f>
        <v/>
      </c>
      <c r="C691">
        <f>IFERROR(INDEX($S$53:$S$853,ROW()-52),"")</f>
        <v/>
      </c>
      <c r="D691">
        <f>IFERROR(INDEX($W$53:$W$853,ROW()-52),"")</f>
        <v/>
      </c>
      <c r="E691">
        <f>IFERROR(C691-D691,"")</f>
        <v/>
      </c>
    </row>
    <row r="692">
      <c r="B692" s="23">
        <f>IFERROR(INDEX($R$53:$R$853,ROW()-52),"")</f>
        <v/>
      </c>
      <c r="C692">
        <f>IFERROR(INDEX($S$53:$S$853,ROW()-52),"")</f>
        <v/>
      </c>
      <c r="D692">
        <f>IFERROR(INDEX($W$53:$W$853,ROW()-52),"")</f>
        <v/>
      </c>
      <c r="E692">
        <f>IFERROR(C692-D692,"")</f>
        <v/>
      </c>
    </row>
    <row r="693">
      <c r="B693" s="23">
        <f>IFERROR(INDEX($R$53:$R$853,ROW()-52),"")</f>
        <v/>
      </c>
      <c r="C693">
        <f>IFERROR(INDEX($S$53:$S$853,ROW()-52),"")</f>
        <v/>
      </c>
      <c r="D693">
        <f>IFERROR(INDEX($W$53:$W$853,ROW()-52),"")</f>
        <v/>
      </c>
      <c r="E693">
        <f>IFERROR(C693-D693,"")</f>
        <v/>
      </c>
    </row>
    <row r="694">
      <c r="B694" s="23">
        <f>IFERROR(INDEX($R$53:$R$853,ROW()-52),"")</f>
        <v/>
      </c>
      <c r="C694">
        <f>IFERROR(INDEX($S$53:$S$853,ROW()-52),"")</f>
        <v/>
      </c>
      <c r="D694">
        <f>IFERROR(INDEX($W$53:$W$853,ROW()-52),"")</f>
        <v/>
      </c>
      <c r="E694">
        <f>IFERROR(C694-D694,"")</f>
        <v/>
      </c>
    </row>
    <row r="695">
      <c r="B695" s="23">
        <f>IFERROR(INDEX($R$53:$R$853,ROW()-52),"")</f>
        <v/>
      </c>
      <c r="C695">
        <f>IFERROR(INDEX($S$53:$S$853,ROW()-52),"")</f>
        <v/>
      </c>
      <c r="D695">
        <f>IFERROR(INDEX($W$53:$W$853,ROW()-52),"")</f>
        <v/>
      </c>
      <c r="E695">
        <f>IFERROR(C695-D695,"")</f>
        <v/>
      </c>
    </row>
    <row r="696">
      <c r="B696" s="23">
        <f>IFERROR(INDEX($R$53:$R$853,ROW()-52),"")</f>
        <v/>
      </c>
      <c r="C696">
        <f>IFERROR(INDEX($S$53:$S$853,ROW()-52),"")</f>
        <v/>
      </c>
      <c r="D696">
        <f>IFERROR(INDEX($W$53:$W$853,ROW()-52),"")</f>
        <v/>
      </c>
      <c r="E696">
        <f>IFERROR(C696-D696,"")</f>
        <v/>
      </c>
    </row>
    <row r="697">
      <c r="B697" s="23">
        <f>IFERROR(INDEX($R$53:$R$853,ROW()-52),"")</f>
        <v/>
      </c>
      <c r="C697">
        <f>IFERROR(INDEX($S$53:$S$853,ROW()-52),"")</f>
        <v/>
      </c>
      <c r="D697">
        <f>IFERROR(INDEX($W$53:$W$853,ROW()-52),"")</f>
        <v/>
      </c>
      <c r="E697">
        <f>IFERROR(C697-D697,"")</f>
        <v/>
      </c>
    </row>
    <row r="698">
      <c r="B698" s="23">
        <f>IFERROR(INDEX($R$53:$R$853,ROW()-52),"")</f>
        <v/>
      </c>
      <c r="C698">
        <f>IFERROR(INDEX($S$53:$S$853,ROW()-52),"")</f>
        <v/>
      </c>
      <c r="D698">
        <f>IFERROR(INDEX($W$53:$W$853,ROW()-52),"")</f>
        <v/>
      </c>
      <c r="E698">
        <f>IFERROR(C698-D698,"")</f>
        <v/>
      </c>
    </row>
    <row r="699">
      <c r="B699" s="23">
        <f>IFERROR(INDEX($R$53:$R$853,ROW()-52),"")</f>
        <v/>
      </c>
      <c r="C699">
        <f>IFERROR(INDEX($S$53:$S$853,ROW()-52),"")</f>
        <v/>
      </c>
      <c r="D699">
        <f>IFERROR(INDEX($W$53:$W$853,ROW()-52),"")</f>
        <v/>
      </c>
      <c r="E699">
        <f>IFERROR(C699-D699,"")</f>
        <v/>
      </c>
    </row>
    <row r="700">
      <c r="B700" s="23">
        <f>IFERROR(INDEX($R$53:$R$853,ROW()-52),"")</f>
        <v/>
      </c>
      <c r="C700">
        <f>IFERROR(INDEX($S$53:$S$853,ROW()-52),"")</f>
        <v/>
      </c>
      <c r="D700">
        <f>IFERROR(INDEX($W$53:$W$853,ROW()-52),"")</f>
        <v/>
      </c>
      <c r="E700">
        <f>IFERROR(C700-D700,"")</f>
        <v/>
      </c>
    </row>
    <row r="701">
      <c r="B701" s="23">
        <f>IFERROR(INDEX($R$53:$R$853,ROW()-52),"")</f>
        <v/>
      </c>
      <c r="C701">
        <f>IFERROR(INDEX($S$53:$S$853,ROW()-52),"")</f>
        <v/>
      </c>
      <c r="D701">
        <f>IFERROR(INDEX($W$53:$W$853,ROW()-52),"")</f>
        <v/>
      </c>
      <c r="E701">
        <f>IFERROR(C701-D701,"")</f>
        <v/>
      </c>
    </row>
    <row r="702">
      <c r="B702" s="23">
        <f>IFERROR(INDEX($R$53:$R$853,ROW()-52),"")</f>
        <v/>
      </c>
      <c r="C702">
        <f>IFERROR(INDEX($S$53:$S$853,ROW()-52),"")</f>
        <v/>
      </c>
      <c r="D702">
        <f>IFERROR(INDEX($W$53:$W$853,ROW()-52),"")</f>
        <v/>
      </c>
      <c r="E702">
        <f>IFERROR(C702-D702,"")</f>
        <v/>
      </c>
    </row>
    <row r="703">
      <c r="B703" s="23">
        <f>IFERROR(INDEX($R$53:$R$853,ROW()-52),"")</f>
        <v/>
      </c>
      <c r="C703">
        <f>IFERROR(INDEX($S$53:$S$853,ROW()-52),"")</f>
        <v/>
      </c>
      <c r="D703">
        <f>IFERROR(INDEX($W$53:$W$853,ROW()-52),"")</f>
        <v/>
      </c>
      <c r="E703">
        <f>IFERROR(C703-D703,"")</f>
        <v/>
      </c>
    </row>
    <row r="704">
      <c r="B704" s="23">
        <f>IFERROR(INDEX($R$53:$R$853,ROW()-52),"")</f>
        <v/>
      </c>
      <c r="C704">
        <f>IFERROR(INDEX($S$53:$S$853,ROW()-52),"")</f>
        <v/>
      </c>
      <c r="D704">
        <f>IFERROR(INDEX($W$53:$W$853,ROW()-52),"")</f>
        <v/>
      </c>
      <c r="E704">
        <f>IFERROR(C704-D704,"")</f>
        <v/>
      </c>
    </row>
    <row r="705">
      <c r="B705" s="23">
        <f>IFERROR(INDEX($R$53:$R$853,ROW()-52),"")</f>
        <v/>
      </c>
      <c r="C705">
        <f>IFERROR(INDEX($S$53:$S$853,ROW()-52),"")</f>
        <v/>
      </c>
      <c r="D705">
        <f>IFERROR(INDEX($W$53:$W$853,ROW()-52),"")</f>
        <v/>
      </c>
      <c r="E705">
        <f>IFERROR(C705-D705,"")</f>
        <v/>
      </c>
    </row>
    <row r="706">
      <c r="B706" s="23">
        <f>IFERROR(INDEX($R$53:$R$853,ROW()-52),"")</f>
        <v/>
      </c>
      <c r="C706">
        <f>IFERROR(INDEX($S$53:$S$853,ROW()-52),"")</f>
        <v/>
      </c>
      <c r="D706">
        <f>IFERROR(INDEX($W$53:$W$853,ROW()-52),"")</f>
        <v/>
      </c>
      <c r="E706">
        <f>IFERROR(C706-D706,"")</f>
        <v/>
      </c>
    </row>
    <row r="707">
      <c r="B707" s="23">
        <f>IFERROR(INDEX($R$53:$R$853,ROW()-52),"")</f>
        <v/>
      </c>
      <c r="C707">
        <f>IFERROR(INDEX($S$53:$S$853,ROW()-52),"")</f>
        <v/>
      </c>
      <c r="D707">
        <f>IFERROR(INDEX($W$53:$W$853,ROW()-52),"")</f>
        <v/>
      </c>
      <c r="E707">
        <f>IFERROR(C707-D707,"")</f>
        <v/>
      </c>
    </row>
    <row r="708">
      <c r="B708" s="23">
        <f>IFERROR(INDEX($R$53:$R$853,ROW()-52),"")</f>
        <v/>
      </c>
      <c r="C708">
        <f>IFERROR(INDEX($S$53:$S$853,ROW()-52),"")</f>
        <v/>
      </c>
      <c r="D708">
        <f>IFERROR(INDEX($W$53:$W$853,ROW()-52),"")</f>
        <v/>
      </c>
      <c r="E708">
        <f>IFERROR(C708-D708,"")</f>
        <v/>
      </c>
    </row>
    <row r="709">
      <c r="B709" s="23">
        <f>IFERROR(INDEX($R$53:$R$853,ROW()-52),"")</f>
        <v/>
      </c>
      <c r="C709">
        <f>IFERROR(INDEX($S$53:$S$853,ROW()-52),"")</f>
        <v/>
      </c>
      <c r="D709">
        <f>IFERROR(INDEX($W$53:$W$853,ROW()-52),"")</f>
        <v/>
      </c>
      <c r="E709">
        <f>IFERROR(C709-D709,"")</f>
        <v/>
      </c>
    </row>
    <row r="710">
      <c r="B710" s="23">
        <f>IFERROR(INDEX($R$53:$R$853,ROW()-52),"")</f>
        <v/>
      </c>
      <c r="C710">
        <f>IFERROR(INDEX($S$53:$S$853,ROW()-52),"")</f>
        <v/>
      </c>
      <c r="D710">
        <f>IFERROR(INDEX($W$53:$W$853,ROW()-52),"")</f>
        <v/>
      </c>
      <c r="E710">
        <f>IFERROR(C710-D710,"")</f>
        <v/>
      </c>
    </row>
    <row r="711">
      <c r="B711" s="23">
        <f>IFERROR(INDEX($R$53:$R$853,ROW()-52),"")</f>
        <v/>
      </c>
      <c r="C711">
        <f>IFERROR(INDEX($S$53:$S$853,ROW()-52),"")</f>
        <v/>
      </c>
      <c r="D711">
        <f>IFERROR(INDEX($W$53:$W$853,ROW()-52),"")</f>
        <v/>
      </c>
      <c r="E711">
        <f>IFERROR(C711-D711,"")</f>
        <v/>
      </c>
    </row>
    <row r="712">
      <c r="B712" s="23">
        <f>IFERROR(INDEX($R$53:$R$853,ROW()-52),"")</f>
        <v/>
      </c>
      <c r="C712">
        <f>IFERROR(INDEX($S$53:$S$853,ROW()-52),"")</f>
        <v/>
      </c>
      <c r="D712">
        <f>IFERROR(INDEX($W$53:$W$853,ROW()-52),"")</f>
        <v/>
      </c>
      <c r="E712">
        <f>IFERROR(C712-D712,"")</f>
        <v/>
      </c>
    </row>
    <row r="713">
      <c r="B713" s="23">
        <f>IFERROR(INDEX($R$53:$R$853,ROW()-52),"")</f>
        <v/>
      </c>
      <c r="C713">
        <f>IFERROR(INDEX($S$53:$S$853,ROW()-52),"")</f>
        <v/>
      </c>
      <c r="D713">
        <f>IFERROR(INDEX($W$53:$W$853,ROW()-52),"")</f>
        <v/>
      </c>
      <c r="E713">
        <f>IFERROR(C713-D713,"")</f>
        <v/>
      </c>
    </row>
    <row r="714">
      <c r="B714" s="23">
        <f>IFERROR(INDEX($R$53:$R$853,ROW()-52),"")</f>
        <v/>
      </c>
      <c r="C714">
        <f>IFERROR(INDEX($S$53:$S$853,ROW()-52),"")</f>
        <v/>
      </c>
      <c r="D714">
        <f>IFERROR(INDEX($W$53:$W$853,ROW()-52),"")</f>
        <v/>
      </c>
      <c r="E714">
        <f>IFERROR(C714-D714,"")</f>
        <v/>
      </c>
    </row>
    <row r="715">
      <c r="B715" s="23">
        <f>IFERROR(INDEX($R$53:$R$853,ROW()-52),"")</f>
        <v/>
      </c>
      <c r="C715">
        <f>IFERROR(INDEX($S$53:$S$853,ROW()-52),"")</f>
        <v/>
      </c>
      <c r="D715">
        <f>IFERROR(INDEX($W$53:$W$853,ROW()-52),"")</f>
        <v/>
      </c>
      <c r="E715">
        <f>IFERROR(C715-D715,"")</f>
        <v/>
      </c>
    </row>
    <row r="716">
      <c r="B716" s="23">
        <f>IFERROR(INDEX($R$53:$R$853,ROW()-52),"")</f>
        <v/>
      </c>
      <c r="C716">
        <f>IFERROR(INDEX($S$53:$S$853,ROW()-52),"")</f>
        <v/>
      </c>
      <c r="D716">
        <f>IFERROR(INDEX($W$53:$W$853,ROW()-52),"")</f>
        <v/>
      </c>
      <c r="E716">
        <f>IFERROR(C716-D716,"")</f>
        <v/>
      </c>
    </row>
    <row r="717">
      <c r="B717" s="23">
        <f>IFERROR(INDEX($R$53:$R$853,ROW()-52),"")</f>
        <v/>
      </c>
      <c r="C717">
        <f>IFERROR(INDEX($S$53:$S$853,ROW()-52),"")</f>
        <v/>
      </c>
      <c r="D717">
        <f>IFERROR(INDEX($W$53:$W$853,ROW()-52),"")</f>
        <v/>
      </c>
      <c r="E717">
        <f>IFERROR(C717-D717,"")</f>
        <v/>
      </c>
    </row>
    <row r="718">
      <c r="B718" s="23">
        <f>IFERROR(INDEX($R$53:$R$853,ROW()-52),"")</f>
        <v/>
      </c>
      <c r="C718">
        <f>IFERROR(INDEX($S$53:$S$853,ROW()-52),"")</f>
        <v/>
      </c>
      <c r="D718">
        <f>IFERROR(INDEX($W$53:$W$853,ROW()-52),"")</f>
        <v/>
      </c>
      <c r="E718">
        <f>IFERROR(C718-D718,"")</f>
        <v/>
      </c>
    </row>
    <row r="719">
      <c r="B719" s="23">
        <f>IFERROR(INDEX($R$53:$R$853,ROW()-52),"")</f>
        <v/>
      </c>
      <c r="C719">
        <f>IFERROR(INDEX($S$53:$S$853,ROW()-52),"")</f>
        <v/>
      </c>
      <c r="D719">
        <f>IFERROR(INDEX($W$53:$W$853,ROW()-52),"")</f>
        <v/>
      </c>
      <c r="E719">
        <f>IFERROR(C719-D719,"")</f>
        <v/>
      </c>
    </row>
    <row r="720">
      <c r="B720" s="23">
        <f>IFERROR(INDEX($R$53:$R$853,ROW()-52),"")</f>
        <v/>
      </c>
      <c r="C720">
        <f>IFERROR(INDEX($S$53:$S$853,ROW()-52),"")</f>
        <v/>
      </c>
      <c r="D720">
        <f>IFERROR(INDEX($W$53:$W$853,ROW()-52),"")</f>
        <v/>
      </c>
      <c r="E720">
        <f>IFERROR(C720-D720,"")</f>
        <v/>
      </c>
    </row>
    <row r="721">
      <c r="B721" s="23">
        <f>IFERROR(INDEX($R$53:$R$853,ROW()-52),"")</f>
        <v/>
      </c>
      <c r="C721">
        <f>IFERROR(INDEX($S$53:$S$853,ROW()-52),"")</f>
        <v/>
      </c>
      <c r="D721">
        <f>IFERROR(INDEX($W$53:$W$853,ROW()-52),"")</f>
        <v/>
      </c>
      <c r="E721">
        <f>IFERROR(C721-D721,"")</f>
        <v/>
      </c>
    </row>
    <row r="722">
      <c r="B722" s="23">
        <f>IFERROR(INDEX($R$53:$R$853,ROW()-52),"")</f>
        <v/>
      </c>
      <c r="C722">
        <f>IFERROR(INDEX($S$53:$S$853,ROW()-52),"")</f>
        <v/>
      </c>
      <c r="D722">
        <f>IFERROR(INDEX($W$53:$W$853,ROW()-52),"")</f>
        <v/>
      </c>
      <c r="E722">
        <f>IFERROR(C722-D722,"")</f>
        <v/>
      </c>
    </row>
    <row r="723">
      <c r="B723" s="23">
        <f>IFERROR(INDEX($R$53:$R$853,ROW()-52),"")</f>
        <v/>
      </c>
      <c r="C723">
        <f>IFERROR(INDEX($S$53:$S$853,ROW()-52),"")</f>
        <v/>
      </c>
      <c r="D723">
        <f>IFERROR(INDEX($W$53:$W$853,ROW()-52),"")</f>
        <v/>
      </c>
      <c r="E723">
        <f>IFERROR(C723-D723,"")</f>
        <v/>
      </c>
    </row>
    <row r="724">
      <c r="B724" s="23">
        <f>IFERROR(INDEX($R$53:$R$853,ROW()-52),"")</f>
        <v/>
      </c>
      <c r="C724">
        <f>IFERROR(INDEX($S$53:$S$853,ROW()-52),"")</f>
        <v/>
      </c>
      <c r="D724">
        <f>IFERROR(INDEX($W$53:$W$853,ROW()-52),"")</f>
        <v/>
      </c>
      <c r="E724">
        <f>IFERROR(C724-D724,"")</f>
        <v/>
      </c>
    </row>
    <row r="725">
      <c r="B725" s="23">
        <f>IFERROR(INDEX($R$53:$R$853,ROW()-52),"")</f>
        <v/>
      </c>
      <c r="C725">
        <f>IFERROR(INDEX($S$53:$S$853,ROW()-52),"")</f>
        <v/>
      </c>
      <c r="D725">
        <f>IFERROR(INDEX($W$53:$W$853,ROW()-52),"")</f>
        <v/>
      </c>
      <c r="E725">
        <f>IFERROR(C725-D725,"")</f>
        <v/>
      </c>
    </row>
    <row r="726">
      <c r="B726" s="23">
        <f>IFERROR(INDEX($R$53:$R$853,ROW()-52),"")</f>
        <v/>
      </c>
      <c r="C726">
        <f>IFERROR(INDEX($S$53:$S$853,ROW()-52),"")</f>
        <v/>
      </c>
      <c r="D726">
        <f>IFERROR(INDEX($W$53:$W$853,ROW()-52),"")</f>
        <v/>
      </c>
      <c r="E726">
        <f>IFERROR(C726-D726,"")</f>
        <v/>
      </c>
    </row>
    <row r="727">
      <c r="B727" s="23">
        <f>IFERROR(INDEX($R$53:$R$853,ROW()-52),"")</f>
        <v/>
      </c>
      <c r="C727">
        <f>IFERROR(INDEX($S$53:$S$853,ROW()-52),"")</f>
        <v/>
      </c>
      <c r="D727">
        <f>IFERROR(INDEX($W$53:$W$853,ROW()-52),"")</f>
        <v/>
      </c>
      <c r="E727">
        <f>IFERROR(C727-D727,"")</f>
        <v/>
      </c>
    </row>
    <row r="728">
      <c r="B728" s="23">
        <f>IFERROR(INDEX($R$53:$R$853,ROW()-52),"")</f>
        <v/>
      </c>
      <c r="C728">
        <f>IFERROR(INDEX($S$53:$S$853,ROW()-52),"")</f>
        <v/>
      </c>
      <c r="D728">
        <f>IFERROR(INDEX($W$53:$W$853,ROW()-52),"")</f>
        <v/>
      </c>
      <c r="E728">
        <f>IFERROR(C728-D728,"")</f>
        <v/>
      </c>
    </row>
    <row r="729">
      <c r="B729" s="23">
        <f>IFERROR(INDEX($R$53:$R$853,ROW()-52),"")</f>
        <v/>
      </c>
      <c r="C729">
        <f>IFERROR(INDEX($S$53:$S$853,ROW()-52),"")</f>
        <v/>
      </c>
      <c r="D729">
        <f>IFERROR(INDEX($W$53:$W$853,ROW()-52),"")</f>
        <v/>
      </c>
      <c r="E729">
        <f>IFERROR(C729-D729,"")</f>
        <v/>
      </c>
    </row>
    <row r="730">
      <c r="B730" s="23">
        <f>IFERROR(INDEX($R$53:$R$853,ROW()-52),"")</f>
        <v/>
      </c>
      <c r="C730">
        <f>IFERROR(INDEX($S$53:$S$853,ROW()-52),"")</f>
        <v/>
      </c>
      <c r="D730">
        <f>IFERROR(INDEX($W$53:$W$853,ROW()-52),"")</f>
        <v/>
      </c>
      <c r="E730">
        <f>IFERROR(C730-D730,"")</f>
        <v/>
      </c>
    </row>
    <row r="731">
      <c r="B731" s="23">
        <f>IFERROR(INDEX($R$53:$R$853,ROW()-52),"")</f>
        <v/>
      </c>
      <c r="C731">
        <f>IFERROR(INDEX($S$53:$S$853,ROW()-52),"")</f>
        <v/>
      </c>
      <c r="D731">
        <f>IFERROR(INDEX($W$53:$W$853,ROW()-52),"")</f>
        <v/>
      </c>
      <c r="E731">
        <f>IFERROR(C731-D731,"")</f>
        <v/>
      </c>
    </row>
    <row r="732">
      <c r="B732" s="23">
        <f>IFERROR(INDEX($R$53:$R$853,ROW()-52),"")</f>
        <v/>
      </c>
      <c r="C732">
        <f>IFERROR(INDEX($S$53:$S$853,ROW()-52),"")</f>
        <v/>
      </c>
      <c r="D732">
        <f>IFERROR(INDEX($W$53:$W$853,ROW()-52),"")</f>
        <v/>
      </c>
      <c r="E732">
        <f>IFERROR(C732-D732,"")</f>
        <v/>
      </c>
    </row>
    <row r="733">
      <c r="B733" s="23">
        <f>IFERROR(INDEX($R$53:$R$853,ROW()-52),"")</f>
        <v/>
      </c>
      <c r="C733">
        <f>IFERROR(INDEX($S$53:$S$853,ROW()-52),"")</f>
        <v/>
      </c>
      <c r="D733">
        <f>IFERROR(INDEX($W$53:$W$853,ROW()-52),"")</f>
        <v/>
      </c>
      <c r="E733">
        <f>IFERROR(C733-D733,"")</f>
        <v/>
      </c>
    </row>
    <row r="734">
      <c r="B734" s="23">
        <f>IFERROR(INDEX($R$53:$R$853,ROW()-52),"")</f>
        <v/>
      </c>
      <c r="C734">
        <f>IFERROR(INDEX($S$53:$S$853,ROW()-52),"")</f>
        <v/>
      </c>
      <c r="D734">
        <f>IFERROR(INDEX($W$53:$W$853,ROW()-52),"")</f>
        <v/>
      </c>
      <c r="E734">
        <f>IFERROR(C734-D734,"")</f>
        <v/>
      </c>
    </row>
    <row r="735">
      <c r="B735" s="23">
        <f>IFERROR(INDEX($R$53:$R$853,ROW()-52),"")</f>
        <v/>
      </c>
      <c r="C735">
        <f>IFERROR(INDEX($S$53:$S$853,ROW()-52),"")</f>
        <v/>
      </c>
      <c r="D735">
        <f>IFERROR(INDEX($W$53:$W$853,ROW()-52),"")</f>
        <v/>
      </c>
      <c r="E735">
        <f>IFERROR(C735-D735,"")</f>
        <v/>
      </c>
    </row>
    <row r="736">
      <c r="B736" s="23">
        <f>IFERROR(INDEX($R$53:$R$853,ROW()-52),"")</f>
        <v/>
      </c>
      <c r="C736">
        <f>IFERROR(INDEX($S$53:$S$853,ROW()-52),"")</f>
        <v/>
      </c>
      <c r="D736">
        <f>IFERROR(INDEX($W$53:$W$853,ROW()-52),"")</f>
        <v/>
      </c>
      <c r="E736">
        <f>IFERROR(C736-D736,"")</f>
        <v/>
      </c>
    </row>
    <row r="737">
      <c r="B737" s="23">
        <f>IFERROR(INDEX($R$53:$R$853,ROW()-52),"")</f>
        <v/>
      </c>
      <c r="C737">
        <f>IFERROR(INDEX($S$53:$S$853,ROW()-52),"")</f>
        <v/>
      </c>
      <c r="D737">
        <f>IFERROR(INDEX($W$53:$W$853,ROW()-52),"")</f>
        <v/>
      </c>
      <c r="E737">
        <f>IFERROR(C737-D737,"")</f>
        <v/>
      </c>
    </row>
    <row r="738">
      <c r="B738" s="23">
        <f>IFERROR(INDEX($R$53:$R$853,ROW()-52),"")</f>
        <v/>
      </c>
      <c r="C738">
        <f>IFERROR(INDEX($S$53:$S$853,ROW()-52),"")</f>
        <v/>
      </c>
      <c r="D738">
        <f>IFERROR(INDEX($W$53:$W$853,ROW()-52),"")</f>
        <v/>
      </c>
      <c r="E738">
        <f>IFERROR(C738-D738,"")</f>
        <v/>
      </c>
    </row>
    <row r="739">
      <c r="B739" s="23">
        <f>IFERROR(INDEX($R$53:$R$853,ROW()-52),"")</f>
        <v/>
      </c>
      <c r="C739">
        <f>IFERROR(INDEX($S$53:$S$853,ROW()-52),"")</f>
        <v/>
      </c>
      <c r="D739">
        <f>IFERROR(INDEX($W$53:$W$853,ROW()-52),"")</f>
        <v/>
      </c>
      <c r="E739">
        <f>IFERROR(C739-D739,"")</f>
        <v/>
      </c>
    </row>
    <row r="740">
      <c r="B740" s="23">
        <f>IFERROR(INDEX($R$53:$R$853,ROW()-52),"")</f>
        <v/>
      </c>
      <c r="C740">
        <f>IFERROR(INDEX($S$53:$S$853,ROW()-52),"")</f>
        <v/>
      </c>
      <c r="D740">
        <f>IFERROR(INDEX($W$53:$W$853,ROW()-52),"")</f>
        <v/>
      </c>
      <c r="E740">
        <f>IFERROR(C740-D740,"")</f>
        <v/>
      </c>
    </row>
    <row r="741">
      <c r="B741" s="23">
        <f>IFERROR(INDEX($R$53:$R$853,ROW()-52),"")</f>
        <v/>
      </c>
      <c r="C741">
        <f>IFERROR(INDEX($S$53:$S$853,ROW()-52),"")</f>
        <v/>
      </c>
      <c r="D741">
        <f>IFERROR(INDEX($W$53:$W$853,ROW()-52),"")</f>
        <v/>
      </c>
      <c r="E741">
        <f>IFERROR(C741-D741,"")</f>
        <v/>
      </c>
    </row>
    <row r="742">
      <c r="B742" s="23">
        <f>IFERROR(INDEX($R$53:$R$853,ROW()-52),"")</f>
        <v/>
      </c>
      <c r="C742">
        <f>IFERROR(INDEX($S$53:$S$853,ROW()-52),"")</f>
        <v/>
      </c>
      <c r="D742">
        <f>IFERROR(INDEX($W$53:$W$853,ROW()-52),"")</f>
        <v/>
      </c>
      <c r="E742">
        <f>IFERROR(C742-D742,"")</f>
        <v/>
      </c>
    </row>
    <row r="743">
      <c r="B743" s="23">
        <f>IFERROR(INDEX($R$53:$R$853,ROW()-52),"")</f>
        <v/>
      </c>
      <c r="C743">
        <f>IFERROR(INDEX($S$53:$S$853,ROW()-52),"")</f>
        <v/>
      </c>
      <c r="D743">
        <f>IFERROR(INDEX($W$53:$W$853,ROW()-52),"")</f>
        <v/>
      </c>
      <c r="E743">
        <f>IFERROR(C743-D743,"")</f>
        <v/>
      </c>
    </row>
    <row r="744">
      <c r="B744" s="23">
        <f>IFERROR(INDEX($R$53:$R$853,ROW()-52),"")</f>
        <v/>
      </c>
      <c r="C744">
        <f>IFERROR(INDEX($S$53:$S$853,ROW()-52),"")</f>
        <v/>
      </c>
      <c r="D744">
        <f>IFERROR(INDEX($W$53:$W$853,ROW()-52),"")</f>
        <v/>
      </c>
      <c r="E744">
        <f>IFERROR(C744-D744,"")</f>
        <v/>
      </c>
    </row>
    <row r="745">
      <c r="B745" s="23">
        <f>IFERROR(INDEX($R$53:$R$853,ROW()-52),"")</f>
        <v/>
      </c>
      <c r="C745">
        <f>IFERROR(INDEX($S$53:$S$853,ROW()-52),"")</f>
        <v/>
      </c>
      <c r="D745">
        <f>IFERROR(INDEX($W$53:$W$853,ROW()-52),"")</f>
        <v/>
      </c>
      <c r="E745">
        <f>IFERROR(C745-D745,"")</f>
        <v/>
      </c>
    </row>
    <row r="746">
      <c r="B746" s="23">
        <f>IFERROR(INDEX($R$53:$R$853,ROW()-52),"")</f>
        <v/>
      </c>
      <c r="C746">
        <f>IFERROR(INDEX($S$53:$S$853,ROW()-52),"")</f>
        <v/>
      </c>
      <c r="D746">
        <f>IFERROR(INDEX($W$53:$W$853,ROW()-52),"")</f>
        <v/>
      </c>
      <c r="E746">
        <f>IFERROR(C746-D746,"")</f>
        <v/>
      </c>
    </row>
    <row r="747">
      <c r="B747" s="23">
        <f>IFERROR(INDEX($R$53:$R$853,ROW()-52),"")</f>
        <v/>
      </c>
      <c r="C747">
        <f>IFERROR(INDEX($S$53:$S$853,ROW()-52),"")</f>
        <v/>
      </c>
      <c r="D747">
        <f>IFERROR(INDEX($W$53:$W$853,ROW()-52),"")</f>
        <v/>
      </c>
      <c r="E747">
        <f>IFERROR(C747-D747,"")</f>
        <v/>
      </c>
    </row>
    <row r="748">
      <c r="B748" s="23">
        <f>IFERROR(INDEX($R$53:$R$853,ROW()-52),"")</f>
        <v/>
      </c>
      <c r="C748">
        <f>IFERROR(INDEX($S$53:$S$853,ROW()-52),"")</f>
        <v/>
      </c>
      <c r="D748">
        <f>IFERROR(INDEX($W$53:$W$853,ROW()-52),"")</f>
        <v/>
      </c>
      <c r="E748">
        <f>IFERROR(C748-D748,"")</f>
        <v/>
      </c>
    </row>
    <row r="749">
      <c r="B749" s="23">
        <f>IFERROR(INDEX($R$53:$R$853,ROW()-52),"")</f>
        <v/>
      </c>
      <c r="C749">
        <f>IFERROR(INDEX($S$53:$S$853,ROW()-52),"")</f>
        <v/>
      </c>
      <c r="D749">
        <f>IFERROR(INDEX($W$53:$W$853,ROW()-52),"")</f>
        <v/>
      </c>
      <c r="E749">
        <f>IFERROR(C749-D749,"")</f>
        <v/>
      </c>
    </row>
    <row r="750">
      <c r="B750" s="23">
        <f>IFERROR(INDEX($R$53:$R$853,ROW()-52),"")</f>
        <v/>
      </c>
      <c r="C750">
        <f>IFERROR(INDEX($S$53:$S$853,ROW()-52),"")</f>
        <v/>
      </c>
      <c r="D750">
        <f>IFERROR(INDEX($W$53:$W$853,ROW()-52),"")</f>
        <v/>
      </c>
      <c r="E750">
        <f>IFERROR(C750-D750,"")</f>
        <v/>
      </c>
    </row>
    <row r="751">
      <c r="B751" s="23">
        <f>IFERROR(INDEX($R$53:$R$853,ROW()-52),"")</f>
        <v/>
      </c>
      <c r="C751">
        <f>IFERROR(INDEX($S$53:$S$853,ROW()-52),"")</f>
        <v/>
      </c>
      <c r="D751">
        <f>IFERROR(INDEX($W$53:$W$853,ROW()-52),"")</f>
        <v/>
      </c>
      <c r="E751">
        <f>IFERROR(C751-D751,"")</f>
        <v/>
      </c>
    </row>
    <row r="752">
      <c r="B752" s="23">
        <f>IFERROR(INDEX($R$53:$R$853,ROW()-52),"")</f>
        <v/>
      </c>
      <c r="C752">
        <f>IFERROR(INDEX($S$53:$S$853,ROW()-52),"")</f>
        <v/>
      </c>
      <c r="D752">
        <f>IFERROR(INDEX($W$53:$W$853,ROW()-52),"")</f>
        <v/>
      </c>
      <c r="E752">
        <f>IFERROR(C752-D752,"")</f>
        <v/>
      </c>
    </row>
    <row r="753">
      <c r="B753" s="23">
        <f>IFERROR(INDEX($R$53:$R$853,ROW()-52),"")</f>
        <v/>
      </c>
      <c r="C753">
        <f>IFERROR(INDEX($S$53:$S$853,ROW()-52),"")</f>
        <v/>
      </c>
      <c r="D753">
        <f>IFERROR(INDEX($W$53:$W$853,ROW()-52),"")</f>
        <v/>
      </c>
      <c r="E753">
        <f>IFERROR(C753-D753,"")</f>
        <v/>
      </c>
    </row>
    <row r="754">
      <c r="B754" s="23">
        <f>IFERROR(INDEX($R$53:$R$853,ROW()-52),"")</f>
        <v/>
      </c>
      <c r="C754">
        <f>IFERROR(INDEX($S$53:$S$853,ROW()-52),"")</f>
        <v/>
      </c>
      <c r="D754">
        <f>IFERROR(INDEX($W$53:$W$853,ROW()-52),"")</f>
        <v/>
      </c>
      <c r="E754">
        <f>IFERROR(C754-D754,"")</f>
        <v/>
      </c>
    </row>
    <row r="755">
      <c r="B755" s="23">
        <f>IFERROR(INDEX($R$53:$R$853,ROW()-52),"")</f>
        <v/>
      </c>
      <c r="C755">
        <f>IFERROR(INDEX($S$53:$S$853,ROW()-52),"")</f>
        <v/>
      </c>
      <c r="D755">
        <f>IFERROR(INDEX($W$53:$W$853,ROW()-52),"")</f>
        <v/>
      </c>
      <c r="E755">
        <f>IFERROR(C755-D755,"")</f>
        <v/>
      </c>
    </row>
    <row r="756">
      <c r="B756" s="23">
        <f>IFERROR(INDEX($R$53:$R$853,ROW()-52),"")</f>
        <v/>
      </c>
      <c r="C756">
        <f>IFERROR(INDEX($S$53:$S$853,ROW()-52),"")</f>
        <v/>
      </c>
      <c r="D756">
        <f>IFERROR(INDEX($W$53:$W$853,ROW()-52),"")</f>
        <v/>
      </c>
      <c r="E756">
        <f>IFERROR(C756-D756,"")</f>
        <v/>
      </c>
    </row>
    <row r="757">
      <c r="B757" s="23">
        <f>IFERROR(INDEX($R$53:$R$853,ROW()-52),"")</f>
        <v/>
      </c>
      <c r="C757">
        <f>IFERROR(INDEX($S$53:$S$853,ROW()-52),"")</f>
        <v/>
      </c>
      <c r="D757">
        <f>IFERROR(INDEX($W$53:$W$853,ROW()-52),"")</f>
        <v/>
      </c>
      <c r="E757">
        <f>IFERROR(C757-D757,"")</f>
        <v/>
      </c>
    </row>
    <row r="758">
      <c r="B758" s="23">
        <f>IFERROR(INDEX($R$53:$R$853,ROW()-52),"")</f>
        <v/>
      </c>
      <c r="C758">
        <f>IFERROR(INDEX($S$53:$S$853,ROW()-52),"")</f>
        <v/>
      </c>
      <c r="D758">
        <f>IFERROR(INDEX($W$53:$W$853,ROW()-52),"")</f>
        <v/>
      </c>
      <c r="E758">
        <f>IFERROR(C758-D758,"")</f>
        <v/>
      </c>
    </row>
    <row r="759">
      <c r="B759" s="23">
        <f>IFERROR(INDEX($R$53:$R$853,ROW()-52),"")</f>
        <v/>
      </c>
      <c r="C759">
        <f>IFERROR(INDEX($S$53:$S$853,ROW()-52),"")</f>
        <v/>
      </c>
      <c r="D759">
        <f>IFERROR(INDEX($W$53:$W$853,ROW()-52),"")</f>
        <v/>
      </c>
      <c r="E759">
        <f>IFERROR(C759-D759,"")</f>
        <v/>
      </c>
    </row>
    <row r="760">
      <c r="B760" s="23">
        <f>IFERROR(INDEX($R$53:$R$853,ROW()-52),"")</f>
        <v/>
      </c>
      <c r="C760">
        <f>IFERROR(INDEX($S$53:$S$853,ROW()-52),"")</f>
        <v/>
      </c>
      <c r="D760">
        <f>IFERROR(INDEX($W$53:$W$853,ROW()-52),"")</f>
        <v/>
      </c>
      <c r="E760">
        <f>IFERROR(C760-D760,"")</f>
        <v/>
      </c>
    </row>
    <row r="761">
      <c r="B761" s="23">
        <f>IFERROR(INDEX($R$53:$R$853,ROW()-52),"")</f>
        <v/>
      </c>
      <c r="C761">
        <f>IFERROR(INDEX($S$53:$S$853,ROW()-52),"")</f>
        <v/>
      </c>
      <c r="D761">
        <f>IFERROR(INDEX($W$53:$W$853,ROW()-52),"")</f>
        <v/>
      </c>
      <c r="E761">
        <f>IFERROR(C761-D761,"")</f>
        <v/>
      </c>
    </row>
    <row r="762">
      <c r="B762" s="23">
        <f>IFERROR(INDEX($R$53:$R$853,ROW()-52),"")</f>
        <v/>
      </c>
      <c r="C762">
        <f>IFERROR(INDEX($S$53:$S$853,ROW()-52),"")</f>
        <v/>
      </c>
      <c r="D762">
        <f>IFERROR(INDEX($W$53:$W$853,ROW()-52),"")</f>
        <v/>
      </c>
      <c r="E762">
        <f>IFERROR(C762-D762,"")</f>
        <v/>
      </c>
    </row>
    <row r="763">
      <c r="B763" s="23">
        <f>IFERROR(INDEX($R$53:$R$853,ROW()-52),"")</f>
        <v/>
      </c>
      <c r="C763">
        <f>IFERROR(INDEX($S$53:$S$853,ROW()-52),"")</f>
        <v/>
      </c>
      <c r="D763">
        <f>IFERROR(INDEX($W$53:$W$853,ROW()-52),"")</f>
        <v/>
      </c>
      <c r="E763">
        <f>IFERROR(C763-D763,"")</f>
        <v/>
      </c>
    </row>
    <row r="764">
      <c r="B764" s="23">
        <f>IFERROR(INDEX($R$53:$R$853,ROW()-52),"")</f>
        <v/>
      </c>
      <c r="C764">
        <f>IFERROR(INDEX($S$53:$S$853,ROW()-52),"")</f>
        <v/>
      </c>
      <c r="D764">
        <f>IFERROR(INDEX($W$53:$W$853,ROW()-52),"")</f>
        <v/>
      </c>
      <c r="E764">
        <f>IFERROR(C764-D764,"")</f>
        <v/>
      </c>
    </row>
    <row r="765">
      <c r="B765" s="23">
        <f>IFERROR(INDEX($R$53:$R$853,ROW()-52),"")</f>
        <v/>
      </c>
      <c r="C765">
        <f>IFERROR(INDEX($S$53:$S$853,ROW()-52),"")</f>
        <v/>
      </c>
      <c r="D765">
        <f>IFERROR(INDEX($W$53:$W$853,ROW()-52),"")</f>
        <v/>
      </c>
      <c r="E765">
        <f>IFERROR(C765-D765,"")</f>
        <v/>
      </c>
    </row>
    <row r="766">
      <c r="B766" s="23">
        <f>IFERROR(INDEX($R$53:$R$853,ROW()-52),"")</f>
        <v/>
      </c>
      <c r="C766">
        <f>IFERROR(INDEX($S$53:$S$853,ROW()-52),"")</f>
        <v/>
      </c>
      <c r="D766">
        <f>IFERROR(INDEX($W$53:$W$853,ROW()-52),"")</f>
        <v/>
      </c>
      <c r="E766">
        <f>IFERROR(C766-D766,"")</f>
        <v/>
      </c>
    </row>
    <row r="767">
      <c r="B767" s="23">
        <f>IFERROR(INDEX($R$53:$R$853,ROW()-52),"")</f>
        <v/>
      </c>
      <c r="C767">
        <f>IFERROR(INDEX($S$53:$S$853,ROW()-52),"")</f>
        <v/>
      </c>
      <c r="D767">
        <f>IFERROR(INDEX($W$53:$W$853,ROW()-52),"")</f>
        <v/>
      </c>
      <c r="E767">
        <f>IFERROR(C767-D767,"")</f>
        <v/>
      </c>
    </row>
    <row r="768">
      <c r="B768" s="23">
        <f>IFERROR(INDEX($R$53:$R$853,ROW()-52),"")</f>
        <v/>
      </c>
      <c r="C768">
        <f>IFERROR(INDEX($S$53:$S$853,ROW()-52),"")</f>
        <v/>
      </c>
      <c r="D768">
        <f>IFERROR(INDEX($W$53:$W$853,ROW()-52),"")</f>
        <v/>
      </c>
      <c r="E768">
        <f>IFERROR(C768-D768,"")</f>
        <v/>
      </c>
    </row>
    <row r="769">
      <c r="B769" s="23">
        <f>IFERROR(INDEX($R$53:$R$853,ROW()-52),"")</f>
        <v/>
      </c>
      <c r="C769">
        <f>IFERROR(INDEX($S$53:$S$853,ROW()-52),"")</f>
        <v/>
      </c>
      <c r="D769">
        <f>IFERROR(INDEX($W$53:$W$853,ROW()-52),"")</f>
        <v/>
      </c>
      <c r="E769">
        <f>IFERROR(C769-D769,"")</f>
        <v/>
      </c>
    </row>
    <row r="770">
      <c r="B770" s="23">
        <f>IFERROR(INDEX($R$53:$R$853,ROW()-52),"")</f>
        <v/>
      </c>
      <c r="C770">
        <f>IFERROR(INDEX($S$53:$S$853,ROW()-52),"")</f>
        <v/>
      </c>
      <c r="D770">
        <f>IFERROR(INDEX($W$53:$W$853,ROW()-52),"")</f>
        <v/>
      </c>
      <c r="E770">
        <f>IFERROR(C770-D770,"")</f>
        <v/>
      </c>
    </row>
    <row r="771">
      <c r="B771" s="23">
        <f>IFERROR(INDEX($R$53:$R$853,ROW()-52),"")</f>
        <v/>
      </c>
      <c r="C771">
        <f>IFERROR(INDEX($S$53:$S$853,ROW()-52),"")</f>
        <v/>
      </c>
      <c r="D771">
        <f>IFERROR(INDEX($W$53:$W$853,ROW()-52),"")</f>
        <v/>
      </c>
      <c r="E771">
        <f>IFERROR(C771-D771,"")</f>
        <v/>
      </c>
    </row>
    <row r="772">
      <c r="B772" s="23">
        <f>IFERROR(INDEX($R$53:$R$853,ROW()-52),"")</f>
        <v/>
      </c>
      <c r="C772">
        <f>IFERROR(INDEX($S$53:$S$853,ROW()-52),"")</f>
        <v/>
      </c>
      <c r="D772">
        <f>IFERROR(INDEX($W$53:$W$853,ROW()-52),"")</f>
        <v/>
      </c>
      <c r="E772">
        <f>IFERROR(C772-D772,"")</f>
        <v/>
      </c>
    </row>
    <row r="773">
      <c r="B773" s="23">
        <f>IFERROR(INDEX($R$53:$R$853,ROW()-52),"")</f>
        <v/>
      </c>
      <c r="C773">
        <f>IFERROR(INDEX($S$53:$S$853,ROW()-52),"")</f>
        <v/>
      </c>
      <c r="D773">
        <f>IFERROR(INDEX($W$53:$W$853,ROW()-52),"")</f>
        <v/>
      </c>
      <c r="E773">
        <f>IFERROR(C773-D773,"")</f>
        <v/>
      </c>
    </row>
    <row r="774">
      <c r="B774" s="23">
        <f>IFERROR(INDEX($R$53:$R$853,ROW()-52),"")</f>
        <v/>
      </c>
      <c r="C774">
        <f>IFERROR(INDEX($S$53:$S$853,ROW()-52),"")</f>
        <v/>
      </c>
      <c r="D774">
        <f>IFERROR(INDEX($W$53:$W$853,ROW()-52),"")</f>
        <v/>
      </c>
      <c r="E774">
        <f>IFERROR(C774-D774,"")</f>
        <v/>
      </c>
    </row>
    <row r="775">
      <c r="B775" s="23">
        <f>IFERROR(INDEX($R$53:$R$853,ROW()-52),"")</f>
        <v/>
      </c>
      <c r="C775">
        <f>IFERROR(INDEX($S$53:$S$853,ROW()-52),"")</f>
        <v/>
      </c>
      <c r="D775">
        <f>IFERROR(INDEX($W$53:$W$853,ROW()-52),"")</f>
        <v/>
      </c>
      <c r="E775">
        <f>IFERROR(C775-D775,"")</f>
        <v/>
      </c>
    </row>
    <row r="776">
      <c r="B776" s="23">
        <f>IFERROR(INDEX($R$53:$R$853,ROW()-52),"")</f>
        <v/>
      </c>
      <c r="C776">
        <f>IFERROR(INDEX($S$53:$S$853,ROW()-52),"")</f>
        <v/>
      </c>
      <c r="D776">
        <f>IFERROR(INDEX($W$53:$W$853,ROW()-52),"")</f>
        <v/>
      </c>
      <c r="E776">
        <f>IFERROR(C776-D776,"")</f>
        <v/>
      </c>
    </row>
    <row r="777">
      <c r="B777" s="23">
        <f>IFERROR(INDEX($R$53:$R$853,ROW()-52),"")</f>
        <v/>
      </c>
      <c r="C777">
        <f>IFERROR(INDEX($S$53:$S$853,ROW()-52),"")</f>
        <v/>
      </c>
      <c r="D777">
        <f>IFERROR(INDEX($W$53:$W$853,ROW()-52),"")</f>
        <v/>
      </c>
      <c r="E777">
        <f>IFERROR(C777-D777,"")</f>
        <v/>
      </c>
    </row>
    <row r="778">
      <c r="B778" s="23">
        <f>IFERROR(INDEX($R$53:$R$853,ROW()-52),"")</f>
        <v/>
      </c>
      <c r="C778">
        <f>IFERROR(INDEX($S$53:$S$853,ROW()-52),"")</f>
        <v/>
      </c>
      <c r="D778">
        <f>IFERROR(INDEX($W$53:$W$853,ROW()-52),"")</f>
        <v/>
      </c>
      <c r="E778">
        <f>IFERROR(C778-D778,"")</f>
        <v/>
      </c>
    </row>
    <row r="779">
      <c r="B779" s="23">
        <f>IFERROR(INDEX($R$53:$R$853,ROW()-52),"")</f>
        <v/>
      </c>
      <c r="C779">
        <f>IFERROR(INDEX($S$53:$S$853,ROW()-52),"")</f>
        <v/>
      </c>
      <c r="D779">
        <f>IFERROR(INDEX($W$53:$W$853,ROW()-52),"")</f>
        <v/>
      </c>
      <c r="E779">
        <f>IFERROR(C779-D779,"")</f>
        <v/>
      </c>
    </row>
    <row r="780">
      <c r="B780" s="23">
        <f>IFERROR(INDEX($R$53:$R$853,ROW()-52),"")</f>
        <v/>
      </c>
      <c r="C780">
        <f>IFERROR(INDEX($S$53:$S$853,ROW()-52),"")</f>
        <v/>
      </c>
      <c r="D780">
        <f>IFERROR(INDEX($W$53:$W$853,ROW()-52),"")</f>
        <v/>
      </c>
      <c r="E780">
        <f>IFERROR(C780-D780,"")</f>
        <v/>
      </c>
    </row>
    <row r="781">
      <c r="B781" s="23">
        <f>IFERROR(INDEX($R$53:$R$853,ROW()-52),"")</f>
        <v/>
      </c>
      <c r="C781">
        <f>IFERROR(INDEX($S$53:$S$853,ROW()-52),"")</f>
        <v/>
      </c>
      <c r="D781">
        <f>IFERROR(INDEX($W$53:$W$853,ROW()-52),"")</f>
        <v/>
      </c>
      <c r="E781">
        <f>IFERROR(C781-D781,"")</f>
        <v/>
      </c>
    </row>
    <row r="782">
      <c r="B782" s="23">
        <f>IFERROR(INDEX($R$53:$R$853,ROW()-52),"")</f>
        <v/>
      </c>
      <c r="C782">
        <f>IFERROR(INDEX($S$53:$S$853,ROW()-52),"")</f>
        <v/>
      </c>
      <c r="D782">
        <f>IFERROR(INDEX($W$53:$W$853,ROW()-52),"")</f>
        <v/>
      </c>
      <c r="E782">
        <f>IFERROR(C782-D782,"")</f>
        <v/>
      </c>
    </row>
    <row r="783">
      <c r="B783" s="23">
        <f>IFERROR(INDEX($R$53:$R$853,ROW()-52),"")</f>
        <v/>
      </c>
      <c r="C783">
        <f>IFERROR(INDEX($S$53:$S$853,ROW()-52),"")</f>
        <v/>
      </c>
      <c r="D783">
        <f>IFERROR(INDEX($W$53:$W$853,ROW()-52),"")</f>
        <v/>
      </c>
      <c r="E783">
        <f>IFERROR(C783-D783,"")</f>
        <v/>
      </c>
    </row>
    <row r="784">
      <c r="B784" s="23">
        <f>IFERROR(INDEX($R$53:$R$853,ROW()-52),"")</f>
        <v/>
      </c>
      <c r="C784">
        <f>IFERROR(INDEX($S$53:$S$853,ROW()-52),"")</f>
        <v/>
      </c>
      <c r="D784">
        <f>IFERROR(INDEX($W$53:$W$853,ROW()-52),"")</f>
        <v/>
      </c>
      <c r="E784">
        <f>IFERROR(C784-D784,"")</f>
        <v/>
      </c>
    </row>
    <row r="785">
      <c r="B785" s="23">
        <f>IFERROR(INDEX($R$53:$R$853,ROW()-52),"")</f>
        <v/>
      </c>
      <c r="C785">
        <f>IFERROR(INDEX($S$53:$S$853,ROW()-52),"")</f>
        <v/>
      </c>
      <c r="D785">
        <f>IFERROR(INDEX($W$53:$W$853,ROW()-52),"")</f>
        <v/>
      </c>
      <c r="E785">
        <f>IFERROR(C785-D785,"")</f>
        <v/>
      </c>
    </row>
    <row r="786">
      <c r="B786" s="23">
        <f>IFERROR(INDEX($R$53:$R$853,ROW()-52),"")</f>
        <v/>
      </c>
      <c r="C786">
        <f>IFERROR(INDEX($S$53:$S$853,ROW()-52),"")</f>
        <v/>
      </c>
      <c r="D786">
        <f>IFERROR(INDEX($W$53:$W$853,ROW()-52),"")</f>
        <v/>
      </c>
      <c r="E786">
        <f>IFERROR(C786-D786,"")</f>
        <v/>
      </c>
    </row>
    <row r="787">
      <c r="B787" s="23">
        <f>IFERROR(INDEX($R$53:$R$853,ROW()-52),"")</f>
        <v/>
      </c>
      <c r="C787">
        <f>IFERROR(INDEX($S$53:$S$853,ROW()-52),"")</f>
        <v/>
      </c>
      <c r="D787">
        <f>IFERROR(INDEX($W$53:$W$853,ROW()-52),"")</f>
        <v/>
      </c>
      <c r="E787">
        <f>IFERROR(C787-D787,"")</f>
        <v/>
      </c>
    </row>
    <row r="788">
      <c r="B788" s="23">
        <f>IFERROR(INDEX($R$53:$R$853,ROW()-52),"")</f>
        <v/>
      </c>
      <c r="C788">
        <f>IFERROR(INDEX($S$53:$S$853,ROW()-52),"")</f>
        <v/>
      </c>
      <c r="D788">
        <f>IFERROR(INDEX($W$53:$W$853,ROW()-52),"")</f>
        <v/>
      </c>
      <c r="E788">
        <f>IFERROR(C788-D788,"")</f>
        <v/>
      </c>
    </row>
    <row r="789">
      <c r="B789" s="23">
        <f>IFERROR(INDEX($R$53:$R$853,ROW()-52),"")</f>
        <v/>
      </c>
      <c r="C789">
        <f>IFERROR(INDEX($S$53:$S$853,ROW()-52),"")</f>
        <v/>
      </c>
      <c r="D789">
        <f>IFERROR(INDEX($W$53:$W$853,ROW()-52),"")</f>
        <v/>
      </c>
      <c r="E789">
        <f>IFERROR(C789-D789,"")</f>
        <v/>
      </c>
    </row>
    <row r="790">
      <c r="B790" s="23">
        <f>IFERROR(INDEX($R$53:$R$853,ROW()-52),"")</f>
        <v/>
      </c>
      <c r="C790">
        <f>IFERROR(INDEX($S$53:$S$853,ROW()-52),"")</f>
        <v/>
      </c>
      <c r="D790">
        <f>IFERROR(INDEX($W$53:$W$853,ROW()-52),"")</f>
        <v/>
      </c>
      <c r="E790">
        <f>IFERROR(C790-D790,"")</f>
        <v/>
      </c>
    </row>
    <row r="791">
      <c r="B791" s="23">
        <f>IFERROR(INDEX($R$53:$R$853,ROW()-52),"")</f>
        <v/>
      </c>
      <c r="C791">
        <f>IFERROR(INDEX($S$53:$S$853,ROW()-52),"")</f>
        <v/>
      </c>
      <c r="D791">
        <f>IFERROR(INDEX($W$53:$W$853,ROW()-52),"")</f>
        <v/>
      </c>
      <c r="E791">
        <f>IFERROR(C791-D791,"")</f>
        <v/>
      </c>
    </row>
    <row r="792">
      <c r="B792" s="23">
        <f>IFERROR(INDEX($R$53:$R$853,ROW()-52),"")</f>
        <v/>
      </c>
      <c r="C792">
        <f>IFERROR(INDEX($S$53:$S$853,ROW()-52),"")</f>
        <v/>
      </c>
      <c r="D792">
        <f>IFERROR(INDEX($W$53:$W$853,ROW()-52),"")</f>
        <v/>
      </c>
      <c r="E792">
        <f>IFERROR(C792-D792,"")</f>
        <v/>
      </c>
    </row>
    <row r="793">
      <c r="B793" s="23">
        <f>IFERROR(INDEX($R$53:$R$853,ROW()-52),"")</f>
        <v/>
      </c>
      <c r="C793">
        <f>IFERROR(INDEX($S$53:$S$853,ROW()-52),"")</f>
        <v/>
      </c>
      <c r="D793">
        <f>IFERROR(INDEX($W$53:$W$853,ROW()-52),"")</f>
        <v/>
      </c>
      <c r="E793">
        <f>IFERROR(C793-D793,"")</f>
        <v/>
      </c>
    </row>
    <row r="794">
      <c r="B794" s="23">
        <f>IFERROR(INDEX($R$53:$R$853,ROW()-52),"")</f>
        <v/>
      </c>
      <c r="C794">
        <f>IFERROR(INDEX($S$53:$S$853,ROW()-52),"")</f>
        <v/>
      </c>
      <c r="D794">
        <f>IFERROR(INDEX($W$53:$W$853,ROW()-52),"")</f>
        <v/>
      </c>
      <c r="E794">
        <f>IFERROR(C794-D794,"")</f>
        <v/>
      </c>
    </row>
    <row r="795">
      <c r="B795" s="23">
        <f>IFERROR(INDEX($R$53:$R$853,ROW()-52),"")</f>
        <v/>
      </c>
      <c r="C795">
        <f>IFERROR(INDEX($S$53:$S$853,ROW()-52),"")</f>
        <v/>
      </c>
      <c r="D795">
        <f>IFERROR(INDEX($W$53:$W$853,ROW()-52),"")</f>
        <v/>
      </c>
      <c r="E795">
        <f>IFERROR(C795-D795,"")</f>
        <v/>
      </c>
    </row>
    <row r="796">
      <c r="B796" s="23">
        <f>IFERROR(INDEX($R$53:$R$853,ROW()-52),"")</f>
        <v/>
      </c>
      <c r="C796">
        <f>IFERROR(INDEX($S$53:$S$853,ROW()-52),"")</f>
        <v/>
      </c>
      <c r="D796">
        <f>IFERROR(INDEX($W$53:$W$853,ROW()-52),"")</f>
        <v/>
      </c>
      <c r="E796">
        <f>IFERROR(C796-D796,"")</f>
        <v/>
      </c>
    </row>
    <row r="797">
      <c r="B797" s="23">
        <f>IFERROR(INDEX($R$53:$R$853,ROW()-52),"")</f>
        <v/>
      </c>
      <c r="C797">
        <f>IFERROR(INDEX($S$53:$S$853,ROW()-52),"")</f>
        <v/>
      </c>
      <c r="D797">
        <f>IFERROR(INDEX($W$53:$W$853,ROW()-52),"")</f>
        <v/>
      </c>
      <c r="E797">
        <f>IFERROR(C797-D797,"")</f>
        <v/>
      </c>
    </row>
    <row r="798">
      <c r="B798" s="23">
        <f>IFERROR(INDEX($R$53:$R$853,ROW()-52),"")</f>
        <v/>
      </c>
      <c r="C798">
        <f>IFERROR(INDEX($S$53:$S$853,ROW()-52),"")</f>
        <v/>
      </c>
      <c r="D798">
        <f>IFERROR(INDEX($W$53:$W$853,ROW()-52),"")</f>
        <v/>
      </c>
      <c r="E798">
        <f>IFERROR(C798-D798,"")</f>
        <v/>
      </c>
    </row>
    <row r="799">
      <c r="B799" s="23">
        <f>IFERROR(INDEX($R$53:$R$853,ROW()-52),"")</f>
        <v/>
      </c>
      <c r="C799">
        <f>IFERROR(INDEX($S$53:$S$853,ROW()-52),"")</f>
        <v/>
      </c>
      <c r="D799">
        <f>IFERROR(INDEX($W$53:$W$853,ROW()-52),"")</f>
        <v/>
      </c>
      <c r="E799">
        <f>IFERROR(C799-D799,"")</f>
        <v/>
      </c>
    </row>
    <row r="800">
      <c r="B800" s="23">
        <f>IFERROR(INDEX($R$53:$R$853,ROW()-52),"")</f>
        <v/>
      </c>
      <c r="C800">
        <f>IFERROR(INDEX($S$53:$S$853,ROW()-52),"")</f>
        <v/>
      </c>
      <c r="D800">
        <f>IFERROR(INDEX($W$53:$W$853,ROW()-52),"")</f>
        <v/>
      </c>
      <c r="E800">
        <f>IFERROR(C800-D800,"")</f>
        <v/>
      </c>
    </row>
    <row r="801">
      <c r="B801" s="23">
        <f>IFERROR(INDEX($R$53:$R$853,ROW()-52),"")</f>
        <v/>
      </c>
      <c r="C801">
        <f>IFERROR(INDEX($S$53:$S$853,ROW()-52),"")</f>
        <v/>
      </c>
      <c r="D801">
        <f>IFERROR(INDEX($W$53:$W$853,ROW()-52),"")</f>
        <v/>
      </c>
      <c r="E801">
        <f>IFERROR(C801-D801,"")</f>
        <v/>
      </c>
    </row>
    <row r="802">
      <c r="B802" s="23">
        <f>IFERROR(INDEX($R$53:$R$853,ROW()-52),"")</f>
        <v/>
      </c>
      <c r="C802">
        <f>IFERROR(INDEX($S$53:$S$853,ROW()-52),"")</f>
        <v/>
      </c>
      <c r="D802">
        <f>IFERROR(INDEX($W$53:$W$853,ROW()-52),"")</f>
        <v/>
      </c>
      <c r="E802">
        <f>IFERROR(C802-D802,"")</f>
        <v/>
      </c>
    </row>
    <row r="803">
      <c r="B803" s="23">
        <f>IFERROR(INDEX($R$53:$R$853,ROW()-52),"")</f>
        <v/>
      </c>
      <c r="C803">
        <f>IFERROR(INDEX($S$53:$S$853,ROW()-52),"")</f>
        <v/>
      </c>
      <c r="D803">
        <f>IFERROR(INDEX($W$53:$W$853,ROW()-52),"")</f>
        <v/>
      </c>
      <c r="E803">
        <f>IFERROR(C803-D803,"")</f>
        <v/>
      </c>
    </row>
    <row r="804">
      <c r="B804" s="23">
        <f>IFERROR(INDEX($R$53:$R$853,ROW()-52),"")</f>
        <v/>
      </c>
      <c r="C804">
        <f>IFERROR(INDEX($S$53:$S$853,ROW()-52),"")</f>
        <v/>
      </c>
      <c r="D804">
        <f>IFERROR(INDEX($W$53:$W$853,ROW()-52),"")</f>
        <v/>
      </c>
      <c r="E804">
        <f>IFERROR(C804-D804,"")</f>
        <v/>
      </c>
    </row>
    <row r="805">
      <c r="B805" s="23">
        <f>IFERROR(INDEX($R$53:$R$853,ROW()-52),"")</f>
        <v/>
      </c>
      <c r="C805">
        <f>IFERROR(INDEX($S$53:$S$853,ROW()-52),"")</f>
        <v/>
      </c>
      <c r="D805">
        <f>IFERROR(INDEX($W$53:$W$853,ROW()-52),"")</f>
        <v/>
      </c>
      <c r="E805">
        <f>IFERROR(C805-D805,"")</f>
        <v/>
      </c>
    </row>
    <row r="806">
      <c r="B806" s="23">
        <f>IFERROR(INDEX($R$53:$R$853,ROW()-52),"")</f>
        <v/>
      </c>
      <c r="C806">
        <f>IFERROR(INDEX($S$53:$S$853,ROW()-52),"")</f>
        <v/>
      </c>
      <c r="D806">
        <f>IFERROR(INDEX($W$53:$W$853,ROW()-52),"")</f>
        <v/>
      </c>
      <c r="E806">
        <f>IFERROR(C806-D806,"")</f>
        <v/>
      </c>
    </row>
    <row r="807">
      <c r="B807" s="23">
        <f>IFERROR(INDEX($R$53:$R$853,ROW()-52),"")</f>
        <v/>
      </c>
      <c r="C807">
        <f>IFERROR(INDEX($S$53:$S$853,ROW()-52),"")</f>
        <v/>
      </c>
      <c r="D807">
        <f>IFERROR(INDEX($W$53:$W$853,ROW()-52),"")</f>
        <v/>
      </c>
      <c r="E807">
        <f>IFERROR(C807-D807,"")</f>
        <v/>
      </c>
    </row>
    <row r="808">
      <c r="B808" s="23">
        <f>IFERROR(INDEX($R$53:$R$853,ROW()-52),"")</f>
        <v/>
      </c>
      <c r="C808">
        <f>IFERROR(INDEX($S$53:$S$853,ROW()-52),"")</f>
        <v/>
      </c>
      <c r="D808">
        <f>IFERROR(INDEX($W$53:$W$853,ROW()-52),"")</f>
        <v/>
      </c>
      <c r="E808">
        <f>IFERROR(C808-D808,"")</f>
        <v/>
      </c>
    </row>
    <row r="809">
      <c r="B809" s="23">
        <f>IFERROR(INDEX($R$53:$R$853,ROW()-52),"")</f>
        <v/>
      </c>
      <c r="C809">
        <f>IFERROR(INDEX($S$53:$S$853,ROW()-52),"")</f>
        <v/>
      </c>
      <c r="D809">
        <f>IFERROR(INDEX($W$53:$W$853,ROW()-52),"")</f>
        <v/>
      </c>
      <c r="E809">
        <f>IFERROR(C809-D809,"")</f>
        <v/>
      </c>
    </row>
    <row r="810">
      <c r="B810" s="23">
        <f>IFERROR(INDEX($R$53:$R$853,ROW()-52),"")</f>
        <v/>
      </c>
      <c r="C810">
        <f>IFERROR(INDEX($S$53:$S$853,ROW()-52),"")</f>
        <v/>
      </c>
      <c r="D810">
        <f>IFERROR(INDEX($W$53:$W$853,ROW()-52),"")</f>
        <v/>
      </c>
      <c r="E810">
        <f>IFERROR(C810-D810,"")</f>
        <v/>
      </c>
    </row>
    <row r="811">
      <c r="B811" s="23">
        <f>IFERROR(INDEX($R$53:$R$853,ROW()-52),"")</f>
        <v/>
      </c>
      <c r="C811">
        <f>IFERROR(INDEX($S$53:$S$853,ROW()-52),"")</f>
        <v/>
      </c>
      <c r="D811">
        <f>IFERROR(INDEX($W$53:$W$853,ROW()-52),"")</f>
        <v/>
      </c>
      <c r="E811">
        <f>IFERROR(C811-D811,"")</f>
        <v/>
      </c>
    </row>
    <row r="812">
      <c r="B812" s="23">
        <f>IFERROR(INDEX($R$53:$R$853,ROW()-52),"")</f>
        <v/>
      </c>
      <c r="C812">
        <f>IFERROR(INDEX($S$53:$S$853,ROW()-52),"")</f>
        <v/>
      </c>
      <c r="D812">
        <f>IFERROR(INDEX($W$53:$W$853,ROW()-52),"")</f>
        <v/>
      </c>
      <c r="E812">
        <f>IFERROR(C812-D812,"")</f>
        <v/>
      </c>
    </row>
    <row r="813">
      <c r="B813" s="23">
        <f>IFERROR(INDEX($R$53:$R$853,ROW()-52),"")</f>
        <v/>
      </c>
      <c r="C813">
        <f>IFERROR(INDEX($S$53:$S$853,ROW()-52),"")</f>
        <v/>
      </c>
      <c r="D813">
        <f>IFERROR(INDEX($W$53:$W$853,ROW()-52),"")</f>
        <v/>
      </c>
      <c r="E813">
        <f>IFERROR(C813-D813,"")</f>
        <v/>
      </c>
    </row>
    <row r="814">
      <c r="B814" s="23">
        <f>IFERROR(INDEX($R$53:$R$853,ROW()-52),"")</f>
        <v/>
      </c>
      <c r="C814">
        <f>IFERROR(INDEX($S$53:$S$853,ROW()-52),"")</f>
        <v/>
      </c>
      <c r="D814">
        <f>IFERROR(INDEX($W$53:$W$853,ROW()-52),"")</f>
        <v/>
      </c>
      <c r="E814">
        <f>IFERROR(C814-D814,"")</f>
        <v/>
      </c>
    </row>
    <row r="815">
      <c r="B815" s="23">
        <f>IFERROR(INDEX($R$53:$R$853,ROW()-52),"")</f>
        <v/>
      </c>
      <c r="C815">
        <f>IFERROR(INDEX($S$53:$S$853,ROW()-52),"")</f>
        <v/>
      </c>
      <c r="D815">
        <f>IFERROR(INDEX($W$53:$W$853,ROW()-52),"")</f>
        <v/>
      </c>
      <c r="E815">
        <f>IFERROR(C815-D815,"")</f>
        <v/>
      </c>
    </row>
    <row r="816">
      <c r="B816" s="23">
        <f>IFERROR(INDEX($R$53:$R$853,ROW()-52),"")</f>
        <v/>
      </c>
      <c r="C816">
        <f>IFERROR(INDEX($S$53:$S$853,ROW()-52),"")</f>
        <v/>
      </c>
      <c r="D816">
        <f>IFERROR(INDEX($W$53:$W$853,ROW()-52),"")</f>
        <v/>
      </c>
      <c r="E816">
        <f>IFERROR(C816-D816,"")</f>
        <v/>
      </c>
    </row>
    <row r="817">
      <c r="B817" s="23">
        <f>IFERROR(INDEX($R$53:$R$853,ROW()-52),"")</f>
        <v/>
      </c>
      <c r="C817">
        <f>IFERROR(INDEX($S$53:$S$853,ROW()-52),"")</f>
        <v/>
      </c>
      <c r="D817">
        <f>IFERROR(INDEX($W$53:$W$853,ROW()-52),"")</f>
        <v/>
      </c>
      <c r="E817">
        <f>IFERROR(C817-D817,"")</f>
        <v/>
      </c>
    </row>
    <row r="818">
      <c r="B818" s="23">
        <f>IFERROR(INDEX($R$53:$R$853,ROW()-52),"")</f>
        <v/>
      </c>
      <c r="C818">
        <f>IFERROR(INDEX($S$53:$S$853,ROW()-52),"")</f>
        <v/>
      </c>
      <c r="D818">
        <f>IFERROR(INDEX($W$53:$W$853,ROW()-52),"")</f>
        <v/>
      </c>
      <c r="E818">
        <f>IFERROR(C818-D818,"")</f>
        <v/>
      </c>
    </row>
    <row r="819">
      <c r="B819" s="23">
        <f>IFERROR(INDEX($R$53:$R$853,ROW()-52),"")</f>
        <v/>
      </c>
      <c r="C819">
        <f>IFERROR(INDEX($S$53:$S$853,ROW()-52),"")</f>
        <v/>
      </c>
      <c r="D819">
        <f>IFERROR(INDEX($W$53:$W$853,ROW()-52),"")</f>
        <v/>
      </c>
      <c r="E819">
        <f>IFERROR(C819-D819,"")</f>
        <v/>
      </c>
    </row>
    <row r="820">
      <c r="B820" s="23">
        <f>IFERROR(INDEX($R$53:$R$853,ROW()-52),"")</f>
        <v/>
      </c>
      <c r="C820">
        <f>IFERROR(INDEX($S$53:$S$853,ROW()-52),"")</f>
        <v/>
      </c>
      <c r="D820">
        <f>IFERROR(INDEX($W$53:$W$853,ROW()-52),"")</f>
        <v/>
      </c>
      <c r="E820">
        <f>IFERROR(C820-D820,"")</f>
        <v/>
      </c>
    </row>
    <row r="821">
      <c r="B821" s="23">
        <f>IFERROR(INDEX($R$53:$R$853,ROW()-52),"")</f>
        <v/>
      </c>
      <c r="C821">
        <f>IFERROR(INDEX($S$53:$S$853,ROW()-52),"")</f>
        <v/>
      </c>
      <c r="D821">
        <f>IFERROR(INDEX($W$53:$W$853,ROW()-52),"")</f>
        <v/>
      </c>
      <c r="E821">
        <f>IFERROR(C821-D821,"")</f>
        <v/>
      </c>
    </row>
    <row r="822">
      <c r="B822" s="23">
        <f>IFERROR(INDEX($R$53:$R$853,ROW()-52),"")</f>
        <v/>
      </c>
      <c r="C822">
        <f>IFERROR(INDEX($S$53:$S$853,ROW()-52),"")</f>
        <v/>
      </c>
      <c r="D822">
        <f>IFERROR(INDEX($W$53:$W$853,ROW()-52),"")</f>
        <v/>
      </c>
      <c r="E822">
        <f>IFERROR(C822-D822,"")</f>
        <v/>
      </c>
    </row>
    <row r="823">
      <c r="B823" s="23">
        <f>IFERROR(INDEX($R$53:$R$853,ROW()-52),"")</f>
        <v/>
      </c>
      <c r="C823">
        <f>IFERROR(INDEX($S$53:$S$853,ROW()-52),"")</f>
        <v/>
      </c>
      <c r="D823">
        <f>IFERROR(INDEX($W$53:$W$853,ROW()-52),"")</f>
        <v/>
      </c>
      <c r="E823">
        <f>IFERROR(C823-D823,"")</f>
        <v/>
      </c>
    </row>
    <row r="824">
      <c r="B824" s="23">
        <f>IFERROR(INDEX($R$53:$R$853,ROW()-52),"")</f>
        <v/>
      </c>
      <c r="C824">
        <f>IFERROR(INDEX($S$53:$S$853,ROW()-52),"")</f>
        <v/>
      </c>
      <c r="D824">
        <f>IFERROR(INDEX($W$53:$W$853,ROW()-52),"")</f>
        <v/>
      </c>
      <c r="E824">
        <f>IFERROR(C824-D824,"")</f>
        <v/>
      </c>
    </row>
    <row r="825">
      <c r="B825" s="23">
        <f>IFERROR(INDEX($R$53:$R$853,ROW()-52),"")</f>
        <v/>
      </c>
      <c r="C825">
        <f>IFERROR(INDEX($S$53:$S$853,ROW()-52),"")</f>
        <v/>
      </c>
      <c r="D825">
        <f>IFERROR(INDEX($W$53:$W$853,ROW()-52),"")</f>
        <v/>
      </c>
      <c r="E825">
        <f>IFERROR(C825-D825,"")</f>
        <v/>
      </c>
    </row>
    <row r="826">
      <c r="B826" s="23">
        <f>IFERROR(INDEX($R$53:$R$853,ROW()-52),"")</f>
        <v/>
      </c>
      <c r="C826">
        <f>IFERROR(INDEX($S$53:$S$853,ROW()-52),"")</f>
        <v/>
      </c>
      <c r="D826">
        <f>IFERROR(INDEX($W$53:$W$853,ROW()-52),"")</f>
        <v/>
      </c>
      <c r="E826">
        <f>IFERROR(C826-D826,"")</f>
        <v/>
      </c>
    </row>
    <row r="827">
      <c r="B827" s="23">
        <f>IFERROR(INDEX($R$53:$R$853,ROW()-52),"")</f>
        <v/>
      </c>
      <c r="C827">
        <f>IFERROR(INDEX($S$53:$S$853,ROW()-52),"")</f>
        <v/>
      </c>
      <c r="D827">
        <f>IFERROR(INDEX($W$53:$W$853,ROW()-52),"")</f>
        <v/>
      </c>
      <c r="E827">
        <f>IFERROR(C827-D827,"")</f>
        <v/>
      </c>
    </row>
    <row r="828">
      <c r="B828" s="23">
        <f>IFERROR(INDEX($R$53:$R$853,ROW()-52),"")</f>
        <v/>
      </c>
      <c r="C828">
        <f>IFERROR(INDEX($S$53:$S$853,ROW()-52),"")</f>
        <v/>
      </c>
      <c r="D828">
        <f>IFERROR(INDEX($W$53:$W$853,ROW()-52),"")</f>
        <v/>
      </c>
      <c r="E828">
        <f>IFERROR(C828-D828,"")</f>
        <v/>
      </c>
    </row>
    <row r="829">
      <c r="B829" s="23">
        <f>IFERROR(INDEX($R$53:$R$853,ROW()-52),"")</f>
        <v/>
      </c>
      <c r="C829">
        <f>IFERROR(INDEX($S$53:$S$853,ROW()-52),"")</f>
        <v/>
      </c>
      <c r="D829">
        <f>IFERROR(INDEX($W$53:$W$853,ROW()-52),"")</f>
        <v/>
      </c>
      <c r="E829">
        <f>IFERROR(C829-D829,"")</f>
        <v/>
      </c>
    </row>
    <row r="830">
      <c r="B830" s="23">
        <f>IFERROR(INDEX($R$53:$R$853,ROW()-52),"")</f>
        <v/>
      </c>
      <c r="C830">
        <f>IFERROR(INDEX($S$53:$S$853,ROW()-52),"")</f>
        <v/>
      </c>
      <c r="D830">
        <f>IFERROR(INDEX($W$53:$W$853,ROW()-52),"")</f>
        <v/>
      </c>
      <c r="E830">
        <f>IFERROR(C830-D830,"")</f>
        <v/>
      </c>
    </row>
    <row r="831">
      <c r="B831" s="23">
        <f>IFERROR(INDEX($R$53:$R$853,ROW()-52),"")</f>
        <v/>
      </c>
      <c r="C831">
        <f>IFERROR(INDEX($S$53:$S$853,ROW()-52),"")</f>
        <v/>
      </c>
      <c r="D831">
        <f>IFERROR(INDEX($W$53:$W$853,ROW()-52),"")</f>
        <v/>
      </c>
      <c r="E831">
        <f>IFERROR(C831-D831,"")</f>
        <v/>
      </c>
    </row>
    <row r="832">
      <c r="B832" s="23">
        <f>IFERROR(INDEX($R$53:$R$853,ROW()-52),"")</f>
        <v/>
      </c>
      <c r="C832">
        <f>IFERROR(INDEX($S$53:$S$853,ROW()-52),"")</f>
        <v/>
      </c>
      <c r="D832">
        <f>IFERROR(INDEX($W$53:$W$853,ROW()-52),"")</f>
        <v/>
      </c>
      <c r="E832">
        <f>IFERROR(C832-D832,"")</f>
        <v/>
      </c>
    </row>
    <row r="833">
      <c r="B833" s="23">
        <f>IFERROR(INDEX($R$53:$R$853,ROW()-52),"")</f>
        <v/>
      </c>
      <c r="C833">
        <f>IFERROR(INDEX($S$53:$S$853,ROW()-52),"")</f>
        <v/>
      </c>
      <c r="D833">
        <f>IFERROR(INDEX($W$53:$W$853,ROW()-52),"")</f>
        <v/>
      </c>
      <c r="E833">
        <f>IFERROR(C833-D833,"")</f>
        <v/>
      </c>
    </row>
    <row r="834">
      <c r="B834" s="23">
        <f>IFERROR(INDEX($R$53:$R$853,ROW()-52),"")</f>
        <v/>
      </c>
      <c r="C834">
        <f>IFERROR(INDEX($S$53:$S$853,ROW()-52),"")</f>
        <v/>
      </c>
      <c r="D834">
        <f>IFERROR(INDEX($W$53:$W$853,ROW()-52),"")</f>
        <v/>
      </c>
      <c r="E834">
        <f>IFERROR(C834-D834,"")</f>
        <v/>
      </c>
    </row>
    <row r="835">
      <c r="B835" s="23">
        <f>IFERROR(INDEX($R$53:$R$853,ROW()-52),"")</f>
        <v/>
      </c>
      <c r="C835">
        <f>IFERROR(INDEX($S$53:$S$853,ROW()-52),"")</f>
        <v/>
      </c>
      <c r="D835">
        <f>IFERROR(INDEX($W$53:$W$853,ROW()-52),"")</f>
        <v/>
      </c>
      <c r="E835">
        <f>IFERROR(C835-D835,"")</f>
        <v/>
      </c>
    </row>
    <row r="836">
      <c r="B836" s="23">
        <f>IFERROR(INDEX($R$53:$R$853,ROW()-52),"")</f>
        <v/>
      </c>
      <c r="C836">
        <f>IFERROR(INDEX($S$53:$S$853,ROW()-52),"")</f>
        <v/>
      </c>
      <c r="D836">
        <f>IFERROR(INDEX($W$53:$W$853,ROW()-52),"")</f>
        <v/>
      </c>
      <c r="E836">
        <f>IFERROR(C836-D836,"")</f>
        <v/>
      </c>
    </row>
    <row r="837">
      <c r="B837" s="23">
        <f>IFERROR(INDEX($R$53:$R$853,ROW()-52),"")</f>
        <v/>
      </c>
      <c r="C837">
        <f>IFERROR(INDEX($S$53:$S$853,ROW()-52),"")</f>
        <v/>
      </c>
      <c r="D837">
        <f>IFERROR(INDEX($W$53:$W$853,ROW()-52),"")</f>
        <v/>
      </c>
      <c r="E837">
        <f>IFERROR(C837-D837,"")</f>
        <v/>
      </c>
    </row>
    <row r="838">
      <c r="B838" s="23">
        <f>IFERROR(INDEX($R$53:$R$853,ROW()-52),"")</f>
        <v/>
      </c>
      <c r="C838">
        <f>IFERROR(INDEX($S$53:$S$853,ROW()-52),"")</f>
        <v/>
      </c>
      <c r="D838">
        <f>IFERROR(INDEX($W$53:$W$853,ROW()-52),"")</f>
        <v/>
      </c>
      <c r="E838">
        <f>IFERROR(C838-D838,"")</f>
        <v/>
      </c>
    </row>
    <row r="839">
      <c r="B839" s="23">
        <f>IFERROR(INDEX($R$53:$R$853,ROW()-52),"")</f>
        <v/>
      </c>
      <c r="C839">
        <f>IFERROR(INDEX($S$53:$S$853,ROW()-52),"")</f>
        <v/>
      </c>
      <c r="D839">
        <f>IFERROR(INDEX($W$53:$W$853,ROW()-52),"")</f>
        <v/>
      </c>
      <c r="E839">
        <f>IFERROR(C839-D839,"")</f>
        <v/>
      </c>
    </row>
    <row r="840">
      <c r="B840" s="23">
        <f>IFERROR(INDEX($R$53:$R$853,ROW()-52),"")</f>
        <v/>
      </c>
      <c r="C840">
        <f>IFERROR(INDEX($S$53:$S$853,ROW()-52),"")</f>
        <v/>
      </c>
      <c r="D840">
        <f>IFERROR(INDEX($W$53:$W$853,ROW()-52),"")</f>
        <v/>
      </c>
      <c r="E840">
        <f>IFERROR(C840-D840,"")</f>
        <v/>
      </c>
    </row>
    <row r="841">
      <c r="B841" s="23">
        <f>IFERROR(INDEX($R$53:$R$853,ROW()-52),"")</f>
        <v/>
      </c>
      <c r="C841">
        <f>IFERROR(INDEX($S$53:$S$853,ROW()-52),"")</f>
        <v/>
      </c>
      <c r="D841">
        <f>IFERROR(INDEX($W$53:$W$853,ROW()-52),"")</f>
        <v/>
      </c>
      <c r="E841">
        <f>IFERROR(C841-D841,"")</f>
        <v/>
      </c>
    </row>
    <row r="842">
      <c r="B842" s="23">
        <f>IFERROR(INDEX($R$53:$R$853,ROW()-52),"")</f>
        <v/>
      </c>
      <c r="C842">
        <f>IFERROR(INDEX($S$53:$S$853,ROW()-52),"")</f>
        <v/>
      </c>
      <c r="D842">
        <f>IFERROR(INDEX($W$53:$W$853,ROW()-52),"")</f>
        <v/>
      </c>
      <c r="E842">
        <f>IFERROR(C842-D842,"")</f>
        <v/>
      </c>
    </row>
    <row r="843">
      <c r="B843" s="23">
        <f>IFERROR(INDEX($R$53:$R$853,ROW()-52),"")</f>
        <v/>
      </c>
      <c r="C843">
        <f>IFERROR(INDEX($S$53:$S$853,ROW()-52),"")</f>
        <v/>
      </c>
      <c r="D843">
        <f>IFERROR(INDEX($W$53:$W$853,ROW()-52),"")</f>
        <v/>
      </c>
      <c r="E843">
        <f>IFERROR(C843-D843,"")</f>
        <v/>
      </c>
    </row>
    <row r="844">
      <c r="B844" s="23">
        <f>IFERROR(INDEX($R$53:$R$853,ROW()-52),"")</f>
        <v/>
      </c>
      <c r="C844">
        <f>IFERROR(INDEX($S$53:$S$853,ROW()-52),"")</f>
        <v/>
      </c>
      <c r="D844">
        <f>IFERROR(INDEX($W$53:$W$853,ROW()-52),"")</f>
        <v/>
      </c>
      <c r="E844">
        <f>IFERROR(C844-D844,"")</f>
        <v/>
      </c>
    </row>
    <row r="845">
      <c r="B845" s="23">
        <f>IFERROR(INDEX($R$53:$R$853,ROW()-52),"")</f>
        <v/>
      </c>
      <c r="C845">
        <f>IFERROR(INDEX($S$53:$S$853,ROW()-52),"")</f>
        <v/>
      </c>
      <c r="D845">
        <f>IFERROR(INDEX($W$53:$W$853,ROW()-52),"")</f>
        <v/>
      </c>
      <c r="E845">
        <f>IFERROR(C845-D845,"")</f>
        <v/>
      </c>
    </row>
    <row r="846">
      <c r="B846" s="23">
        <f>IFERROR(INDEX($R$53:$R$853,ROW()-52),"")</f>
        <v/>
      </c>
      <c r="C846">
        <f>IFERROR(INDEX($S$53:$S$853,ROW()-52),"")</f>
        <v/>
      </c>
      <c r="D846">
        <f>IFERROR(INDEX($W$53:$W$853,ROW()-52),"")</f>
        <v/>
      </c>
      <c r="E846">
        <f>IFERROR(C846-D846,"")</f>
        <v/>
      </c>
    </row>
    <row r="847">
      <c r="B847" s="23">
        <f>IFERROR(INDEX($R$53:$R$853,ROW()-52),"")</f>
        <v/>
      </c>
      <c r="C847">
        <f>IFERROR(INDEX($S$53:$S$853,ROW()-52),"")</f>
        <v/>
      </c>
      <c r="D847">
        <f>IFERROR(INDEX($W$53:$W$853,ROW()-52),"")</f>
        <v/>
      </c>
      <c r="E847">
        <f>IFERROR(C847-D847,"")</f>
        <v/>
      </c>
    </row>
    <row r="848">
      <c r="B848" s="23">
        <f>IFERROR(INDEX($R$53:$R$853,ROW()-52),"")</f>
        <v/>
      </c>
      <c r="C848">
        <f>IFERROR(INDEX($S$53:$S$853,ROW()-52),"")</f>
        <v/>
      </c>
      <c r="D848">
        <f>IFERROR(INDEX($W$53:$W$853,ROW()-52),"")</f>
        <v/>
      </c>
      <c r="E848">
        <f>IFERROR(C848-D848,"")</f>
        <v/>
      </c>
    </row>
    <row r="849">
      <c r="B849" s="23">
        <f>IFERROR(INDEX($R$53:$R$853,ROW()-52),"")</f>
        <v/>
      </c>
      <c r="C849">
        <f>IFERROR(INDEX($S$53:$S$853,ROW()-52),"")</f>
        <v/>
      </c>
      <c r="D849">
        <f>IFERROR(INDEX($W$53:$W$853,ROW()-52),"")</f>
        <v/>
      </c>
      <c r="E849">
        <f>IFERROR(C849-D849,"")</f>
        <v/>
      </c>
    </row>
    <row r="850">
      <c r="B850" s="23">
        <f>IFERROR(INDEX($R$53:$R$853,ROW()-52),"")</f>
        <v/>
      </c>
      <c r="C850">
        <f>IFERROR(INDEX($S$53:$S$853,ROW()-52),"")</f>
        <v/>
      </c>
      <c r="D850">
        <f>IFERROR(INDEX($W$53:$W$853,ROW()-52),"")</f>
        <v/>
      </c>
      <c r="E850">
        <f>IFERROR(C850-D850,"")</f>
        <v/>
      </c>
    </row>
    <row r="851">
      <c r="B851" s="23">
        <f>IFERROR(INDEX($R$53:$R$853,ROW()-52),"")</f>
        <v/>
      </c>
      <c r="C851">
        <f>IFERROR(INDEX($S$53:$S$853,ROW()-52),"")</f>
        <v/>
      </c>
      <c r="D851">
        <f>IFERROR(INDEX($W$53:$W$853,ROW()-52),"")</f>
        <v/>
      </c>
      <c r="E851">
        <f>IFERROR(C851-D851,"")</f>
        <v/>
      </c>
    </row>
    <row r="852">
      <c r="B852" s="23">
        <f>IFERROR(INDEX($R$53:$R$853,ROW()-52),"")</f>
        <v/>
      </c>
      <c r="C852">
        <f>IFERROR(INDEX($S$53:$S$853,ROW()-52),"")</f>
        <v/>
      </c>
      <c r="D852">
        <f>IFERROR(INDEX($W$53:$W$853,ROW()-52),"")</f>
        <v/>
      </c>
      <c r="E852">
        <f>IFERROR(C852-D852,"")</f>
        <v/>
      </c>
    </row>
  </sheetData>
  <pageMargins left="0.75" right="0.75" top="1" bottom="1" header="0.5" footer="0.5"/>
  <drawing xmlns:r="http://schemas.openxmlformats.org/officeDocument/2006/relationships" r:id="rId1"/>
</worksheet>
</file>

<file path=xl/worksheets/sheet11.xml><?xml version="1.0" encoding="utf-8"?>
<worksheet xmlns="http://schemas.openxmlformats.org/spreadsheetml/2006/main">
  <sheetPr>
    <outlinePr summaryBelow="1" summaryRight="1"/>
    <pageSetUpPr/>
  </sheetPr>
  <dimension ref="A1:N101"/>
  <sheetViews>
    <sheetView showGridLines="0" workbookViewId="0">
      <pane ySplit="4" topLeftCell="A5" activePane="bottomLeft" state="frozen"/>
      <selection pane="bottomLeft" activeCell="A1" sqref="A1"/>
    </sheetView>
  </sheetViews>
  <sheetFormatPr baseColWidth="8" defaultRowHeight="15"/>
  <cols>
    <col width="3" customWidth="1" min="1" max="1"/>
    <col width="30" customWidth="1" min="2" max="2"/>
    <col width="46" customWidth="1" min="3" max="3"/>
    <col width="66" customWidth="1" min="4" max="4"/>
  </cols>
  <sheetData>
    <row r="1">
      <c r="A1" s="1" t="inlineStr">
        <is>
          <t>Q2 (c) — Are equities overvalued? Equities or fixed income?</t>
        </is>
      </c>
    </row>
    <row r="2">
      <c r="A2" s="2" t="inlineStr">
        <is>
          <t>Three lenses: the equity risk premium, earnings breadth, and rates sensitivity. Then the point that forces the conclusion.</t>
        </is>
      </c>
    </row>
    <row r="3" ht="4" customHeight="1">
      <c r="A3" s="3" t="n"/>
      <c r="B3" s="3" t="n"/>
      <c r="C3" s="3" t="n"/>
      <c r="D3" s="3" t="n"/>
      <c r="E3" s="3" t="n"/>
      <c r="F3" s="3" t="n"/>
      <c r="G3" s="3" t="n"/>
      <c r="H3" s="3" t="n"/>
      <c r="I3" s="3" t="n"/>
      <c r="J3" s="3" t="n"/>
      <c r="K3" s="3" t="n"/>
      <c r="L3" s="3" t="n"/>
      <c r="M3" s="3" t="n"/>
      <c r="N3" s="3" t="n"/>
    </row>
    <row r="5">
      <c r="B5" s="9" t="inlineStr">
        <is>
          <t>The answer, in one line</t>
        </is>
      </c>
    </row>
    <row r="6">
      <c r="B6" s="12" t="inlineStr">
        <is>
          <t>Yes, equities are expensive — but so is credit, and duration is not a hedge in this regime. The question is not equities versus fixed income; it is which equities and which part of the curve. A barbell: front-end Asian carry plus selective Asian equity, funded out of expensive US index beta and expensive credit spread, with convexity on top.</t>
        </is>
      </c>
    </row>
    <row r="9">
      <c r="B9" s="9" t="inlineStr">
        <is>
          <t>Lens 1 — the equity risk premium is essentially zero</t>
        </is>
      </c>
    </row>
    <row r="10">
      <c r="B10" s="12" t="inlineStr">
        <is>
          <t>Build it, do not quote it: forward earnings yield less the local ten-year. The cross-market chart is the one that converts this question from asserted to demonstrated — US near zero against materially wider Asian premia.</t>
        </is>
      </c>
    </row>
    <row r="29">
      <c r="B29" s="9" t="inlineStr">
        <is>
          <t>Lens 2 — earnings breadth is narrow, and narrowing</t>
        </is>
      </c>
    </row>
    <row r="30">
      <c r="B30" s="12" t="inlineStr">
        <is>
          <t>Cap weight against equal weight is the simplest breadth chart there is. Roughly half the index's 2026 earnings growth is attributed to AI infrastructure — extraordinary single-theme concentration. Asia is worse on this metric, not better: TSMC is over 40% of the TAIEX.</t>
        </is>
      </c>
    </row>
    <row r="49">
      <c r="B49" s="9" t="inlineStr">
        <is>
          <t>Lens 3 — rates sensitivity, and why fixed income is not the hedge</t>
        </is>
      </c>
    </row>
    <row r="50">
      <c r="B50" s="12" t="inlineStr">
        <is>
          <t>The decisive observation: the 10y rose 74bp through July and the S&amp;P finished flat. The market absorbed the whole move out of the risk premium — it did not de-rate, it stopped paying for risk. The next 50bp has nowhere to go except the multiple. If the rolling correlation below has turned positive, 60/40 is broken exactly when it is needed, and the hedge is convexity rather than an asset class.</t>
        </is>
      </c>
    </row>
    <row r="69">
      <c r="B69" s="9" t="inlineStr">
        <is>
          <t>And fixed income is also expensive</t>
        </is>
      </c>
    </row>
    <row r="70">
      <c r="B70" s="12" t="inlineStr">
        <is>
          <t>US HY OAS in the richest decile of its own history against a long-run median near 450bp — roughly 60% of the historical compensation for the same risk, and the first thing to gap in a geopolitical tail. Returns from here are income, not capital gain.</t>
        </is>
      </c>
    </row>
    <row r="89">
      <c r="B89" s="9" t="inlineStr">
        <is>
          <t>The recommendation</t>
        </is>
      </c>
    </row>
    <row r="91" ht="18" customHeight="1">
      <c r="B91" s="4" t="inlineStr">
        <is>
          <t>Stance</t>
        </is>
      </c>
      <c r="C91" s="4" t="inlineStr">
        <is>
          <t>Position</t>
        </is>
      </c>
      <c r="D91" s="4" t="inlineStr">
        <is>
          <t>Rationale</t>
        </is>
      </c>
    </row>
    <row r="92">
      <c r="B92" s="39" t="inlineStr">
        <is>
          <t>Underweight</t>
        </is>
      </c>
      <c r="C92" s="13" t="inlineStr">
        <is>
          <t>US index-level equity beta</t>
        </is>
      </c>
      <c r="D92" s="7" t="inlineStr">
        <is>
          <t>ERP near zero; breadth deteriorating; no cushion for higher rates</t>
        </is>
      </c>
    </row>
    <row r="93">
      <c r="B93" s="39" t="inlineStr">
        <is>
          <t>Underweight</t>
        </is>
      </c>
      <c r="C93" s="13" t="inlineStr">
        <is>
          <t>US and Asia HY spread risk</t>
        </is>
      </c>
      <c r="D93" s="7" t="inlineStr">
        <is>
          <t>Richest decile; asymmetric, and the first thing to gap in a tail</t>
        </is>
      </c>
    </row>
    <row r="94">
      <c r="B94" s="39" t="inlineStr">
        <is>
          <t>Underweight</t>
        </is>
      </c>
      <c r="C94" s="13" t="inlineStr">
        <is>
          <t>Long-duration US Treasuries</t>
        </is>
      </c>
      <c r="D94" s="7" t="inlineStr">
        <is>
          <t>The wrong hedge for a supply shock; term premium should widen</t>
        </is>
      </c>
    </row>
    <row r="95">
      <c r="B95" s="40" t="inlineStr">
        <is>
          <t>Overweight</t>
        </is>
      </c>
      <c r="C95" s="13" t="inlineStr">
        <is>
          <t>Short-dated (2–5y) Asia local-currency govvies</t>
        </is>
      </c>
      <c r="D95" s="7" t="inlineStr">
        <is>
          <t>Positive real rates; carry is the return, not duration</t>
        </is>
      </c>
    </row>
    <row r="96">
      <c r="B96" s="40" t="inlineStr">
        <is>
          <t>Overweight</t>
        </is>
      </c>
      <c r="C96" s="13" t="inlineStr">
        <is>
          <t>Japan financials and domestic; India domestic demand</t>
        </is>
      </c>
      <c r="D96" s="7" t="inlineStr">
        <is>
          <t>Rate-mechanical NIM expansion; low tariff pass-through; wider ERP</t>
        </is>
      </c>
    </row>
    <row r="97">
      <c r="B97" s="40" t="inlineStr">
        <is>
          <t>Overweight</t>
        </is>
      </c>
      <c r="C97" s="13" t="inlineStr">
        <is>
          <t>Gold and explicit convexity</t>
        </is>
      </c>
      <c r="D97" s="7" t="inlineStr">
        <is>
          <t>The only asset that pays in both tails</t>
        </is>
      </c>
    </row>
    <row r="98">
      <c r="B98" s="41" t="inlineStr">
        <is>
          <t>Neutral</t>
        </is>
      </c>
      <c r="C98" s="13" t="inlineStr">
        <is>
          <t>Korea, Taiwan semiconductors</t>
        </is>
      </c>
      <c r="D98" s="7" t="inlineStr">
        <is>
          <t>Great earnings, contested terminal value, record realised vol</t>
        </is>
      </c>
    </row>
    <row r="101">
      <c r="B101" s="12" t="inlineStr">
        <is>
          <t>The point that forces the conclusion: in a stagflationary supply shock, fixed income is not a hedge for equities. Yields rise because inflation rises; equities fall because the discount rate rises. The stock–bond correlation goes positive and 60/40 stops working exactly when you need it. The hedge is not an asset class — it is convexity: gold, optionality, and curve steepeners.</t>
        </is>
      </c>
    </row>
  </sheetData>
  <pageMargins left="0.75" right="0.75" top="1" bottom="1" header="0.5" footer="0.5"/>
  <drawing xmlns:r="http://schemas.openxmlformats.org/officeDocument/2006/relationships" r:id="rId1"/>
</worksheet>
</file>

<file path=xl/worksheets/sheet12.xml><?xml version="1.0" encoding="utf-8"?>
<worksheet xmlns="http://schemas.openxmlformats.org/spreadsheetml/2006/main">
  <sheetPr>
    <outlinePr summaryBelow="1" summaryRight="1"/>
    <pageSetUpPr/>
  </sheetPr>
  <dimension ref="A1:AH155"/>
  <sheetViews>
    <sheetView showGridLines="0" workbookViewId="0">
      <pane ySplit="4" topLeftCell="A5" activePane="bottomLeft" state="frozen"/>
      <selection pane="bottomLeft" activeCell="A1" sqref="A1"/>
    </sheetView>
  </sheetViews>
  <sheetFormatPr baseColWidth="8" defaultRowHeight="15"/>
  <cols>
    <col width="12" customWidth="1" min="1" max="1"/>
    <col width="12" customWidth="1" min="2" max="2"/>
    <col width="12" customWidth="1" min="3" max="3"/>
    <col width="12" customWidth="1" min="4" max="4"/>
    <col width="12" customWidth="1" min="5" max="5"/>
    <col width="12" customWidth="1" min="6" max="6"/>
    <col width="10" customWidth="1" min="7" max="7"/>
    <col width="10" customWidth="1" min="8" max="8"/>
    <col width="26" customWidth="1" min="9" max="9"/>
  </cols>
  <sheetData>
    <row r="1">
      <c r="A1" s="1" t="inlineStr">
        <is>
          <t>Asia equity valuation — forward P/E against its own 5-year band</t>
        </is>
      </c>
    </row>
    <row r="2">
      <c r="A2" s="2" t="inlineStr">
        <is>
          <t>Slide 1, exhibit 1. Not 'is Asia cheap' in the abstract — is each market cheap against its own history. The band is mean ±1SD of monthly forward P/E over five years, computed here, not quoted.</t>
        </is>
      </c>
    </row>
    <row r="3" ht="4" customHeight="1">
      <c r="A3" s="3" t="n"/>
      <c r="B3" s="3" t="n"/>
      <c r="C3" s="3" t="n"/>
      <c r="D3" s="3" t="n"/>
      <c r="E3" s="3" t="n"/>
      <c r="F3" s="3" t="n"/>
      <c r="G3" s="3" t="n"/>
      <c r="H3" s="3" t="n"/>
      <c r="I3" s="3" t="n"/>
      <c r="J3" s="3" t="n"/>
      <c r="K3" s="3" t="n"/>
    </row>
    <row r="5" ht="18" customHeight="1">
      <c r="A5" s="4" t="inlineStr">
        <is>
          <t>Market</t>
        </is>
      </c>
      <c r="B5" s="4" t="inlineStr">
        <is>
          <t>Index</t>
        </is>
      </c>
      <c r="C5" s="4" t="inlineStr">
        <is>
          <t>Fwd P/E (1BF)</t>
        </is>
      </c>
      <c r="D5" s="4" t="inlineStr">
        <is>
          <t>5y mean</t>
        </is>
      </c>
      <c r="E5" s="4" t="inlineStr">
        <is>
          <t>5y SD</t>
        </is>
      </c>
      <c r="F5" s="4" t="inlineStr">
        <is>
          <t>−1SD</t>
        </is>
      </c>
      <c r="G5" s="4" t="inlineStr">
        <is>
          <t>+1SD</t>
        </is>
      </c>
      <c r="H5" s="4" t="inlineStr">
        <is>
          <t>z-score</t>
        </is>
      </c>
      <c r="I5" s="4" t="inlineStr">
        <is>
          <t>Read</t>
        </is>
      </c>
    </row>
    <row r="6">
      <c r="A6" s="5" t="inlineStr">
        <is>
          <t>China A</t>
        </is>
      </c>
      <c r="B6" s="14" t="inlineStr">
        <is>
          <t>SHSZ300 Index</t>
        </is>
      </c>
      <c r="C6" s="19">
        <f>BDP($B6,"BEST_PE_RATIO","BEST_FPERIOD_OVERRIDE","1BF")</f>
        <v/>
      </c>
      <c r="D6" s="19">
        <f>IFERROR(AVERAGE(B$26:B$155),"")</f>
        <v/>
      </c>
      <c r="E6" s="19">
        <f>IFERROR(STDEV.S(B$26:B$155),"")</f>
        <v/>
      </c>
      <c r="F6" s="19">
        <f>IFERROR(D6-E6,"")</f>
        <v/>
      </c>
      <c r="G6" s="19">
        <f>IFERROR(D6+E6,"")</f>
        <v/>
      </c>
      <c r="H6" s="42">
        <f>IFERROR((C6-D6)/E6,"")</f>
        <v/>
      </c>
      <c r="I6" s="7">
        <f>IF(H6="","",IF(H6&gt;1,"Rich — above +1SD",IF(H6&lt;-1,"Cheap — below -1SD","Inside the band")))</f>
        <v/>
      </c>
    </row>
    <row r="7">
      <c r="A7" s="5" t="inlineStr">
        <is>
          <t>China H</t>
        </is>
      </c>
      <c r="B7" s="14" t="inlineStr">
        <is>
          <t>HSCEI Index</t>
        </is>
      </c>
      <c r="C7" s="19">
        <f>BDP($B7,"BEST_PE_RATIO","BEST_FPERIOD_OVERRIDE","1BF")</f>
        <v/>
      </c>
      <c r="D7" s="19">
        <f>IFERROR(AVERAGE(C$26:C$155),"")</f>
        <v/>
      </c>
      <c r="E7" s="19">
        <f>IFERROR(STDEV.S(C$26:C$155),"")</f>
        <v/>
      </c>
      <c r="F7" s="19">
        <f>IFERROR(D7-E7,"")</f>
        <v/>
      </c>
      <c r="G7" s="19">
        <f>IFERROR(D7+E7,"")</f>
        <v/>
      </c>
      <c r="H7" s="42">
        <f>IFERROR((C7-D7)/E7,"")</f>
        <v/>
      </c>
      <c r="I7" s="7">
        <f>IF(H7="","",IF(H7&gt;1,"Rich — above +1SD",IF(H7&lt;-1,"Cheap — below -1SD","Inside the band")))</f>
        <v/>
      </c>
    </row>
    <row r="8">
      <c r="A8" s="5" t="inlineStr">
        <is>
          <t>Korea</t>
        </is>
      </c>
      <c r="B8" s="14" t="inlineStr">
        <is>
          <t>KOSPI2 Index</t>
        </is>
      </c>
      <c r="C8" s="19">
        <f>BDP($B8,"BEST_PE_RATIO","BEST_FPERIOD_OVERRIDE","1BF")</f>
        <v/>
      </c>
      <c r="D8" s="19">
        <f>IFERROR(AVERAGE(D$26:D$155),"")</f>
        <v/>
      </c>
      <c r="E8" s="19">
        <f>IFERROR(STDEV.S(D$26:D$155),"")</f>
        <v/>
      </c>
      <c r="F8" s="19">
        <f>IFERROR(D8-E8,"")</f>
        <v/>
      </c>
      <c r="G8" s="19">
        <f>IFERROR(D8+E8,"")</f>
        <v/>
      </c>
      <c r="H8" s="42">
        <f>IFERROR((C8-D8)/E8,"")</f>
        <v/>
      </c>
      <c r="I8" s="7">
        <f>IF(H8="","",IF(H8&gt;1,"Rich — above +1SD",IF(H8&lt;-1,"Cheap — below -1SD","Inside the band")))</f>
        <v/>
      </c>
    </row>
    <row r="9">
      <c r="A9" s="5" t="inlineStr">
        <is>
          <t>Japan</t>
        </is>
      </c>
      <c r="B9" s="14" t="inlineStr">
        <is>
          <t>TPX Index</t>
        </is>
      </c>
      <c r="C9" s="19">
        <f>BDP($B9,"BEST_PE_RATIO","BEST_FPERIOD_OVERRIDE","1BF")</f>
        <v/>
      </c>
      <c r="D9" s="19">
        <f>IFERROR(AVERAGE(E$26:E$155),"")</f>
        <v/>
      </c>
      <c r="E9" s="19">
        <f>IFERROR(STDEV.S(E$26:E$155),"")</f>
        <v/>
      </c>
      <c r="F9" s="19">
        <f>IFERROR(D9-E9,"")</f>
        <v/>
      </c>
      <c r="G9" s="19">
        <f>IFERROR(D9+E9,"")</f>
        <v/>
      </c>
      <c r="H9" s="42">
        <f>IFERROR((C9-D9)/E9,"")</f>
        <v/>
      </c>
      <c r="I9" s="7">
        <f>IF(H9="","",IF(H9&gt;1,"Rich — above +1SD",IF(H9&lt;-1,"Cheap — below -1SD","Inside the band")))</f>
        <v/>
      </c>
    </row>
    <row r="10">
      <c r="A10" s="5" t="inlineStr">
        <is>
          <t>Taiwan</t>
        </is>
      </c>
      <c r="B10" s="14" t="inlineStr">
        <is>
          <t>TWSE Index</t>
        </is>
      </c>
      <c r="C10" s="19">
        <f>BDP($B10,"BEST_PE_RATIO","BEST_FPERIOD_OVERRIDE","1BF")</f>
        <v/>
      </c>
      <c r="D10" s="19">
        <f>IFERROR(AVERAGE(F$26:F$155),"")</f>
        <v/>
      </c>
      <c r="E10" s="19">
        <f>IFERROR(STDEV.S(F$26:F$155),"")</f>
        <v/>
      </c>
      <c r="F10" s="19">
        <f>IFERROR(D10-E10,"")</f>
        <v/>
      </c>
      <c r="G10" s="19">
        <f>IFERROR(D10+E10,"")</f>
        <v/>
      </c>
      <c r="H10" s="42">
        <f>IFERROR((C10-D10)/E10,"")</f>
        <v/>
      </c>
      <c r="I10" s="7">
        <f>IF(H10="","",IF(H10&gt;1,"Rich — above +1SD",IF(H10&lt;-1,"Cheap — below -1SD","Inside the band")))</f>
        <v/>
      </c>
    </row>
    <row r="13">
      <c r="A13" s="12" t="inlineStr">
        <is>
          <t>The z-score column is what the exhibit actually ranks on. A market can be the cheapest in the region on an absolute multiple and still be the most expensive against its own history — which is the distinction the slide is making. Anything beyond ±1SD gets called out by name.</t>
        </is>
      </c>
    </row>
    <row r="16">
      <c r="A16" s="12" t="inlineStr">
        <is>
          <t>Five years of MONTHLY forward P/E, one BQL call per index. Monthly because a valuation band does not move on a daily grid; five years because that is the window the sell side quotes, so the number is comparable to what the panel has already seen. If BEst estimate coverage on TWSE Index comes back thin, swap that row to MXTW Index (MSCI Taiwan) and say on the slide which one you used — the two are not interchangeable and the multiple will differ.</t>
        </is>
      </c>
    </row>
    <row r="19">
      <c r="A19" s="9" t="inlineStr">
        <is>
          <t>Date alignment check</t>
        </is>
      </c>
      <c r="C19" s="9">
        <f>IFERROR(SUMPRODUCT(--($R$26:$R$156&lt;&gt;"")*($V$26:$V$156&lt;&gt;"")*($R$26:$R$156&lt;&gt;$V$26:$V$156))+SUMPRODUCT(--($R$26:$R$156&lt;&gt;"")*($Z$26:$Z$156&lt;&gt;"")*($R$26:$R$156&lt;&gt;$Z$26:$Z$156))+SUMPRODUCT(--($R$26:$R$156&lt;&gt;"")*($AD$26:$AD$156&lt;&gt;"")*($R$26:$R$156&lt;&gt;$AD$26:$AD$156))+SUMPRODUCT(--($R$26:$R$156&lt;&gt;"")*($AH$26:$AH$156&lt;&gt;"")*($R$26:$R$156&lt;&gt;$AH$26:$AH$156)),"")</f>
        <v/>
      </c>
      <c r="D19" s="2">
        <f>IF(C19="","",IF(C19=0,"OK — blocks are row-aligned","MISALIGNED: "&amp;C19&amp;" rows differ. Do not use these numbers; switch the value columns to INDEX/MATCH on the date."))</f>
        <v/>
      </c>
    </row>
    <row r="22">
      <c r="R22" s="12" t="inlineStr">
        <is>
          <t>Staging — one BQL call per security. Each spills DATE and value; the working columns on the left look them up by date. Blocks: R = China A · V = China H · Z = Korea · AD = Japan · AH = Taiwan.  If a block comes back with an extra ID column, shift that block's value column by one — nothing else needs to change.</t>
        </is>
      </c>
    </row>
    <row r="24">
      <c r="A24" s="9" t="inlineStr">
        <is>
          <t>Forward P/E history, monthly — 5 years</t>
        </is>
      </c>
      <c r="R24" s="10">
        <f>BQL("SHSZ300 Index","best_pe_ratio(fpo='1BF', frq=M, dates=range("&amp;TEXT(Start5Y,"yyyy-mm-dd")&amp;","&amp;TEXT(AsOf,"yyyy-mm-dd")&amp;"), fill=prev)")</f>
        <v/>
      </c>
      <c r="V24" s="10">
        <f>BQL("HSCEI Index","best_pe_ratio(fpo='1BF', frq=M, dates=range("&amp;TEXT(Start5Y,"yyyy-mm-dd")&amp;","&amp;TEXT(AsOf,"yyyy-mm-dd")&amp;"), fill=prev)")</f>
        <v/>
      </c>
      <c r="Z24" s="10">
        <f>BQL("KOSPI2 Index","best_pe_ratio(fpo='1BF', frq=M, dates=range("&amp;TEXT(Start5Y,"yyyy-mm-dd")&amp;","&amp;TEXT(AsOf,"yyyy-mm-dd")&amp;"), fill=prev)")</f>
        <v/>
      </c>
      <c r="AD24" s="10">
        <f>BQL("TPX Index","best_pe_ratio(fpo='1BF', frq=M, dates=range("&amp;TEXT(Start5Y,"yyyy-mm-dd")&amp;","&amp;TEXT(AsOf,"yyyy-mm-dd")&amp;"), fill=prev)")</f>
        <v/>
      </c>
      <c r="AH24" s="10">
        <f>BQL("TWSE Index","best_pe_ratio(fpo='1BF', frq=M, dates=range("&amp;TEXT(Start5Y,"yyyy-mm-dd")&amp;","&amp;TEXT(AsOf,"yyyy-mm-dd")&amp;"), fill=prev)")</f>
        <v/>
      </c>
    </row>
    <row r="25" ht="18" customHeight="1">
      <c r="A25" s="4" t="inlineStr">
        <is>
          <t>Date</t>
        </is>
      </c>
      <c r="B25" s="4" t="inlineStr">
        <is>
          <t>China A</t>
        </is>
      </c>
      <c r="C25" s="4" t="inlineStr">
        <is>
          <t>China H</t>
        </is>
      </c>
      <c r="D25" s="4" t="inlineStr">
        <is>
          <t>Korea</t>
        </is>
      </c>
      <c r="E25" s="4" t="inlineStr">
        <is>
          <t>Japan</t>
        </is>
      </c>
      <c r="F25" s="4" t="inlineStr">
        <is>
          <t>Taiwan</t>
        </is>
      </c>
    </row>
    <row r="26">
      <c r="A26" s="43">
        <f>IFERROR(INDEX($R$26:$R$156,ROW()-25),"")</f>
        <v/>
      </c>
      <c r="B26">
        <f>IFERROR(INDEX($S$26:$S$156,ROW()-25),"")</f>
        <v/>
      </c>
      <c r="C26">
        <f>IFERROR(INDEX($W$26:$W$156,ROW()-25),"")</f>
        <v/>
      </c>
      <c r="D26">
        <f>IFERROR(INDEX($AA$26:$AA$156,ROW()-25),"")</f>
        <v/>
      </c>
      <c r="E26">
        <f>IFERROR(INDEX($AE$26:$AE$156,ROW()-25),"")</f>
        <v/>
      </c>
      <c r="F26">
        <f>IFERROR(INDEX($AI$26:$AI$156,ROW()-25),"")</f>
        <v/>
      </c>
    </row>
    <row r="27">
      <c r="A27" s="43">
        <f>IFERROR(INDEX($R$26:$R$156,ROW()-25),"")</f>
        <v/>
      </c>
      <c r="B27">
        <f>IFERROR(INDEX($S$26:$S$156,ROW()-25),"")</f>
        <v/>
      </c>
      <c r="C27">
        <f>IFERROR(INDEX($W$26:$W$156,ROW()-25),"")</f>
        <v/>
      </c>
      <c r="D27">
        <f>IFERROR(INDEX($AA$26:$AA$156,ROW()-25),"")</f>
        <v/>
      </c>
      <c r="E27">
        <f>IFERROR(INDEX($AE$26:$AE$156,ROW()-25),"")</f>
        <v/>
      </c>
      <c r="F27">
        <f>IFERROR(INDEX($AI$26:$AI$156,ROW()-25),"")</f>
        <v/>
      </c>
    </row>
    <row r="28">
      <c r="A28" s="43">
        <f>IFERROR(INDEX($R$26:$R$156,ROW()-25),"")</f>
        <v/>
      </c>
      <c r="B28">
        <f>IFERROR(INDEX($S$26:$S$156,ROW()-25),"")</f>
        <v/>
      </c>
      <c r="C28">
        <f>IFERROR(INDEX($W$26:$W$156,ROW()-25),"")</f>
        <v/>
      </c>
      <c r="D28">
        <f>IFERROR(INDEX($AA$26:$AA$156,ROW()-25),"")</f>
        <v/>
      </c>
      <c r="E28">
        <f>IFERROR(INDEX($AE$26:$AE$156,ROW()-25),"")</f>
        <v/>
      </c>
      <c r="F28">
        <f>IFERROR(INDEX($AI$26:$AI$156,ROW()-25),"")</f>
        <v/>
      </c>
    </row>
    <row r="29">
      <c r="A29" s="43">
        <f>IFERROR(INDEX($R$26:$R$156,ROW()-25),"")</f>
        <v/>
      </c>
      <c r="B29">
        <f>IFERROR(INDEX($S$26:$S$156,ROW()-25),"")</f>
        <v/>
      </c>
      <c r="C29">
        <f>IFERROR(INDEX($W$26:$W$156,ROW()-25),"")</f>
        <v/>
      </c>
      <c r="D29">
        <f>IFERROR(INDEX($AA$26:$AA$156,ROW()-25),"")</f>
        <v/>
      </c>
      <c r="E29">
        <f>IFERROR(INDEX($AE$26:$AE$156,ROW()-25),"")</f>
        <v/>
      </c>
      <c r="F29">
        <f>IFERROR(INDEX($AI$26:$AI$156,ROW()-25),"")</f>
        <v/>
      </c>
    </row>
    <row r="30">
      <c r="A30" s="43">
        <f>IFERROR(INDEX($R$26:$R$156,ROW()-25),"")</f>
        <v/>
      </c>
      <c r="B30">
        <f>IFERROR(INDEX($S$26:$S$156,ROW()-25),"")</f>
        <v/>
      </c>
      <c r="C30">
        <f>IFERROR(INDEX($W$26:$W$156,ROW()-25),"")</f>
        <v/>
      </c>
      <c r="D30">
        <f>IFERROR(INDEX($AA$26:$AA$156,ROW()-25),"")</f>
        <v/>
      </c>
      <c r="E30">
        <f>IFERROR(INDEX($AE$26:$AE$156,ROW()-25),"")</f>
        <v/>
      </c>
      <c r="F30">
        <f>IFERROR(INDEX($AI$26:$AI$156,ROW()-25),"")</f>
        <v/>
      </c>
    </row>
    <row r="31">
      <c r="A31" s="43">
        <f>IFERROR(INDEX($R$26:$R$156,ROW()-25),"")</f>
        <v/>
      </c>
      <c r="B31">
        <f>IFERROR(INDEX($S$26:$S$156,ROW()-25),"")</f>
        <v/>
      </c>
      <c r="C31">
        <f>IFERROR(INDEX($W$26:$W$156,ROW()-25),"")</f>
        <v/>
      </c>
      <c r="D31">
        <f>IFERROR(INDEX($AA$26:$AA$156,ROW()-25),"")</f>
        <v/>
      </c>
      <c r="E31">
        <f>IFERROR(INDEX($AE$26:$AE$156,ROW()-25),"")</f>
        <v/>
      </c>
      <c r="F31">
        <f>IFERROR(INDEX($AI$26:$AI$156,ROW()-25),"")</f>
        <v/>
      </c>
    </row>
    <row r="32">
      <c r="A32" s="43">
        <f>IFERROR(INDEX($R$26:$R$156,ROW()-25),"")</f>
        <v/>
      </c>
      <c r="B32">
        <f>IFERROR(INDEX($S$26:$S$156,ROW()-25),"")</f>
        <v/>
      </c>
      <c r="C32">
        <f>IFERROR(INDEX($W$26:$W$156,ROW()-25),"")</f>
        <v/>
      </c>
      <c r="D32">
        <f>IFERROR(INDEX($AA$26:$AA$156,ROW()-25),"")</f>
        <v/>
      </c>
      <c r="E32">
        <f>IFERROR(INDEX($AE$26:$AE$156,ROW()-25),"")</f>
        <v/>
      </c>
      <c r="F32">
        <f>IFERROR(INDEX($AI$26:$AI$156,ROW()-25),"")</f>
        <v/>
      </c>
    </row>
    <row r="33">
      <c r="A33" s="43">
        <f>IFERROR(INDEX($R$26:$R$156,ROW()-25),"")</f>
        <v/>
      </c>
      <c r="B33">
        <f>IFERROR(INDEX($S$26:$S$156,ROW()-25),"")</f>
        <v/>
      </c>
      <c r="C33">
        <f>IFERROR(INDEX($W$26:$W$156,ROW()-25),"")</f>
        <v/>
      </c>
      <c r="D33">
        <f>IFERROR(INDEX($AA$26:$AA$156,ROW()-25),"")</f>
        <v/>
      </c>
      <c r="E33">
        <f>IFERROR(INDEX($AE$26:$AE$156,ROW()-25),"")</f>
        <v/>
      </c>
      <c r="F33">
        <f>IFERROR(INDEX($AI$26:$AI$156,ROW()-25),"")</f>
        <v/>
      </c>
    </row>
    <row r="34">
      <c r="A34" s="43">
        <f>IFERROR(INDEX($R$26:$R$156,ROW()-25),"")</f>
        <v/>
      </c>
      <c r="B34">
        <f>IFERROR(INDEX($S$26:$S$156,ROW()-25),"")</f>
        <v/>
      </c>
      <c r="C34">
        <f>IFERROR(INDEX($W$26:$W$156,ROW()-25),"")</f>
        <v/>
      </c>
      <c r="D34">
        <f>IFERROR(INDEX($AA$26:$AA$156,ROW()-25),"")</f>
        <v/>
      </c>
      <c r="E34">
        <f>IFERROR(INDEX($AE$26:$AE$156,ROW()-25),"")</f>
        <v/>
      </c>
      <c r="F34">
        <f>IFERROR(INDEX($AI$26:$AI$156,ROW()-25),"")</f>
        <v/>
      </c>
    </row>
    <row r="35">
      <c r="A35" s="43">
        <f>IFERROR(INDEX($R$26:$R$156,ROW()-25),"")</f>
        <v/>
      </c>
      <c r="B35">
        <f>IFERROR(INDEX($S$26:$S$156,ROW()-25),"")</f>
        <v/>
      </c>
      <c r="C35">
        <f>IFERROR(INDEX($W$26:$W$156,ROW()-25),"")</f>
        <v/>
      </c>
      <c r="D35">
        <f>IFERROR(INDEX($AA$26:$AA$156,ROW()-25),"")</f>
        <v/>
      </c>
      <c r="E35">
        <f>IFERROR(INDEX($AE$26:$AE$156,ROW()-25),"")</f>
        <v/>
      </c>
      <c r="F35">
        <f>IFERROR(INDEX($AI$26:$AI$156,ROW()-25),"")</f>
        <v/>
      </c>
    </row>
    <row r="36">
      <c r="A36" s="43">
        <f>IFERROR(INDEX($R$26:$R$156,ROW()-25),"")</f>
        <v/>
      </c>
      <c r="B36">
        <f>IFERROR(INDEX($S$26:$S$156,ROW()-25),"")</f>
        <v/>
      </c>
      <c r="C36">
        <f>IFERROR(INDEX($W$26:$W$156,ROW()-25),"")</f>
        <v/>
      </c>
      <c r="D36">
        <f>IFERROR(INDEX($AA$26:$AA$156,ROW()-25),"")</f>
        <v/>
      </c>
      <c r="E36">
        <f>IFERROR(INDEX($AE$26:$AE$156,ROW()-25),"")</f>
        <v/>
      </c>
      <c r="F36">
        <f>IFERROR(INDEX($AI$26:$AI$156,ROW()-25),"")</f>
        <v/>
      </c>
    </row>
    <row r="37">
      <c r="A37" s="43">
        <f>IFERROR(INDEX($R$26:$R$156,ROW()-25),"")</f>
        <v/>
      </c>
      <c r="B37">
        <f>IFERROR(INDEX($S$26:$S$156,ROW()-25),"")</f>
        <v/>
      </c>
      <c r="C37">
        <f>IFERROR(INDEX($W$26:$W$156,ROW()-25),"")</f>
        <v/>
      </c>
      <c r="D37">
        <f>IFERROR(INDEX($AA$26:$AA$156,ROW()-25),"")</f>
        <v/>
      </c>
      <c r="E37">
        <f>IFERROR(INDEX($AE$26:$AE$156,ROW()-25),"")</f>
        <v/>
      </c>
      <c r="F37">
        <f>IFERROR(INDEX($AI$26:$AI$156,ROW()-25),"")</f>
        <v/>
      </c>
    </row>
    <row r="38">
      <c r="A38" s="43">
        <f>IFERROR(INDEX($R$26:$R$156,ROW()-25),"")</f>
        <v/>
      </c>
      <c r="B38">
        <f>IFERROR(INDEX($S$26:$S$156,ROW()-25),"")</f>
        <v/>
      </c>
      <c r="C38">
        <f>IFERROR(INDEX($W$26:$W$156,ROW()-25),"")</f>
        <v/>
      </c>
      <c r="D38">
        <f>IFERROR(INDEX($AA$26:$AA$156,ROW()-25),"")</f>
        <v/>
      </c>
      <c r="E38">
        <f>IFERROR(INDEX($AE$26:$AE$156,ROW()-25),"")</f>
        <v/>
      </c>
      <c r="F38">
        <f>IFERROR(INDEX($AI$26:$AI$156,ROW()-25),"")</f>
        <v/>
      </c>
    </row>
    <row r="39">
      <c r="A39" s="43">
        <f>IFERROR(INDEX($R$26:$R$156,ROW()-25),"")</f>
        <v/>
      </c>
      <c r="B39">
        <f>IFERROR(INDEX($S$26:$S$156,ROW()-25),"")</f>
        <v/>
      </c>
      <c r="C39">
        <f>IFERROR(INDEX($W$26:$W$156,ROW()-25),"")</f>
        <v/>
      </c>
      <c r="D39">
        <f>IFERROR(INDEX($AA$26:$AA$156,ROW()-25),"")</f>
        <v/>
      </c>
      <c r="E39">
        <f>IFERROR(INDEX($AE$26:$AE$156,ROW()-25),"")</f>
        <v/>
      </c>
      <c r="F39">
        <f>IFERROR(INDEX($AI$26:$AI$156,ROW()-25),"")</f>
        <v/>
      </c>
    </row>
    <row r="40">
      <c r="A40" s="43">
        <f>IFERROR(INDEX($R$26:$R$156,ROW()-25),"")</f>
        <v/>
      </c>
      <c r="B40">
        <f>IFERROR(INDEX($S$26:$S$156,ROW()-25),"")</f>
        <v/>
      </c>
      <c r="C40">
        <f>IFERROR(INDEX($W$26:$W$156,ROW()-25),"")</f>
        <v/>
      </c>
      <c r="D40">
        <f>IFERROR(INDEX($AA$26:$AA$156,ROW()-25),"")</f>
        <v/>
      </c>
      <c r="E40">
        <f>IFERROR(INDEX($AE$26:$AE$156,ROW()-25),"")</f>
        <v/>
      </c>
      <c r="F40">
        <f>IFERROR(INDEX($AI$26:$AI$156,ROW()-25),"")</f>
        <v/>
      </c>
    </row>
    <row r="41">
      <c r="A41" s="43">
        <f>IFERROR(INDEX($R$26:$R$156,ROW()-25),"")</f>
        <v/>
      </c>
      <c r="B41">
        <f>IFERROR(INDEX($S$26:$S$156,ROW()-25),"")</f>
        <v/>
      </c>
      <c r="C41">
        <f>IFERROR(INDEX($W$26:$W$156,ROW()-25),"")</f>
        <v/>
      </c>
      <c r="D41">
        <f>IFERROR(INDEX($AA$26:$AA$156,ROW()-25),"")</f>
        <v/>
      </c>
      <c r="E41">
        <f>IFERROR(INDEX($AE$26:$AE$156,ROW()-25),"")</f>
        <v/>
      </c>
      <c r="F41">
        <f>IFERROR(INDEX($AI$26:$AI$156,ROW()-25),"")</f>
        <v/>
      </c>
    </row>
    <row r="42">
      <c r="A42" s="43">
        <f>IFERROR(INDEX($R$26:$R$156,ROW()-25),"")</f>
        <v/>
      </c>
      <c r="B42">
        <f>IFERROR(INDEX($S$26:$S$156,ROW()-25),"")</f>
        <v/>
      </c>
      <c r="C42">
        <f>IFERROR(INDEX($W$26:$W$156,ROW()-25),"")</f>
        <v/>
      </c>
      <c r="D42">
        <f>IFERROR(INDEX($AA$26:$AA$156,ROW()-25),"")</f>
        <v/>
      </c>
      <c r="E42">
        <f>IFERROR(INDEX($AE$26:$AE$156,ROW()-25),"")</f>
        <v/>
      </c>
      <c r="F42">
        <f>IFERROR(INDEX($AI$26:$AI$156,ROW()-25),"")</f>
        <v/>
      </c>
    </row>
    <row r="43">
      <c r="A43" s="43">
        <f>IFERROR(INDEX($R$26:$R$156,ROW()-25),"")</f>
        <v/>
      </c>
      <c r="B43">
        <f>IFERROR(INDEX($S$26:$S$156,ROW()-25),"")</f>
        <v/>
      </c>
      <c r="C43">
        <f>IFERROR(INDEX($W$26:$W$156,ROW()-25),"")</f>
        <v/>
      </c>
      <c r="D43">
        <f>IFERROR(INDEX($AA$26:$AA$156,ROW()-25),"")</f>
        <v/>
      </c>
      <c r="E43">
        <f>IFERROR(INDEX($AE$26:$AE$156,ROW()-25),"")</f>
        <v/>
      </c>
      <c r="F43">
        <f>IFERROR(INDEX($AI$26:$AI$156,ROW()-25),"")</f>
        <v/>
      </c>
    </row>
    <row r="44">
      <c r="A44" s="43">
        <f>IFERROR(INDEX($R$26:$R$156,ROW()-25),"")</f>
        <v/>
      </c>
      <c r="B44">
        <f>IFERROR(INDEX($S$26:$S$156,ROW()-25),"")</f>
        <v/>
      </c>
      <c r="C44">
        <f>IFERROR(INDEX($W$26:$W$156,ROW()-25),"")</f>
        <v/>
      </c>
      <c r="D44">
        <f>IFERROR(INDEX($AA$26:$AA$156,ROW()-25),"")</f>
        <v/>
      </c>
      <c r="E44">
        <f>IFERROR(INDEX($AE$26:$AE$156,ROW()-25),"")</f>
        <v/>
      </c>
      <c r="F44">
        <f>IFERROR(INDEX($AI$26:$AI$156,ROW()-25),"")</f>
        <v/>
      </c>
    </row>
    <row r="45">
      <c r="A45" s="43">
        <f>IFERROR(INDEX($R$26:$R$156,ROW()-25),"")</f>
        <v/>
      </c>
      <c r="B45">
        <f>IFERROR(INDEX($S$26:$S$156,ROW()-25),"")</f>
        <v/>
      </c>
      <c r="C45">
        <f>IFERROR(INDEX($W$26:$W$156,ROW()-25),"")</f>
        <v/>
      </c>
      <c r="D45">
        <f>IFERROR(INDEX($AA$26:$AA$156,ROW()-25),"")</f>
        <v/>
      </c>
      <c r="E45">
        <f>IFERROR(INDEX($AE$26:$AE$156,ROW()-25),"")</f>
        <v/>
      </c>
      <c r="F45">
        <f>IFERROR(INDEX($AI$26:$AI$156,ROW()-25),"")</f>
        <v/>
      </c>
    </row>
    <row r="46">
      <c r="A46" s="43">
        <f>IFERROR(INDEX($R$26:$R$156,ROW()-25),"")</f>
        <v/>
      </c>
      <c r="B46">
        <f>IFERROR(INDEX($S$26:$S$156,ROW()-25),"")</f>
        <v/>
      </c>
      <c r="C46">
        <f>IFERROR(INDEX($W$26:$W$156,ROW()-25),"")</f>
        <v/>
      </c>
      <c r="D46">
        <f>IFERROR(INDEX($AA$26:$AA$156,ROW()-25),"")</f>
        <v/>
      </c>
      <c r="E46">
        <f>IFERROR(INDEX($AE$26:$AE$156,ROW()-25),"")</f>
        <v/>
      </c>
      <c r="F46">
        <f>IFERROR(INDEX($AI$26:$AI$156,ROW()-25),"")</f>
        <v/>
      </c>
    </row>
    <row r="47">
      <c r="A47" s="43">
        <f>IFERROR(INDEX($R$26:$R$156,ROW()-25),"")</f>
        <v/>
      </c>
      <c r="B47">
        <f>IFERROR(INDEX($S$26:$S$156,ROW()-25),"")</f>
        <v/>
      </c>
      <c r="C47">
        <f>IFERROR(INDEX($W$26:$W$156,ROW()-25),"")</f>
        <v/>
      </c>
      <c r="D47">
        <f>IFERROR(INDEX($AA$26:$AA$156,ROW()-25),"")</f>
        <v/>
      </c>
      <c r="E47">
        <f>IFERROR(INDEX($AE$26:$AE$156,ROW()-25),"")</f>
        <v/>
      </c>
      <c r="F47">
        <f>IFERROR(INDEX($AI$26:$AI$156,ROW()-25),"")</f>
        <v/>
      </c>
    </row>
    <row r="48">
      <c r="A48" s="43">
        <f>IFERROR(INDEX($R$26:$R$156,ROW()-25),"")</f>
        <v/>
      </c>
      <c r="B48">
        <f>IFERROR(INDEX($S$26:$S$156,ROW()-25),"")</f>
        <v/>
      </c>
      <c r="C48">
        <f>IFERROR(INDEX($W$26:$W$156,ROW()-25),"")</f>
        <v/>
      </c>
      <c r="D48">
        <f>IFERROR(INDEX($AA$26:$AA$156,ROW()-25),"")</f>
        <v/>
      </c>
      <c r="E48">
        <f>IFERROR(INDEX($AE$26:$AE$156,ROW()-25),"")</f>
        <v/>
      </c>
      <c r="F48">
        <f>IFERROR(INDEX($AI$26:$AI$156,ROW()-25),"")</f>
        <v/>
      </c>
    </row>
    <row r="49">
      <c r="A49" s="43">
        <f>IFERROR(INDEX($R$26:$R$156,ROW()-25),"")</f>
        <v/>
      </c>
      <c r="B49">
        <f>IFERROR(INDEX($S$26:$S$156,ROW()-25),"")</f>
        <v/>
      </c>
      <c r="C49">
        <f>IFERROR(INDEX($W$26:$W$156,ROW()-25),"")</f>
        <v/>
      </c>
      <c r="D49">
        <f>IFERROR(INDEX($AA$26:$AA$156,ROW()-25),"")</f>
        <v/>
      </c>
      <c r="E49">
        <f>IFERROR(INDEX($AE$26:$AE$156,ROW()-25),"")</f>
        <v/>
      </c>
      <c r="F49">
        <f>IFERROR(INDEX($AI$26:$AI$156,ROW()-25),"")</f>
        <v/>
      </c>
    </row>
    <row r="50">
      <c r="A50" s="43">
        <f>IFERROR(INDEX($R$26:$R$156,ROW()-25),"")</f>
        <v/>
      </c>
      <c r="B50">
        <f>IFERROR(INDEX($S$26:$S$156,ROW()-25),"")</f>
        <v/>
      </c>
      <c r="C50">
        <f>IFERROR(INDEX($W$26:$W$156,ROW()-25),"")</f>
        <v/>
      </c>
      <c r="D50">
        <f>IFERROR(INDEX($AA$26:$AA$156,ROW()-25),"")</f>
        <v/>
      </c>
      <c r="E50">
        <f>IFERROR(INDEX($AE$26:$AE$156,ROW()-25),"")</f>
        <v/>
      </c>
      <c r="F50">
        <f>IFERROR(INDEX($AI$26:$AI$156,ROW()-25),"")</f>
        <v/>
      </c>
    </row>
    <row r="51">
      <c r="A51" s="43">
        <f>IFERROR(INDEX($R$26:$R$156,ROW()-25),"")</f>
        <v/>
      </c>
      <c r="B51">
        <f>IFERROR(INDEX($S$26:$S$156,ROW()-25),"")</f>
        <v/>
      </c>
      <c r="C51">
        <f>IFERROR(INDEX($W$26:$W$156,ROW()-25),"")</f>
        <v/>
      </c>
      <c r="D51">
        <f>IFERROR(INDEX($AA$26:$AA$156,ROW()-25),"")</f>
        <v/>
      </c>
      <c r="E51">
        <f>IFERROR(INDEX($AE$26:$AE$156,ROW()-25),"")</f>
        <v/>
      </c>
      <c r="F51">
        <f>IFERROR(INDEX($AI$26:$AI$156,ROW()-25),"")</f>
        <v/>
      </c>
    </row>
    <row r="52">
      <c r="A52" s="43">
        <f>IFERROR(INDEX($R$26:$R$156,ROW()-25),"")</f>
        <v/>
      </c>
      <c r="B52">
        <f>IFERROR(INDEX($S$26:$S$156,ROW()-25),"")</f>
        <v/>
      </c>
      <c r="C52">
        <f>IFERROR(INDEX($W$26:$W$156,ROW()-25),"")</f>
        <v/>
      </c>
      <c r="D52">
        <f>IFERROR(INDEX($AA$26:$AA$156,ROW()-25),"")</f>
        <v/>
      </c>
      <c r="E52">
        <f>IFERROR(INDEX($AE$26:$AE$156,ROW()-25),"")</f>
        <v/>
      </c>
      <c r="F52">
        <f>IFERROR(INDEX($AI$26:$AI$156,ROW()-25),"")</f>
        <v/>
      </c>
    </row>
    <row r="53">
      <c r="A53" s="43">
        <f>IFERROR(INDEX($R$26:$R$156,ROW()-25),"")</f>
        <v/>
      </c>
      <c r="B53">
        <f>IFERROR(INDEX($S$26:$S$156,ROW()-25),"")</f>
        <v/>
      </c>
      <c r="C53">
        <f>IFERROR(INDEX($W$26:$W$156,ROW()-25),"")</f>
        <v/>
      </c>
      <c r="D53">
        <f>IFERROR(INDEX($AA$26:$AA$156,ROW()-25),"")</f>
        <v/>
      </c>
      <c r="E53">
        <f>IFERROR(INDEX($AE$26:$AE$156,ROW()-25),"")</f>
        <v/>
      </c>
      <c r="F53">
        <f>IFERROR(INDEX($AI$26:$AI$156,ROW()-25),"")</f>
        <v/>
      </c>
    </row>
    <row r="54">
      <c r="A54" s="43">
        <f>IFERROR(INDEX($R$26:$R$156,ROW()-25),"")</f>
        <v/>
      </c>
      <c r="B54">
        <f>IFERROR(INDEX($S$26:$S$156,ROW()-25),"")</f>
        <v/>
      </c>
      <c r="C54">
        <f>IFERROR(INDEX($W$26:$W$156,ROW()-25),"")</f>
        <v/>
      </c>
      <c r="D54">
        <f>IFERROR(INDEX($AA$26:$AA$156,ROW()-25),"")</f>
        <v/>
      </c>
      <c r="E54">
        <f>IFERROR(INDEX($AE$26:$AE$156,ROW()-25),"")</f>
        <v/>
      </c>
      <c r="F54">
        <f>IFERROR(INDEX($AI$26:$AI$156,ROW()-25),"")</f>
        <v/>
      </c>
    </row>
    <row r="55">
      <c r="A55" s="43">
        <f>IFERROR(INDEX($R$26:$R$156,ROW()-25),"")</f>
        <v/>
      </c>
      <c r="B55">
        <f>IFERROR(INDEX($S$26:$S$156,ROW()-25),"")</f>
        <v/>
      </c>
      <c r="C55">
        <f>IFERROR(INDEX($W$26:$W$156,ROW()-25),"")</f>
        <v/>
      </c>
      <c r="D55">
        <f>IFERROR(INDEX($AA$26:$AA$156,ROW()-25),"")</f>
        <v/>
      </c>
      <c r="E55">
        <f>IFERROR(INDEX($AE$26:$AE$156,ROW()-25),"")</f>
        <v/>
      </c>
      <c r="F55">
        <f>IFERROR(INDEX($AI$26:$AI$156,ROW()-25),"")</f>
        <v/>
      </c>
    </row>
    <row r="56">
      <c r="A56" s="43">
        <f>IFERROR(INDEX($R$26:$R$156,ROW()-25),"")</f>
        <v/>
      </c>
      <c r="B56">
        <f>IFERROR(INDEX($S$26:$S$156,ROW()-25),"")</f>
        <v/>
      </c>
      <c r="C56">
        <f>IFERROR(INDEX($W$26:$W$156,ROW()-25),"")</f>
        <v/>
      </c>
      <c r="D56">
        <f>IFERROR(INDEX($AA$26:$AA$156,ROW()-25),"")</f>
        <v/>
      </c>
      <c r="E56">
        <f>IFERROR(INDEX($AE$26:$AE$156,ROW()-25),"")</f>
        <v/>
      </c>
      <c r="F56">
        <f>IFERROR(INDEX($AI$26:$AI$156,ROW()-25),"")</f>
        <v/>
      </c>
    </row>
    <row r="57">
      <c r="A57" s="43">
        <f>IFERROR(INDEX($R$26:$R$156,ROW()-25),"")</f>
        <v/>
      </c>
      <c r="B57">
        <f>IFERROR(INDEX($S$26:$S$156,ROW()-25),"")</f>
        <v/>
      </c>
      <c r="C57">
        <f>IFERROR(INDEX($W$26:$W$156,ROW()-25),"")</f>
        <v/>
      </c>
      <c r="D57">
        <f>IFERROR(INDEX($AA$26:$AA$156,ROW()-25),"")</f>
        <v/>
      </c>
      <c r="E57">
        <f>IFERROR(INDEX($AE$26:$AE$156,ROW()-25),"")</f>
        <v/>
      </c>
      <c r="F57">
        <f>IFERROR(INDEX($AI$26:$AI$156,ROW()-25),"")</f>
        <v/>
      </c>
    </row>
    <row r="58">
      <c r="A58" s="43">
        <f>IFERROR(INDEX($R$26:$R$156,ROW()-25),"")</f>
        <v/>
      </c>
      <c r="B58">
        <f>IFERROR(INDEX($S$26:$S$156,ROW()-25),"")</f>
        <v/>
      </c>
      <c r="C58">
        <f>IFERROR(INDEX($W$26:$W$156,ROW()-25),"")</f>
        <v/>
      </c>
      <c r="D58">
        <f>IFERROR(INDEX($AA$26:$AA$156,ROW()-25),"")</f>
        <v/>
      </c>
      <c r="E58">
        <f>IFERROR(INDEX($AE$26:$AE$156,ROW()-25),"")</f>
        <v/>
      </c>
      <c r="F58">
        <f>IFERROR(INDEX($AI$26:$AI$156,ROW()-25),"")</f>
        <v/>
      </c>
    </row>
    <row r="59">
      <c r="A59" s="43">
        <f>IFERROR(INDEX($R$26:$R$156,ROW()-25),"")</f>
        <v/>
      </c>
      <c r="B59">
        <f>IFERROR(INDEX($S$26:$S$156,ROW()-25),"")</f>
        <v/>
      </c>
      <c r="C59">
        <f>IFERROR(INDEX($W$26:$W$156,ROW()-25),"")</f>
        <v/>
      </c>
      <c r="D59">
        <f>IFERROR(INDEX($AA$26:$AA$156,ROW()-25),"")</f>
        <v/>
      </c>
      <c r="E59">
        <f>IFERROR(INDEX($AE$26:$AE$156,ROW()-25),"")</f>
        <v/>
      </c>
      <c r="F59">
        <f>IFERROR(INDEX($AI$26:$AI$156,ROW()-25),"")</f>
        <v/>
      </c>
    </row>
    <row r="60">
      <c r="A60" s="43">
        <f>IFERROR(INDEX($R$26:$R$156,ROW()-25),"")</f>
        <v/>
      </c>
      <c r="B60">
        <f>IFERROR(INDEX($S$26:$S$156,ROW()-25),"")</f>
        <v/>
      </c>
      <c r="C60">
        <f>IFERROR(INDEX($W$26:$W$156,ROW()-25),"")</f>
        <v/>
      </c>
      <c r="D60">
        <f>IFERROR(INDEX($AA$26:$AA$156,ROW()-25),"")</f>
        <v/>
      </c>
      <c r="E60">
        <f>IFERROR(INDEX($AE$26:$AE$156,ROW()-25),"")</f>
        <v/>
      </c>
      <c r="F60">
        <f>IFERROR(INDEX($AI$26:$AI$156,ROW()-25),"")</f>
        <v/>
      </c>
    </row>
    <row r="61">
      <c r="A61" s="43">
        <f>IFERROR(INDEX($R$26:$R$156,ROW()-25),"")</f>
        <v/>
      </c>
      <c r="B61">
        <f>IFERROR(INDEX($S$26:$S$156,ROW()-25),"")</f>
        <v/>
      </c>
      <c r="C61">
        <f>IFERROR(INDEX($W$26:$W$156,ROW()-25),"")</f>
        <v/>
      </c>
      <c r="D61">
        <f>IFERROR(INDEX($AA$26:$AA$156,ROW()-25),"")</f>
        <v/>
      </c>
      <c r="E61">
        <f>IFERROR(INDEX($AE$26:$AE$156,ROW()-25),"")</f>
        <v/>
      </c>
      <c r="F61">
        <f>IFERROR(INDEX($AI$26:$AI$156,ROW()-25),"")</f>
        <v/>
      </c>
    </row>
    <row r="62">
      <c r="A62" s="43">
        <f>IFERROR(INDEX($R$26:$R$156,ROW()-25),"")</f>
        <v/>
      </c>
      <c r="B62">
        <f>IFERROR(INDEX($S$26:$S$156,ROW()-25),"")</f>
        <v/>
      </c>
      <c r="C62">
        <f>IFERROR(INDEX($W$26:$W$156,ROW()-25),"")</f>
        <v/>
      </c>
      <c r="D62">
        <f>IFERROR(INDEX($AA$26:$AA$156,ROW()-25),"")</f>
        <v/>
      </c>
      <c r="E62">
        <f>IFERROR(INDEX($AE$26:$AE$156,ROW()-25),"")</f>
        <v/>
      </c>
      <c r="F62">
        <f>IFERROR(INDEX($AI$26:$AI$156,ROW()-25),"")</f>
        <v/>
      </c>
    </row>
    <row r="63">
      <c r="A63" s="43">
        <f>IFERROR(INDEX($R$26:$R$156,ROW()-25),"")</f>
        <v/>
      </c>
      <c r="B63">
        <f>IFERROR(INDEX($S$26:$S$156,ROW()-25),"")</f>
        <v/>
      </c>
      <c r="C63">
        <f>IFERROR(INDEX($W$26:$W$156,ROW()-25),"")</f>
        <v/>
      </c>
      <c r="D63">
        <f>IFERROR(INDEX($AA$26:$AA$156,ROW()-25),"")</f>
        <v/>
      </c>
      <c r="E63">
        <f>IFERROR(INDEX($AE$26:$AE$156,ROW()-25),"")</f>
        <v/>
      </c>
      <c r="F63">
        <f>IFERROR(INDEX($AI$26:$AI$156,ROW()-25),"")</f>
        <v/>
      </c>
    </row>
    <row r="64">
      <c r="A64" s="43">
        <f>IFERROR(INDEX($R$26:$R$156,ROW()-25),"")</f>
        <v/>
      </c>
      <c r="B64">
        <f>IFERROR(INDEX($S$26:$S$156,ROW()-25),"")</f>
        <v/>
      </c>
      <c r="C64">
        <f>IFERROR(INDEX($W$26:$W$156,ROW()-25),"")</f>
        <v/>
      </c>
      <c r="D64">
        <f>IFERROR(INDEX($AA$26:$AA$156,ROW()-25),"")</f>
        <v/>
      </c>
      <c r="E64">
        <f>IFERROR(INDEX($AE$26:$AE$156,ROW()-25),"")</f>
        <v/>
      </c>
      <c r="F64">
        <f>IFERROR(INDEX($AI$26:$AI$156,ROW()-25),"")</f>
        <v/>
      </c>
    </row>
    <row r="65">
      <c r="A65" s="43">
        <f>IFERROR(INDEX($R$26:$R$156,ROW()-25),"")</f>
        <v/>
      </c>
      <c r="B65">
        <f>IFERROR(INDEX($S$26:$S$156,ROW()-25),"")</f>
        <v/>
      </c>
      <c r="C65">
        <f>IFERROR(INDEX($W$26:$W$156,ROW()-25),"")</f>
        <v/>
      </c>
      <c r="D65">
        <f>IFERROR(INDEX($AA$26:$AA$156,ROW()-25),"")</f>
        <v/>
      </c>
      <c r="E65">
        <f>IFERROR(INDEX($AE$26:$AE$156,ROW()-25),"")</f>
        <v/>
      </c>
      <c r="F65">
        <f>IFERROR(INDEX($AI$26:$AI$156,ROW()-25),"")</f>
        <v/>
      </c>
    </row>
    <row r="66">
      <c r="A66" s="43">
        <f>IFERROR(INDEX($R$26:$R$156,ROW()-25),"")</f>
        <v/>
      </c>
      <c r="B66">
        <f>IFERROR(INDEX($S$26:$S$156,ROW()-25),"")</f>
        <v/>
      </c>
      <c r="C66">
        <f>IFERROR(INDEX($W$26:$W$156,ROW()-25),"")</f>
        <v/>
      </c>
      <c r="D66">
        <f>IFERROR(INDEX($AA$26:$AA$156,ROW()-25),"")</f>
        <v/>
      </c>
      <c r="E66">
        <f>IFERROR(INDEX($AE$26:$AE$156,ROW()-25),"")</f>
        <v/>
      </c>
      <c r="F66">
        <f>IFERROR(INDEX($AI$26:$AI$156,ROW()-25),"")</f>
        <v/>
      </c>
    </row>
    <row r="67">
      <c r="A67" s="43">
        <f>IFERROR(INDEX($R$26:$R$156,ROW()-25),"")</f>
        <v/>
      </c>
      <c r="B67">
        <f>IFERROR(INDEX($S$26:$S$156,ROW()-25),"")</f>
        <v/>
      </c>
      <c r="C67">
        <f>IFERROR(INDEX($W$26:$W$156,ROW()-25),"")</f>
        <v/>
      </c>
      <c r="D67">
        <f>IFERROR(INDEX($AA$26:$AA$156,ROW()-25),"")</f>
        <v/>
      </c>
      <c r="E67">
        <f>IFERROR(INDEX($AE$26:$AE$156,ROW()-25),"")</f>
        <v/>
      </c>
      <c r="F67">
        <f>IFERROR(INDEX($AI$26:$AI$156,ROW()-25),"")</f>
        <v/>
      </c>
    </row>
    <row r="68">
      <c r="A68" s="43">
        <f>IFERROR(INDEX($R$26:$R$156,ROW()-25),"")</f>
        <v/>
      </c>
      <c r="B68">
        <f>IFERROR(INDEX($S$26:$S$156,ROW()-25),"")</f>
        <v/>
      </c>
      <c r="C68">
        <f>IFERROR(INDEX($W$26:$W$156,ROW()-25),"")</f>
        <v/>
      </c>
      <c r="D68">
        <f>IFERROR(INDEX($AA$26:$AA$156,ROW()-25),"")</f>
        <v/>
      </c>
      <c r="E68">
        <f>IFERROR(INDEX($AE$26:$AE$156,ROW()-25),"")</f>
        <v/>
      </c>
      <c r="F68">
        <f>IFERROR(INDEX($AI$26:$AI$156,ROW()-25),"")</f>
        <v/>
      </c>
    </row>
    <row r="69">
      <c r="A69" s="43">
        <f>IFERROR(INDEX($R$26:$R$156,ROW()-25),"")</f>
        <v/>
      </c>
      <c r="B69">
        <f>IFERROR(INDEX($S$26:$S$156,ROW()-25),"")</f>
        <v/>
      </c>
      <c r="C69">
        <f>IFERROR(INDEX($W$26:$W$156,ROW()-25),"")</f>
        <v/>
      </c>
      <c r="D69">
        <f>IFERROR(INDEX($AA$26:$AA$156,ROW()-25),"")</f>
        <v/>
      </c>
      <c r="E69">
        <f>IFERROR(INDEX($AE$26:$AE$156,ROW()-25),"")</f>
        <v/>
      </c>
      <c r="F69">
        <f>IFERROR(INDEX($AI$26:$AI$156,ROW()-25),"")</f>
        <v/>
      </c>
    </row>
    <row r="70">
      <c r="A70" s="43">
        <f>IFERROR(INDEX($R$26:$R$156,ROW()-25),"")</f>
        <v/>
      </c>
      <c r="B70">
        <f>IFERROR(INDEX($S$26:$S$156,ROW()-25),"")</f>
        <v/>
      </c>
      <c r="C70">
        <f>IFERROR(INDEX($W$26:$W$156,ROW()-25),"")</f>
        <v/>
      </c>
      <c r="D70">
        <f>IFERROR(INDEX($AA$26:$AA$156,ROW()-25),"")</f>
        <v/>
      </c>
      <c r="E70">
        <f>IFERROR(INDEX($AE$26:$AE$156,ROW()-25),"")</f>
        <v/>
      </c>
      <c r="F70">
        <f>IFERROR(INDEX($AI$26:$AI$156,ROW()-25),"")</f>
        <v/>
      </c>
    </row>
    <row r="71">
      <c r="A71" s="43">
        <f>IFERROR(INDEX($R$26:$R$156,ROW()-25),"")</f>
        <v/>
      </c>
      <c r="B71">
        <f>IFERROR(INDEX($S$26:$S$156,ROW()-25),"")</f>
        <v/>
      </c>
      <c r="C71">
        <f>IFERROR(INDEX($W$26:$W$156,ROW()-25),"")</f>
        <v/>
      </c>
      <c r="D71">
        <f>IFERROR(INDEX($AA$26:$AA$156,ROW()-25),"")</f>
        <v/>
      </c>
      <c r="E71">
        <f>IFERROR(INDEX($AE$26:$AE$156,ROW()-25),"")</f>
        <v/>
      </c>
      <c r="F71">
        <f>IFERROR(INDEX($AI$26:$AI$156,ROW()-25),"")</f>
        <v/>
      </c>
    </row>
    <row r="72">
      <c r="A72" s="43">
        <f>IFERROR(INDEX($R$26:$R$156,ROW()-25),"")</f>
        <v/>
      </c>
      <c r="B72">
        <f>IFERROR(INDEX($S$26:$S$156,ROW()-25),"")</f>
        <v/>
      </c>
      <c r="C72">
        <f>IFERROR(INDEX($W$26:$W$156,ROW()-25),"")</f>
        <v/>
      </c>
      <c r="D72">
        <f>IFERROR(INDEX($AA$26:$AA$156,ROW()-25),"")</f>
        <v/>
      </c>
      <c r="E72">
        <f>IFERROR(INDEX($AE$26:$AE$156,ROW()-25),"")</f>
        <v/>
      </c>
      <c r="F72">
        <f>IFERROR(INDEX($AI$26:$AI$156,ROW()-25),"")</f>
        <v/>
      </c>
    </row>
    <row r="73">
      <c r="A73" s="43">
        <f>IFERROR(INDEX($R$26:$R$156,ROW()-25),"")</f>
        <v/>
      </c>
      <c r="B73">
        <f>IFERROR(INDEX($S$26:$S$156,ROW()-25),"")</f>
        <v/>
      </c>
      <c r="C73">
        <f>IFERROR(INDEX($W$26:$W$156,ROW()-25),"")</f>
        <v/>
      </c>
      <c r="D73">
        <f>IFERROR(INDEX($AA$26:$AA$156,ROW()-25),"")</f>
        <v/>
      </c>
      <c r="E73">
        <f>IFERROR(INDEX($AE$26:$AE$156,ROW()-25),"")</f>
        <v/>
      </c>
      <c r="F73">
        <f>IFERROR(INDEX($AI$26:$AI$156,ROW()-25),"")</f>
        <v/>
      </c>
    </row>
    <row r="74">
      <c r="A74" s="43">
        <f>IFERROR(INDEX($R$26:$R$156,ROW()-25),"")</f>
        <v/>
      </c>
      <c r="B74">
        <f>IFERROR(INDEX($S$26:$S$156,ROW()-25),"")</f>
        <v/>
      </c>
      <c r="C74">
        <f>IFERROR(INDEX($W$26:$W$156,ROW()-25),"")</f>
        <v/>
      </c>
      <c r="D74">
        <f>IFERROR(INDEX($AA$26:$AA$156,ROW()-25),"")</f>
        <v/>
      </c>
      <c r="E74">
        <f>IFERROR(INDEX($AE$26:$AE$156,ROW()-25),"")</f>
        <v/>
      </c>
      <c r="F74">
        <f>IFERROR(INDEX($AI$26:$AI$156,ROW()-25),"")</f>
        <v/>
      </c>
    </row>
    <row r="75">
      <c r="A75" s="43">
        <f>IFERROR(INDEX($R$26:$R$156,ROW()-25),"")</f>
        <v/>
      </c>
      <c r="B75">
        <f>IFERROR(INDEX($S$26:$S$156,ROW()-25),"")</f>
        <v/>
      </c>
      <c r="C75">
        <f>IFERROR(INDEX($W$26:$W$156,ROW()-25),"")</f>
        <v/>
      </c>
      <c r="D75">
        <f>IFERROR(INDEX($AA$26:$AA$156,ROW()-25),"")</f>
        <v/>
      </c>
      <c r="E75">
        <f>IFERROR(INDEX($AE$26:$AE$156,ROW()-25),"")</f>
        <v/>
      </c>
      <c r="F75">
        <f>IFERROR(INDEX($AI$26:$AI$156,ROW()-25),"")</f>
        <v/>
      </c>
    </row>
    <row r="76">
      <c r="A76" s="43">
        <f>IFERROR(INDEX($R$26:$R$156,ROW()-25),"")</f>
        <v/>
      </c>
      <c r="B76">
        <f>IFERROR(INDEX($S$26:$S$156,ROW()-25),"")</f>
        <v/>
      </c>
      <c r="C76">
        <f>IFERROR(INDEX($W$26:$W$156,ROW()-25),"")</f>
        <v/>
      </c>
      <c r="D76">
        <f>IFERROR(INDEX($AA$26:$AA$156,ROW()-25),"")</f>
        <v/>
      </c>
      <c r="E76">
        <f>IFERROR(INDEX($AE$26:$AE$156,ROW()-25),"")</f>
        <v/>
      </c>
      <c r="F76">
        <f>IFERROR(INDEX($AI$26:$AI$156,ROW()-25),"")</f>
        <v/>
      </c>
    </row>
    <row r="77">
      <c r="A77" s="43">
        <f>IFERROR(INDEX($R$26:$R$156,ROW()-25),"")</f>
        <v/>
      </c>
      <c r="B77">
        <f>IFERROR(INDEX($S$26:$S$156,ROW()-25),"")</f>
        <v/>
      </c>
      <c r="C77">
        <f>IFERROR(INDEX($W$26:$W$156,ROW()-25),"")</f>
        <v/>
      </c>
      <c r="D77">
        <f>IFERROR(INDEX($AA$26:$AA$156,ROW()-25),"")</f>
        <v/>
      </c>
      <c r="E77">
        <f>IFERROR(INDEX($AE$26:$AE$156,ROW()-25),"")</f>
        <v/>
      </c>
      <c r="F77">
        <f>IFERROR(INDEX($AI$26:$AI$156,ROW()-25),"")</f>
        <v/>
      </c>
    </row>
    <row r="78">
      <c r="A78" s="43">
        <f>IFERROR(INDEX($R$26:$R$156,ROW()-25),"")</f>
        <v/>
      </c>
      <c r="B78">
        <f>IFERROR(INDEX($S$26:$S$156,ROW()-25),"")</f>
        <v/>
      </c>
      <c r="C78">
        <f>IFERROR(INDEX($W$26:$W$156,ROW()-25),"")</f>
        <v/>
      </c>
      <c r="D78">
        <f>IFERROR(INDEX($AA$26:$AA$156,ROW()-25),"")</f>
        <v/>
      </c>
      <c r="E78">
        <f>IFERROR(INDEX($AE$26:$AE$156,ROW()-25),"")</f>
        <v/>
      </c>
      <c r="F78">
        <f>IFERROR(INDEX($AI$26:$AI$156,ROW()-25),"")</f>
        <v/>
      </c>
    </row>
    <row r="79">
      <c r="A79" s="43">
        <f>IFERROR(INDEX($R$26:$R$156,ROW()-25),"")</f>
        <v/>
      </c>
      <c r="B79">
        <f>IFERROR(INDEX($S$26:$S$156,ROW()-25),"")</f>
        <v/>
      </c>
      <c r="C79">
        <f>IFERROR(INDEX($W$26:$W$156,ROW()-25),"")</f>
        <v/>
      </c>
      <c r="D79">
        <f>IFERROR(INDEX($AA$26:$AA$156,ROW()-25),"")</f>
        <v/>
      </c>
      <c r="E79">
        <f>IFERROR(INDEX($AE$26:$AE$156,ROW()-25),"")</f>
        <v/>
      </c>
      <c r="F79">
        <f>IFERROR(INDEX($AI$26:$AI$156,ROW()-25),"")</f>
        <v/>
      </c>
    </row>
    <row r="80">
      <c r="A80" s="43">
        <f>IFERROR(INDEX($R$26:$R$156,ROW()-25),"")</f>
        <v/>
      </c>
      <c r="B80">
        <f>IFERROR(INDEX($S$26:$S$156,ROW()-25),"")</f>
        <v/>
      </c>
      <c r="C80">
        <f>IFERROR(INDEX($W$26:$W$156,ROW()-25),"")</f>
        <v/>
      </c>
      <c r="D80">
        <f>IFERROR(INDEX($AA$26:$AA$156,ROW()-25),"")</f>
        <v/>
      </c>
      <c r="E80">
        <f>IFERROR(INDEX($AE$26:$AE$156,ROW()-25),"")</f>
        <v/>
      </c>
      <c r="F80">
        <f>IFERROR(INDEX($AI$26:$AI$156,ROW()-25),"")</f>
        <v/>
      </c>
    </row>
    <row r="81">
      <c r="A81" s="43">
        <f>IFERROR(INDEX($R$26:$R$156,ROW()-25),"")</f>
        <v/>
      </c>
      <c r="B81">
        <f>IFERROR(INDEX($S$26:$S$156,ROW()-25),"")</f>
        <v/>
      </c>
      <c r="C81">
        <f>IFERROR(INDEX($W$26:$W$156,ROW()-25),"")</f>
        <v/>
      </c>
      <c r="D81">
        <f>IFERROR(INDEX($AA$26:$AA$156,ROW()-25),"")</f>
        <v/>
      </c>
      <c r="E81">
        <f>IFERROR(INDEX($AE$26:$AE$156,ROW()-25),"")</f>
        <v/>
      </c>
      <c r="F81">
        <f>IFERROR(INDEX($AI$26:$AI$156,ROW()-25),"")</f>
        <v/>
      </c>
    </row>
    <row r="82">
      <c r="A82" s="43">
        <f>IFERROR(INDEX($R$26:$R$156,ROW()-25),"")</f>
        <v/>
      </c>
      <c r="B82">
        <f>IFERROR(INDEX($S$26:$S$156,ROW()-25),"")</f>
        <v/>
      </c>
      <c r="C82">
        <f>IFERROR(INDEX($W$26:$W$156,ROW()-25),"")</f>
        <v/>
      </c>
      <c r="D82">
        <f>IFERROR(INDEX($AA$26:$AA$156,ROW()-25),"")</f>
        <v/>
      </c>
      <c r="E82">
        <f>IFERROR(INDEX($AE$26:$AE$156,ROW()-25),"")</f>
        <v/>
      </c>
      <c r="F82">
        <f>IFERROR(INDEX($AI$26:$AI$156,ROW()-25),"")</f>
        <v/>
      </c>
    </row>
    <row r="83">
      <c r="A83" s="43">
        <f>IFERROR(INDEX($R$26:$R$156,ROW()-25),"")</f>
        <v/>
      </c>
      <c r="B83">
        <f>IFERROR(INDEX($S$26:$S$156,ROW()-25),"")</f>
        <v/>
      </c>
      <c r="C83">
        <f>IFERROR(INDEX($W$26:$W$156,ROW()-25),"")</f>
        <v/>
      </c>
      <c r="D83">
        <f>IFERROR(INDEX($AA$26:$AA$156,ROW()-25),"")</f>
        <v/>
      </c>
      <c r="E83">
        <f>IFERROR(INDEX($AE$26:$AE$156,ROW()-25),"")</f>
        <v/>
      </c>
      <c r="F83">
        <f>IFERROR(INDEX($AI$26:$AI$156,ROW()-25),"")</f>
        <v/>
      </c>
    </row>
    <row r="84">
      <c r="A84" s="43">
        <f>IFERROR(INDEX($R$26:$R$156,ROW()-25),"")</f>
        <v/>
      </c>
      <c r="B84">
        <f>IFERROR(INDEX($S$26:$S$156,ROW()-25),"")</f>
        <v/>
      </c>
      <c r="C84">
        <f>IFERROR(INDEX($W$26:$W$156,ROW()-25),"")</f>
        <v/>
      </c>
      <c r="D84">
        <f>IFERROR(INDEX($AA$26:$AA$156,ROW()-25),"")</f>
        <v/>
      </c>
      <c r="E84">
        <f>IFERROR(INDEX($AE$26:$AE$156,ROW()-25),"")</f>
        <v/>
      </c>
      <c r="F84">
        <f>IFERROR(INDEX($AI$26:$AI$156,ROW()-25),"")</f>
        <v/>
      </c>
    </row>
    <row r="85">
      <c r="A85" s="43">
        <f>IFERROR(INDEX($R$26:$R$156,ROW()-25),"")</f>
        <v/>
      </c>
      <c r="B85">
        <f>IFERROR(INDEX($S$26:$S$156,ROW()-25),"")</f>
        <v/>
      </c>
      <c r="C85">
        <f>IFERROR(INDEX($W$26:$W$156,ROW()-25),"")</f>
        <v/>
      </c>
      <c r="D85">
        <f>IFERROR(INDEX($AA$26:$AA$156,ROW()-25),"")</f>
        <v/>
      </c>
      <c r="E85">
        <f>IFERROR(INDEX($AE$26:$AE$156,ROW()-25),"")</f>
        <v/>
      </c>
      <c r="F85">
        <f>IFERROR(INDEX($AI$26:$AI$156,ROW()-25),"")</f>
        <v/>
      </c>
    </row>
    <row r="86">
      <c r="A86" s="43">
        <f>IFERROR(INDEX($R$26:$R$156,ROW()-25),"")</f>
        <v/>
      </c>
      <c r="B86">
        <f>IFERROR(INDEX($S$26:$S$156,ROW()-25),"")</f>
        <v/>
      </c>
      <c r="C86">
        <f>IFERROR(INDEX($W$26:$W$156,ROW()-25),"")</f>
        <v/>
      </c>
      <c r="D86">
        <f>IFERROR(INDEX($AA$26:$AA$156,ROW()-25),"")</f>
        <v/>
      </c>
      <c r="E86">
        <f>IFERROR(INDEX($AE$26:$AE$156,ROW()-25),"")</f>
        <v/>
      </c>
      <c r="F86">
        <f>IFERROR(INDEX($AI$26:$AI$156,ROW()-25),"")</f>
        <v/>
      </c>
    </row>
    <row r="87">
      <c r="A87" s="43">
        <f>IFERROR(INDEX($R$26:$R$156,ROW()-25),"")</f>
        <v/>
      </c>
      <c r="B87">
        <f>IFERROR(INDEX($S$26:$S$156,ROW()-25),"")</f>
        <v/>
      </c>
      <c r="C87">
        <f>IFERROR(INDEX($W$26:$W$156,ROW()-25),"")</f>
        <v/>
      </c>
      <c r="D87">
        <f>IFERROR(INDEX($AA$26:$AA$156,ROW()-25),"")</f>
        <v/>
      </c>
      <c r="E87">
        <f>IFERROR(INDEX($AE$26:$AE$156,ROW()-25),"")</f>
        <v/>
      </c>
      <c r="F87">
        <f>IFERROR(INDEX($AI$26:$AI$156,ROW()-25),"")</f>
        <v/>
      </c>
    </row>
    <row r="88">
      <c r="A88" s="43">
        <f>IFERROR(INDEX($R$26:$R$156,ROW()-25),"")</f>
        <v/>
      </c>
      <c r="B88">
        <f>IFERROR(INDEX($S$26:$S$156,ROW()-25),"")</f>
        <v/>
      </c>
      <c r="C88">
        <f>IFERROR(INDEX($W$26:$W$156,ROW()-25),"")</f>
        <v/>
      </c>
      <c r="D88">
        <f>IFERROR(INDEX($AA$26:$AA$156,ROW()-25),"")</f>
        <v/>
      </c>
      <c r="E88">
        <f>IFERROR(INDEX($AE$26:$AE$156,ROW()-25),"")</f>
        <v/>
      </c>
      <c r="F88">
        <f>IFERROR(INDEX($AI$26:$AI$156,ROW()-25),"")</f>
        <v/>
      </c>
    </row>
    <row r="89">
      <c r="A89" s="43">
        <f>IFERROR(INDEX($R$26:$R$156,ROW()-25),"")</f>
        <v/>
      </c>
      <c r="B89">
        <f>IFERROR(INDEX($S$26:$S$156,ROW()-25),"")</f>
        <v/>
      </c>
      <c r="C89">
        <f>IFERROR(INDEX($W$26:$W$156,ROW()-25),"")</f>
        <v/>
      </c>
      <c r="D89">
        <f>IFERROR(INDEX($AA$26:$AA$156,ROW()-25),"")</f>
        <v/>
      </c>
      <c r="E89">
        <f>IFERROR(INDEX($AE$26:$AE$156,ROW()-25),"")</f>
        <v/>
      </c>
      <c r="F89">
        <f>IFERROR(INDEX($AI$26:$AI$156,ROW()-25),"")</f>
        <v/>
      </c>
    </row>
    <row r="90">
      <c r="A90" s="43">
        <f>IFERROR(INDEX($R$26:$R$156,ROW()-25),"")</f>
        <v/>
      </c>
      <c r="B90">
        <f>IFERROR(INDEX($S$26:$S$156,ROW()-25),"")</f>
        <v/>
      </c>
      <c r="C90">
        <f>IFERROR(INDEX($W$26:$W$156,ROW()-25),"")</f>
        <v/>
      </c>
      <c r="D90">
        <f>IFERROR(INDEX($AA$26:$AA$156,ROW()-25),"")</f>
        <v/>
      </c>
      <c r="E90">
        <f>IFERROR(INDEX($AE$26:$AE$156,ROW()-25),"")</f>
        <v/>
      </c>
      <c r="F90">
        <f>IFERROR(INDEX($AI$26:$AI$156,ROW()-25),"")</f>
        <v/>
      </c>
    </row>
    <row r="91">
      <c r="A91" s="43">
        <f>IFERROR(INDEX($R$26:$R$156,ROW()-25),"")</f>
        <v/>
      </c>
      <c r="B91">
        <f>IFERROR(INDEX($S$26:$S$156,ROW()-25),"")</f>
        <v/>
      </c>
      <c r="C91">
        <f>IFERROR(INDEX($W$26:$W$156,ROW()-25),"")</f>
        <v/>
      </c>
      <c r="D91">
        <f>IFERROR(INDEX($AA$26:$AA$156,ROW()-25),"")</f>
        <v/>
      </c>
      <c r="E91">
        <f>IFERROR(INDEX($AE$26:$AE$156,ROW()-25),"")</f>
        <v/>
      </c>
      <c r="F91">
        <f>IFERROR(INDEX($AI$26:$AI$156,ROW()-25),"")</f>
        <v/>
      </c>
    </row>
    <row r="92">
      <c r="A92" s="43">
        <f>IFERROR(INDEX($R$26:$R$156,ROW()-25),"")</f>
        <v/>
      </c>
      <c r="B92">
        <f>IFERROR(INDEX($S$26:$S$156,ROW()-25),"")</f>
        <v/>
      </c>
      <c r="C92">
        <f>IFERROR(INDEX($W$26:$W$156,ROW()-25),"")</f>
        <v/>
      </c>
      <c r="D92">
        <f>IFERROR(INDEX($AA$26:$AA$156,ROW()-25),"")</f>
        <v/>
      </c>
      <c r="E92">
        <f>IFERROR(INDEX($AE$26:$AE$156,ROW()-25),"")</f>
        <v/>
      </c>
      <c r="F92">
        <f>IFERROR(INDEX($AI$26:$AI$156,ROW()-25),"")</f>
        <v/>
      </c>
    </row>
    <row r="93">
      <c r="A93" s="43">
        <f>IFERROR(INDEX($R$26:$R$156,ROW()-25),"")</f>
        <v/>
      </c>
      <c r="B93">
        <f>IFERROR(INDEX($S$26:$S$156,ROW()-25),"")</f>
        <v/>
      </c>
      <c r="C93">
        <f>IFERROR(INDEX($W$26:$W$156,ROW()-25),"")</f>
        <v/>
      </c>
      <c r="D93">
        <f>IFERROR(INDEX($AA$26:$AA$156,ROW()-25),"")</f>
        <v/>
      </c>
      <c r="E93">
        <f>IFERROR(INDEX($AE$26:$AE$156,ROW()-25),"")</f>
        <v/>
      </c>
      <c r="F93">
        <f>IFERROR(INDEX($AI$26:$AI$156,ROW()-25),"")</f>
        <v/>
      </c>
    </row>
    <row r="94">
      <c r="A94" s="43">
        <f>IFERROR(INDEX($R$26:$R$156,ROW()-25),"")</f>
        <v/>
      </c>
      <c r="B94">
        <f>IFERROR(INDEX($S$26:$S$156,ROW()-25),"")</f>
        <v/>
      </c>
      <c r="C94">
        <f>IFERROR(INDEX($W$26:$W$156,ROW()-25),"")</f>
        <v/>
      </c>
      <c r="D94">
        <f>IFERROR(INDEX($AA$26:$AA$156,ROW()-25),"")</f>
        <v/>
      </c>
      <c r="E94">
        <f>IFERROR(INDEX($AE$26:$AE$156,ROW()-25),"")</f>
        <v/>
      </c>
      <c r="F94">
        <f>IFERROR(INDEX($AI$26:$AI$156,ROW()-25),"")</f>
        <v/>
      </c>
    </row>
    <row r="95">
      <c r="A95" s="43">
        <f>IFERROR(INDEX($R$26:$R$156,ROW()-25),"")</f>
        <v/>
      </c>
      <c r="B95">
        <f>IFERROR(INDEX($S$26:$S$156,ROW()-25),"")</f>
        <v/>
      </c>
      <c r="C95">
        <f>IFERROR(INDEX($W$26:$W$156,ROW()-25),"")</f>
        <v/>
      </c>
      <c r="D95">
        <f>IFERROR(INDEX($AA$26:$AA$156,ROW()-25),"")</f>
        <v/>
      </c>
      <c r="E95">
        <f>IFERROR(INDEX($AE$26:$AE$156,ROW()-25),"")</f>
        <v/>
      </c>
      <c r="F95">
        <f>IFERROR(INDEX($AI$26:$AI$156,ROW()-25),"")</f>
        <v/>
      </c>
    </row>
    <row r="96">
      <c r="A96" s="43">
        <f>IFERROR(INDEX($R$26:$R$156,ROW()-25),"")</f>
        <v/>
      </c>
      <c r="B96">
        <f>IFERROR(INDEX($S$26:$S$156,ROW()-25),"")</f>
        <v/>
      </c>
      <c r="C96">
        <f>IFERROR(INDEX($W$26:$W$156,ROW()-25),"")</f>
        <v/>
      </c>
      <c r="D96">
        <f>IFERROR(INDEX($AA$26:$AA$156,ROW()-25),"")</f>
        <v/>
      </c>
      <c r="E96">
        <f>IFERROR(INDEX($AE$26:$AE$156,ROW()-25),"")</f>
        <v/>
      </c>
      <c r="F96">
        <f>IFERROR(INDEX($AI$26:$AI$156,ROW()-25),"")</f>
        <v/>
      </c>
    </row>
    <row r="97">
      <c r="A97" s="43">
        <f>IFERROR(INDEX($R$26:$R$156,ROW()-25),"")</f>
        <v/>
      </c>
      <c r="B97">
        <f>IFERROR(INDEX($S$26:$S$156,ROW()-25),"")</f>
        <v/>
      </c>
      <c r="C97">
        <f>IFERROR(INDEX($W$26:$W$156,ROW()-25),"")</f>
        <v/>
      </c>
      <c r="D97">
        <f>IFERROR(INDEX($AA$26:$AA$156,ROW()-25),"")</f>
        <v/>
      </c>
      <c r="E97">
        <f>IFERROR(INDEX($AE$26:$AE$156,ROW()-25),"")</f>
        <v/>
      </c>
      <c r="F97">
        <f>IFERROR(INDEX($AI$26:$AI$156,ROW()-25),"")</f>
        <v/>
      </c>
    </row>
    <row r="98">
      <c r="A98" s="43">
        <f>IFERROR(INDEX($R$26:$R$156,ROW()-25),"")</f>
        <v/>
      </c>
      <c r="B98">
        <f>IFERROR(INDEX($S$26:$S$156,ROW()-25),"")</f>
        <v/>
      </c>
      <c r="C98">
        <f>IFERROR(INDEX($W$26:$W$156,ROW()-25),"")</f>
        <v/>
      </c>
      <c r="D98">
        <f>IFERROR(INDEX($AA$26:$AA$156,ROW()-25),"")</f>
        <v/>
      </c>
      <c r="E98">
        <f>IFERROR(INDEX($AE$26:$AE$156,ROW()-25),"")</f>
        <v/>
      </c>
      <c r="F98">
        <f>IFERROR(INDEX($AI$26:$AI$156,ROW()-25),"")</f>
        <v/>
      </c>
    </row>
    <row r="99">
      <c r="A99" s="43">
        <f>IFERROR(INDEX($R$26:$R$156,ROW()-25),"")</f>
        <v/>
      </c>
      <c r="B99">
        <f>IFERROR(INDEX($S$26:$S$156,ROW()-25),"")</f>
        <v/>
      </c>
      <c r="C99">
        <f>IFERROR(INDEX($W$26:$W$156,ROW()-25),"")</f>
        <v/>
      </c>
      <c r="D99">
        <f>IFERROR(INDEX($AA$26:$AA$156,ROW()-25),"")</f>
        <v/>
      </c>
      <c r="E99">
        <f>IFERROR(INDEX($AE$26:$AE$156,ROW()-25),"")</f>
        <v/>
      </c>
      <c r="F99">
        <f>IFERROR(INDEX($AI$26:$AI$156,ROW()-25),"")</f>
        <v/>
      </c>
    </row>
    <row r="100">
      <c r="A100" s="43">
        <f>IFERROR(INDEX($R$26:$R$156,ROW()-25),"")</f>
        <v/>
      </c>
      <c r="B100">
        <f>IFERROR(INDEX($S$26:$S$156,ROW()-25),"")</f>
        <v/>
      </c>
      <c r="C100">
        <f>IFERROR(INDEX($W$26:$W$156,ROW()-25),"")</f>
        <v/>
      </c>
      <c r="D100">
        <f>IFERROR(INDEX($AA$26:$AA$156,ROW()-25),"")</f>
        <v/>
      </c>
      <c r="E100">
        <f>IFERROR(INDEX($AE$26:$AE$156,ROW()-25),"")</f>
        <v/>
      </c>
      <c r="F100">
        <f>IFERROR(INDEX($AI$26:$AI$156,ROW()-25),"")</f>
        <v/>
      </c>
    </row>
    <row r="101">
      <c r="A101" s="43">
        <f>IFERROR(INDEX($R$26:$R$156,ROW()-25),"")</f>
        <v/>
      </c>
      <c r="B101">
        <f>IFERROR(INDEX($S$26:$S$156,ROW()-25),"")</f>
        <v/>
      </c>
      <c r="C101">
        <f>IFERROR(INDEX($W$26:$W$156,ROW()-25),"")</f>
        <v/>
      </c>
      <c r="D101">
        <f>IFERROR(INDEX($AA$26:$AA$156,ROW()-25),"")</f>
        <v/>
      </c>
      <c r="E101">
        <f>IFERROR(INDEX($AE$26:$AE$156,ROW()-25),"")</f>
        <v/>
      </c>
      <c r="F101">
        <f>IFERROR(INDEX($AI$26:$AI$156,ROW()-25),"")</f>
        <v/>
      </c>
    </row>
    <row r="102">
      <c r="A102" s="43">
        <f>IFERROR(INDEX($R$26:$R$156,ROW()-25),"")</f>
        <v/>
      </c>
      <c r="B102">
        <f>IFERROR(INDEX($S$26:$S$156,ROW()-25),"")</f>
        <v/>
      </c>
      <c r="C102">
        <f>IFERROR(INDEX($W$26:$W$156,ROW()-25),"")</f>
        <v/>
      </c>
      <c r="D102">
        <f>IFERROR(INDEX($AA$26:$AA$156,ROW()-25),"")</f>
        <v/>
      </c>
      <c r="E102">
        <f>IFERROR(INDEX($AE$26:$AE$156,ROW()-25),"")</f>
        <v/>
      </c>
      <c r="F102">
        <f>IFERROR(INDEX($AI$26:$AI$156,ROW()-25),"")</f>
        <v/>
      </c>
    </row>
    <row r="103">
      <c r="A103" s="43">
        <f>IFERROR(INDEX($R$26:$R$156,ROW()-25),"")</f>
        <v/>
      </c>
      <c r="B103">
        <f>IFERROR(INDEX($S$26:$S$156,ROW()-25),"")</f>
        <v/>
      </c>
      <c r="C103">
        <f>IFERROR(INDEX($W$26:$W$156,ROW()-25),"")</f>
        <v/>
      </c>
      <c r="D103">
        <f>IFERROR(INDEX($AA$26:$AA$156,ROW()-25),"")</f>
        <v/>
      </c>
      <c r="E103">
        <f>IFERROR(INDEX($AE$26:$AE$156,ROW()-25),"")</f>
        <v/>
      </c>
      <c r="F103">
        <f>IFERROR(INDEX($AI$26:$AI$156,ROW()-25),"")</f>
        <v/>
      </c>
    </row>
    <row r="104">
      <c r="A104" s="43">
        <f>IFERROR(INDEX($R$26:$R$156,ROW()-25),"")</f>
        <v/>
      </c>
      <c r="B104">
        <f>IFERROR(INDEX($S$26:$S$156,ROW()-25),"")</f>
        <v/>
      </c>
      <c r="C104">
        <f>IFERROR(INDEX($W$26:$W$156,ROW()-25),"")</f>
        <v/>
      </c>
      <c r="D104">
        <f>IFERROR(INDEX($AA$26:$AA$156,ROW()-25),"")</f>
        <v/>
      </c>
      <c r="E104">
        <f>IFERROR(INDEX($AE$26:$AE$156,ROW()-25),"")</f>
        <v/>
      </c>
      <c r="F104">
        <f>IFERROR(INDEX($AI$26:$AI$156,ROW()-25),"")</f>
        <v/>
      </c>
    </row>
    <row r="105">
      <c r="A105" s="43">
        <f>IFERROR(INDEX($R$26:$R$156,ROW()-25),"")</f>
        <v/>
      </c>
      <c r="B105">
        <f>IFERROR(INDEX($S$26:$S$156,ROW()-25),"")</f>
        <v/>
      </c>
      <c r="C105">
        <f>IFERROR(INDEX($W$26:$W$156,ROW()-25),"")</f>
        <v/>
      </c>
      <c r="D105">
        <f>IFERROR(INDEX($AA$26:$AA$156,ROW()-25),"")</f>
        <v/>
      </c>
      <c r="E105">
        <f>IFERROR(INDEX($AE$26:$AE$156,ROW()-25),"")</f>
        <v/>
      </c>
      <c r="F105">
        <f>IFERROR(INDEX($AI$26:$AI$156,ROW()-25),"")</f>
        <v/>
      </c>
    </row>
    <row r="106">
      <c r="A106" s="43">
        <f>IFERROR(INDEX($R$26:$R$156,ROW()-25),"")</f>
        <v/>
      </c>
      <c r="B106">
        <f>IFERROR(INDEX($S$26:$S$156,ROW()-25),"")</f>
        <v/>
      </c>
      <c r="C106">
        <f>IFERROR(INDEX($W$26:$W$156,ROW()-25),"")</f>
        <v/>
      </c>
      <c r="D106">
        <f>IFERROR(INDEX($AA$26:$AA$156,ROW()-25),"")</f>
        <v/>
      </c>
      <c r="E106">
        <f>IFERROR(INDEX($AE$26:$AE$156,ROW()-25),"")</f>
        <v/>
      </c>
      <c r="F106">
        <f>IFERROR(INDEX($AI$26:$AI$156,ROW()-25),"")</f>
        <v/>
      </c>
    </row>
    <row r="107">
      <c r="A107" s="43">
        <f>IFERROR(INDEX($R$26:$R$156,ROW()-25),"")</f>
        <v/>
      </c>
      <c r="B107">
        <f>IFERROR(INDEX($S$26:$S$156,ROW()-25),"")</f>
        <v/>
      </c>
      <c r="C107">
        <f>IFERROR(INDEX($W$26:$W$156,ROW()-25),"")</f>
        <v/>
      </c>
      <c r="D107">
        <f>IFERROR(INDEX($AA$26:$AA$156,ROW()-25),"")</f>
        <v/>
      </c>
      <c r="E107">
        <f>IFERROR(INDEX($AE$26:$AE$156,ROW()-25),"")</f>
        <v/>
      </c>
      <c r="F107">
        <f>IFERROR(INDEX($AI$26:$AI$156,ROW()-25),"")</f>
        <v/>
      </c>
    </row>
    <row r="108">
      <c r="A108" s="43">
        <f>IFERROR(INDEX($R$26:$R$156,ROW()-25),"")</f>
        <v/>
      </c>
      <c r="B108">
        <f>IFERROR(INDEX($S$26:$S$156,ROW()-25),"")</f>
        <v/>
      </c>
      <c r="C108">
        <f>IFERROR(INDEX($W$26:$W$156,ROW()-25),"")</f>
        <v/>
      </c>
      <c r="D108">
        <f>IFERROR(INDEX($AA$26:$AA$156,ROW()-25),"")</f>
        <v/>
      </c>
      <c r="E108">
        <f>IFERROR(INDEX($AE$26:$AE$156,ROW()-25),"")</f>
        <v/>
      </c>
      <c r="F108">
        <f>IFERROR(INDEX($AI$26:$AI$156,ROW()-25),"")</f>
        <v/>
      </c>
    </row>
    <row r="109">
      <c r="A109" s="43">
        <f>IFERROR(INDEX($R$26:$R$156,ROW()-25),"")</f>
        <v/>
      </c>
      <c r="B109">
        <f>IFERROR(INDEX($S$26:$S$156,ROW()-25),"")</f>
        <v/>
      </c>
      <c r="C109">
        <f>IFERROR(INDEX($W$26:$W$156,ROW()-25),"")</f>
        <v/>
      </c>
      <c r="D109">
        <f>IFERROR(INDEX($AA$26:$AA$156,ROW()-25),"")</f>
        <v/>
      </c>
      <c r="E109">
        <f>IFERROR(INDEX($AE$26:$AE$156,ROW()-25),"")</f>
        <v/>
      </c>
      <c r="F109">
        <f>IFERROR(INDEX($AI$26:$AI$156,ROW()-25),"")</f>
        <v/>
      </c>
    </row>
    <row r="110">
      <c r="A110" s="43">
        <f>IFERROR(INDEX($R$26:$R$156,ROW()-25),"")</f>
        <v/>
      </c>
      <c r="B110">
        <f>IFERROR(INDEX($S$26:$S$156,ROW()-25),"")</f>
        <v/>
      </c>
      <c r="C110">
        <f>IFERROR(INDEX($W$26:$W$156,ROW()-25),"")</f>
        <v/>
      </c>
      <c r="D110">
        <f>IFERROR(INDEX($AA$26:$AA$156,ROW()-25),"")</f>
        <v/>
      </c>
      <c r="E110">
        <f>IFERROR(INDEX($AE$26:$AE$156,ROW()-25),"")</f>
        <v/>
      </c>
      <c r="F110">
        <f>IFERROR(INDEX($AI$26:$AI$156,ROW()-25),"")</f>
        <v/>
      </c>
    </row>
    <row r="111">
      <c r="A111" s="43">
        <f>IFERROR(INDEX($R$26:$R$156,ROW()-25),"")</f>
        <v/>
      </c>
      <c r="B111">
        <f>IFERROR(INDEX($S$26:$S$156,ROW()-25),"")</f>
        <v/>
      </c>
      <c r="C111">
        <f>IFERROR(INDEX($W$26:$W$156,ROW()-25),"")</f>
        <v/>
      </c>
      <c r="D111">
        <f>IFERROR(INDEX($AA$26:$AA$156,ROW()-25),"")</f>
        <v/>
      </c>
      <c r="E111">
        <f>IFERROR(INDEX($AE$26:$AE$156,ROW()-25),"")</f>
        <v/>
      </c>
      <c r="F111">
        <f>IFERROR(INDEX($AI$26:$AI$156,ROW()-25),"")</f>
        <v/>
      </c>
    </row>
    <row r="112">
      <c r="A112" s="43">
        <f>IFERROR(INDEX($R$26:$R$156,ROW()-25),"")</f>
        <v/>
      </c>
      <c r="B112">
        <f>IFERROR(INDEX($S$26:$S$156,ROW()-25),"")</f>
        <v/>
      </c>
      <c r="C112">
        <f>IFERROR(INDEX($W$26:$W$156,ROW()-25),"")</f>
        <v/>
      </c>
      <c r="D112">
        <f>IFERROR(INDEX($AA$26:$AA$156,ROW()-25),"")</f>
        <v/>
      </c>
      <c r="E112">
        <f>IFERROR(INDEX($AE$26:$AE$156,ROW()-25),"")</f>
        <v/>
      </c>
      <c r="F112">
        <f>IFERROR(INDEX($AI$26:$AI$156,ROW()-25),"")</f>
        <v/>
      </c>
    </row>
    <row r="113">
      <c r="A113" s="43">
        <f>IFERROR(INDEX($R$26:$R$156,ROW()-25),"")</f>
        <v/>
      </c>
      <c r="B113">
        <f>IFERROR(INDEX($S$26:$S$156,ROW()-25),"")</f>
        <v/>
      </c>
      <c r="C113">
        <f>IFERROR(INDEX($W$26:$W$156,ROW()-25),"")</f>
        <v/>
      </c>
      <c r="D113">
        <f>IFERROR(INDEX($AA$26:$AA$156,ROW()-25),"")</f>
        <v/>
      </c>
      <c r="E113">
        <f>IFERROR(INDEX($AE$26:$AE$156,ROW()-25),"")</f>
        <v/>
      </c>
      <c r="F113">
        <f>IFERROR(INDEX($AI$26:$AI$156,ROW()-25),"")</f>
        <v/>
      </c>
    </row>
    <row r="114">
      <c r="A114" s="43">
        <f>IFERROR(INDEX($R$26:$R$156,ROW()-25),"")</f>
        <v/>
      </c>
      <c r="B114">
        <f>IFERROR(INDEX($S$26:$S$156,ROW()-25),"")</f>
        <v/>
      </c>
      <c r="C114">
        <f>IFERROR(INDEX($W$26:$W$156,ROW()-25),"")</f>
        <v/>
      </c>
      <c r="D114">
        <f>IFERROR(INDEX($AA$26:$AA$156,ROW()-25),"")</f>
        <v/>
      </c>
      <c r="E114">
        <f>IFERROR(INDEX($AE$26:$AE$156,ROW()-25),"")</f>
        <v/>
      </c>
      <c r="F114">
        <f>IFERROR(INDEX($AI$26:$AI$156,ROW()-25),"")</f>
        <v/>
      </c>
    </row>
    <row r="115">
      <c r="A115" s="43">
        <f>IFERROR(INDEX($R$26:$R$156,ROW()-25),"")</f>
        <v/>
      </c>
      <c r="B115">
        <f>IFERROR(INDEX($S$26:$S$156,ROW()-25),"")</f>
        <v/>
      </c>
      <c r="C115">
        <f>IFERROR(INDEX($W$26:$W$156,ROW()-25),"")</f>
        <v/>
      </c>
      <c r="D115">
        <f>IFERROR(INDEX($AA$26:$AA$156,ROW()-25),"")</f>
        <v/>
      </c>
      <c r="E115">
        <f>IFERROR(INDEX($AE$26:$AE$156,ROW()-25),"")</f>
        <v/>
      </c>
      <c r="F115">
        <f>IFERROR(INDEX($AI$26:$AI$156,ROW()-25),"")</f>
        <v/>
      </c>
    </row>
    <row r="116">
      <c r="A116" s="43">
        <f>IFERROR(INDEX($R$26:$R$156,ROW()-25),"")</f>
        <v/>
      </c>
      <c r="B116">
        <f>IFERROR(INDEX($S$26:$S$156,ROW()-25),"")</f>
        <v/>
      </c>
      <c r="C116">
        <f>IFERROR(INDEX($W$26:$W$156,ROW()-25),"")</f>
        <v/>
      </c>
      <c r="D116">
        <f>IFERROR(INDEX($AA$26:$AA$156,ROW()-25),"")</f>
        <v/>
      </c>
      <c r="E116">
        <f>IFERROR(INDEX($AE$26:$AE$156,ROW()-25),"")</f>
        <v/>
      </c>
      <c r="F116">
        <f>IFERROR(INDEX($AI$26:$AI$156,ROW()-25),"")</f>
        <v/>
      </c>
    </row>
    <row r="117">
      <c r="A117" s="43">
        <f>IFERROR(INDEX($R$26:$R$156,ROW()-25),"")</f>
        <v/>
      </c>
      <c r="B117">
        <f>IFERROR(INDEX($S$26:$S$156,ROW()-25),"")</f>
        <v/>
      </c>
      <c r="C117">
        <f>IFERROR(INDEX($W$26:$W$156,ROW()-25),"")</f>
        <v/>
      </c>
      <c r="D117">
        <f>IFERROR(INDEX($AA$26:$AA$156,ROW()-25),"")</f>
        <v/>
      </c>
      <c r="E117">
        <f>IFERROR(INDEX($AE$26:$AE$156,ROW()-25),"")</f>
        <v/>
      </c>
      <c r="F117">
        <f>IFERROR(INDEX($AI$26:$AI$156,ROW()-25),"")</f>
        <v/>
      </c>
    </row>
    <row r="118">
      <c r="A118" s="43">
        <f>IFERROR(INDEX($R$26:$R$156,ROW()-25),"")</f>
        <v/>
      </c>
      <c r="B118">
        <f>IFERROR(INDEX($S$26:$S$156,ROW()-25),"")</f>
        <v/>
      </c>
      <c r="C118">
        <f>IFERROR(INDEX($W$26:$W$156,ROW()-25),"")</f>
        <v/>
      </c>
      <c r="D118">
        <f>IFERROR(INDEX($AA$26:$AA$156,ROW()-25),"")</f>
        <v/>
      </c>
      <c r="E118">
        <f>IFERROR(INDEX($AE$26:$AE$156,ROW()-25),"")</f>
        <v/>
      </c>
      <c r="F118">
        <f>IFERROR(INDEX($AI$26:$AI$156,ROW()-25),"")</f>
        <v/>
      </c>
    </row>
    <row r="119">
      <c r="A119" s="43">
        <f>IFERROR(INDEX($R$26:$R$156,ROW()-25),"")</f>
        <v/>
      </c>
      <c r="B119">
        <f>IFERROR(INDEX($S$26:$S$156,ROW()-25),"")</f>
        <v/>
      </c>
      <c r="C119">
        <f>IFERROR(INDEX($W$26:$W$156,ROW()-25),"")</f>
        <v/>
      </c>
      <c r="D119">
        <f>IFERROR(INDEX($AA$26:$AA$156,ROW()-25),"")</f>
        <v/>
      </c>
      <c r="E119">
        <f>IFERROR(INDEX($AE$26:$AE$156,ROW()-25),"")</f>
        <v/>
      </c>
      <c r="F119">
        <f>IFERROR(INDEX($AI$26:$AI$156,ROW()-25),"")</f>
        <v/>
      </c>
    </row>
    <row r="120">
      <c r="A120" s="43">
        <f>IFERROR(INDEX($R$26:$R$156,ROW()-25),"")</f>
        <v/>
      </c>
      <c r="B120">
        <f>IFERROR(INDEX($S$26:$S$156,ROW()-25),"")</f>
        <v/>
      </c>
      <c r="C120">
        <f>IFERROR(INDEX($W$26:$W$156,ROW()-25),"")</f>
        <v/>
      </c>
      <c r="D120">
        <f>IFERROR(INDEX($AA$26:$AA$156,ROW()-25),"")</f>
        <v/>
      </c>
      <c r="E120">
        <f>IFERROR(INDEX($AE$26:$AE$156,ROW()-25),"")</f>
        <v/>
      </c>
      <c r="F120">
        <f>IFERROR(INDEX($AI$26:$AI$156,ROW()-25),"")</f>
        <v/>
      </c>
    </row>
    <row r="121">
      <c r="A121" s="43">
        <f>IFERROR(INDEX($R$26:$R$156,ROW()-25),"")</f>
        <v/>
      </c>
      <c r="B121">
        <f>IFERROR(INDEX($S$26:$S$156,ROW()-25),"")</f>
        <v/>
      </c>
      <c r="C121">
        <f>IFERROR(INDEX($W$26:$W$156,ROW()-25),"")</f>
        <v/>
      </c>
      <c r="D121">
        <f>IFERROR(INDEX($AA$26:$AA$156,ROW()-25),"")</f>
        <v/>
      </c>
      <c r="E121">
        <f>IFERROR(INDEX($AE$26:$AE$156,ROW()-25),"")</f>
        <v/>
      </c>
      <c r="F121">
        <f>IFERROR(INDEX($AI$26:$AI$156,ROW()-25),"")</f>
        <v/>
      </c>
    </row>
    <row r="122">
      <c r="A122" s="43">
        <f>IFERROR(INDEX($R$26:$R$156,ROW()-25),"")</f>
        <v/>
      </c>
      <c r="B122">
        <f>IFERROR(INDEX($S$26:$S$156,ROW()-25),"")</f>
        <v/>
      </c>
      <c r="C122">
        <f>IFERROR(INDEX($W$26:$W$156,ROW()-25),"")</f>
        <v/>
      </c>
      <c r="D122">
        <f>IFERROR(INDEX($AA$26:$AA$156,ROW()-25),"")</f>
        <v/>
      </c>
      <c r="E122">
        <f>IFERROR(INDEX($AE$26:$AE$156,ROW()-25),"")</f>
        <v/>
      </c>
      <c r="F122">
        <f>IFERROR(INDEX($AI$26:$AI$156,ROW()-25),"")</f>
        <v/>
      </c>
    </row>
    <row r="123">
      <c r="A123" s="43">
        <f>IFERROR(INDEX($R$26:$R$156,ROW()-25),"")</f>
        <v/>
      </c>
      <c r="B123">
        <f>IFERROR(INDEX($S$26:$S$156,ROW()-25),"")</f>
        <v/>
      </c>
      <c r="C123">
        <f>IFERROR(INDEX($W$26:$W$156,ROW()-25),"")</f>
        <v/>
      </c>
      <c r="D123">
        <f>IFERROR(INDEX($AA$26:$AA$156,ROW()-25),"")</f>
        <v/>
      </c>
      <c r="E123">
        <f>IFERROR(INDEX($AE$26:$AE$156,ROW()-25),"")</f>
        <v/>
      </c>
      <c r="F123">
        <f>IFERROR(INDEX($AI$26:$AI$156,ROW()-25),"")</f>
        <v/>
      </c>
    </row>
    <row r="124">
      <c r="A124" s="43">
        <f>IFERROR(INDEX($R$26:$R$156,ROW()-25),"")</f>
        <v/>
      </c>
      <c r="B124">
        <f>IFERROR(INDEX($S$26:$S$156,ROW()-25),"")</f>
        <v/>
      </c>
      <c r="C124">
        <f>IFERROR(INDEX($W$26:$W$156,ROW()-25),"")</f>
        <v/>
      </c>
      <c r="D124">
        <f>IFERROR(INDEX($AA$26:$AA$156,ROW()-25),"")</f>
        <v/>
      </c>
      <c r="E124">
        <f>IFERROR(INDEX($AE$26:$AE$156,ROW()-25),"")</f>
        <v/>
      </c>
      <c r="F124">
        <f>IFERROR(INDEX($AI$26:$AI$156,ROW()-25),"")</f>
        <v/>
      </c>
    </row>
    <row r="125">
      <c r="A125" s="43">
        <f>IFERROR(INDEX($R$26:$R$156,ROW()-25),"")</f>
        <v/>
      </c>
      <c r="B125">
        <f>IFERROR(INDEX($S$26:$S$156,ROW()-25),"")</f>
        <v/>
      </c>
      <c r="C125">
        <f>IFERROR(INDEX($W$26:$W$156,ROW()-25),"")</f>
        <v/>
      </c>
      <c r="D125">
        <f>IFERROR(INDEX($AA$26:$AA$156,ROW()-25),"")</f>
        <v/>
      </c>
      <c r="E125">
        <f>IFERROR(INDEX($AE$26:$AE$156,ROW()-25),"")</f>
        <v/>
      </c>
      <c r="F125">
        <f>IFERROR(INDEX($AI$26:$AI$156,ROW()-25),"")</f>
        <v/>
      </c>
    </row>
    <row r="126">
      <c r="A126" s="43">
        <f>IFERROR(INDEX($R$26:$R$156,ROW()-25),"")</f>
        <v/>
      </c>
      <c r="B126">
        <f>IFERROR(INDEX($S$26:$S$156,ROW()-25),"")</f>
        <v/>
      </c>
      <c r="C126">
        <f>IFERROR(INDEX($W$26:$W$156,ROW()-25),"")</f>
        <v/>
      </c>
      <c r="D126">
        <f>IFERROR(INDEX($AA$26:$AA$156,ROW()-25),"")</f>
        <v/>
      </c>
      <c r="E126">
        <f>IFERROR(INDEX($AE$26:$AE$156,ROW()-25),"")</f>
        <v/>
      </c>
      <c r="F126">
        <f>IFERROR(INDEX($AI$26:$AI$156,ROW()-25),"")</f>
        <v/>
      </c>
    </row>
    <row r="127">
      <c r="A127" s="43">
        <f>IFERROR(INDEX($R$26:$R$156,ROW()-25),"")</f>
        <v/>
      </c>
      <c r="B127">
        <f>IFERROR(INDEX($S$26:$S$156,ROW()-25),"")</f>
        <v/>
      </c>
      <c r="C127">
        <f>IFERROR(INDEX($W$26:$W$156,ROW()-25),"")</f>
        <v/>
      </c>
      <c r="D127">
        <f>IFERROR(INDEX($AA$26:$AA$156,ROW()-25),"")</f>
        <v/>
      </c>
      <c r="E127">
        <f>IFERROR(INDEX($AE$26:$AE$156,ROW()-25),"")</f>
        <v/>
      </c>
      <c r="F127">
        <f>IFERROR(INDEX($AI$26:$AI$156,ROW()-25),"")</f>
        <v/>
      </c>
    </row>
    <row r="128">
      <c r="A128" s="43">
        <f>IFERROR(INDEX($R$26:$R$156,ROW()-25),"")</f>
        <v/>
      </c>
      <c r="B128">
        <f>IFERROR(INDEX($S$26:$S$156,ROW()-25),"")</f>
        <v/>
      </c>
      <c r="C128">
        <f>IFERROR(INDEX($W$26:$W$156,ROW()-25),"")</f>
        <v/>
      </c>
      <c r="D128">
        <f>IFERROR(INDEX($AA$26:$AA$156,ROW()-25),"")</f>
        <v/>
      </c>
      <c r="E128">
        <f>IFERROR(INDEX($AE$26:$AE$156,ROW()-25),"")</f>
        <v/>
      </c>
      <c r="F128">
        <f>IFERROR(INDEX($AI$26:$AI$156,ROW()-25),"")</f>
        <v/>
      </c>
    </row>
    <row r="129">
      <c r="A129" s="43">
        <f>IFERROR(INDEX($R$26:$R$156,ROW()-25),"")</f>
        <v/>
      </c>
      <c r="B129">
        <f>IFERROR(INDEX($S$26:$S$156,ROW()-25),"")</f>
        <v/>
      </c>
      <c r="C129">
        <f>IFERROR(INDEX($W$26:$W$156,ROW()-25),"")</f>
        <v/>
      </c>
      <c r="D129">
        <f>IFERROR(INDEX($AA$26:$AA$156,ROW()-25),"")</f>
        <v/>
      </c>
      <c r="E129">
        <f>IFERROR(INDEX($AE$26:$AE$156,ROW()-25),"")</f>
        <v/>
      </c>
      <c r="F129">
        <f>IFERROR(INDEX($AI$26:$AI$156,ROW()-25),"")</f>
        <v/>
      </c>
    </row>
    <row r="130">
      <c r="A130" s="43">
        <f>IFERROR(INDEX($R$26:$R$156,ROW()-25),"")</f>
        <v/>
      </c>
      <c r="B130">
        <f>IFERROR(INDEX($S$26:$S$156,ROW()-25),"")</f>
        <v/>
      </c>
      <c r="C130">
        <f>IFERROR(INDEX($W$26:$W$156,ROW()-25),"")</f>
        <v/>
      </c>
      <c r="D130">
        <f>IFERROR(INDEX($AA$26:$AA$156,ROW()-25),"")</f>
        <v/>
      </c>
      <c r="E130">
        <f>IFERROR(INDEX($AE$26:$AE$156,ROW()-25),"")</f>
        <v/>
      </c>
      <c r="F130">
        <f>IFERROR(INDEX($AI$26:$AI$156,ROW()-25),"")</f>
        <v/>
      </c>
    </row>
    <row r="131">
      <c r="A131" s="43">
        <f>IFERROR(INDEX($R$26:$R$156,ROW()-25),"")</f>
        <v/>
      </c>
      <c r="B131">
        <f>IFERROR(INDEX($S$26:$S$156,ROW()-25),"")</f>
        <v/>
      </c>
      <c r="C131">
        <f>IFERROR(INDEX($W$26:$W$156,ROW()-25),"")</f>
        <v/>
      </c>
      <c r="D131">
        <f>IFERROR(INDEX($AA$26:$AA$156,ROW()-25),"")</f>
        <v/>
      </c>
      <c r="E131">
        <f>IFERROR(INDEX($AE$26:$AE$156,ROW()-25),"")</f>
        <v/>
      </c>
      <c r="F131">
        <f>IFERROR(INDEX($AI$26:$AI$156,ROW()-25),"")</f>
        <v/>
      </c>
    </row>
    <row r="132">
      <c r="A132" s="43">
        <f>IFERROR(INDEX($R$26:$R$156,ROW()-25),"")</f>
        <v/>
      </c>
      <c r="B132">
        <f>IFERROR(INDEX($S$26:$S$156,ROW()-25),"")</f>
        <v/>
      </c>
      <c r="C132">
        <f>IFERROR(INDEX($W$26:$W$156,ROW()-25),"")</f>
        <v/>
      </c>
      <c r="D132">
        <f>IFERROR(INDEX($AA$26:$AA$156,ROW()-25),"")</f>
        <v/>
      </c>
      <c r="E132">
        <f>IFERROR(INDEX($AE$26:$AE$156,ROW()-25),"")</f>
        <v/>
      </c>
      <c r="F132">
        <f>IFERROR(INDEX($AI$26:$AI$156,ROW()-25),"")</f>
        <v/>
      </c>
    </row>
    <row r="133">
      <c r="A133" s="43">
        <f>IFERROR(INDEX($R$26:$R$156,ROW()-25),"")</f>
        <v/>
      </c>
      <c r="B133">
        <f>IFERROR(INDEX($S$26:$S$156,ROW()-25),"")</f>
        <v/>
      </c>
      <c r="C133">
        <f>IFERROR(INDEX($W$26:$W$156,ROW()-25),"")</f>
        <v/>
      </c>
      <c r="D133">
        <f>IFERROR(INDEX($AA$26:$AA$156,ROW()-25),"")</f>
        <v/>
      </c>
      <c r="E133">
        <f>IFERROR(INDEX($AE$26:$AE$156,ROW()-25),"")</f>
        <v/>
      </c>
      <c r="F133">
        <f>IFERROR(INDEX($AI$26:$AI$156,ROW()-25),"")</f>
        <v/>
      </c>
    </row>
    <row r="134">
      <c r="A134" s="43">
        <f>IFERROR(INDEX($R$26:$R$156,ROW()-25),"")</f>
        <v/>
      </c>
      <c r="B134">
        <f>IFERROR(INDEX($S$26:$S$156,ROW()-25),"")</f>
        <v/>
      </c>
      <c r="C134">
        <f>IFERROR(INDEX($W$26:$W$156,ROW()-25),"")</f>
        <v/>
      </c>
      <c r="D134">
        <f>IFERROR(INDEX($AA$26:$AA$156,ROW()-25),"")</f>
        <v/>
      </c>
      <c r="E134">
        <f>IFERROR(INDEX($AE$26:$AE$156,ROW()-25),"")</f>
        <v/>
      </c>
      <c r="F134">
        <f>IFERROR(INDEX($AI$26:$AI$156,ROW()-25),"")</f>
        <v/>
      </c>
    </row>
    <row r="135">
      <c r="A135" s="43">
        <f>IFERROR(INDEX($R$26:$R$156,ROW()-25),"")</f>
        <v/>
      </c>
      <c r="B135">
        <f>IFERROR(INDEX($S$26:$S$156,ROW()-25),"")</f>
        <v/>
      </c>
      <c r="C135">
        <f>IFERROR(INDEX($W$26:$W$156,ROW()-25),"")</f>
        <v/>
      </c>
      <c r="D135">
        <f>IFERROR(INDEX($AA$26:$AA$156,ROW()-25),"")</f>
        <v/>
      </c>
      <c r="E135">
        <f>IFERROR(INDEX($AE$26:$AE$156,ROW()-25),"")</f>
        <v/>
      </c>
      <c r="F135">
        <f>IFERROR(INDEX($AI$26:$AI$156,ROW()-25),"")</f>
        <v/>
      </c>
    </row>
    <row r="136">
      <c r="A136" s="43">
        <f>IFERROR(INDEX($R$26:$R$156,ROW()-25),"")</f>
        <v/>
      </c>
      <c r="B136">
        <f>IFERROR(INDEX($S$26:$S$156,ROW()-25),"")</f>
        <v/>
      </c>
      <c r="C136">
        <f>IFERROR(INDEX($W$26:$W$156,ROW()-25),"")</f>
        <v/>
      </c>
      <c r="D136">
        <f>IFERROR(INDEX($AA$26:$AA$156,ROW()-25),"")</f>
        <v/>
      </c>
      <c r="E136">
        <f>IFERROR(INDEX($AE$26:$AE$156,ROW()-25),"")</f>
        <v/>
      </c>
      <c r="F136">
        <f>IFERROR(INDEX($AI$26:$AI$156,ROW()-25),"")</f>
        <v/>
      </c>
    </row>
    <row r="137">
      <c r="A137" s="43">
        <f>IFERROR(INDEX($R$26:$R$156,ROW()-25),"")</f>
        <v/>
      </c>
      <c r="B137">
        <f>IFERROR(INDEX($S$26:$S$156,ROW()-25),"")</f>
        <v/>
      </c>
      <c r="C137">
        <f>IFERROR(INDEX($W$26:$W$156,ROW()-25),"")</f>
        <v/>
      </c>
      <c r="D137">
        <f>IFERROR(INDEX($AA$26:$AA$156,ROW()-25),"")</f>
        <v/>
      </c>
      <c r="E137">
        <f>IFERROR(INDEX($AE$26:$AE$156,ROW()-25),"")</f>
        <v/>
      </c>
      <c r="F137">
        <f>IFERROR(INDEX($AI$26:$AI$156,ROW()-25),"")</f>
        <v/>
      </c>
    </row>
    <row r="138">
      <c r="A138" s="43">
        <f>IFERROR(INDEX($R$26:$R$156,ROW()-25),"")</f>
        <v/>
      </c>
      <c r="B138">
        <f>IFERROR(INDEX($S$26:$S$156,ROW()-25),"")</f>
        <v/>
      </c>
      <c r="C138">
        <f>IFERROR(INDEX($W$26:$W$156,ROW()-25),"")</f>
        <v/>
      </c>
      <c r="D138">
        <f>IFERROR(INDEX($AA$26:$AA$156,ROW()-25),"")</f>
        <v/>
      </c>
      <c r="E138">
        <f>IFERROR(INDEX($AE$26:$AE$156,ROW()-25),"")</f>
        <v/>
      </c>
      <c r="F138">
        <f>IFERROR(INDEX($AI$26:$AI$156,ROW()-25),"")</f>
        <v/>
      </c>
    </row>
    <row r="139">
      <c r="A139" s="43">
        <f>IFERROR(INDEX($R$26:$R$156,ROW()-25),"")</f>
        <v/>
      </c>
      <c r="B139">
        <f>IFERROR(INDEX($S$26:$S$156,ROW()-25),"")</f>
        <v/>
      </c>
      <c r="C139">
        <f>IFERROR(INDEX($W$26:$W$156,ROW()-25),"")</f>
        <v/>
      </c>
      <c r="D139">
        <f>IFERROR(INDEX($AA$26:$AA$156,ROW()-25),"")</f>
        <v/>
      </c>
      <c r="E139">
        <f>IFERROR(INDEX($AE$26:$AE$156,ROW()-25),"")</f>
        <v/>
      </c>
      <c r="F139">
        <f>IFERROR(INDEX($AI$26:$AI$156,ROW()-25),"")</f>
        <v/>
      </c>
    </row>
    <row r="140">
      <c r="A140" s="43">
        <f>IFERROR(INDEX($R$26:$R$156,ROW()-25),"")</f>
        <v/>
      </c>
      <c r="B140">
        <f>IFERROR(INDEX($S$26:$S$156,ROW()-25),"")</f>
        <v/>
      </c>
      <c r="C140">
        <f>IFERROR(INDEX($W$26:$W$156,ROW()-25),"")</f>
        <v/>
      </c>
      <c r="D140">
        <f>IFERROR(INDEX($AA$26:$AA$156,ROW()-25),"")</f>
        <v/>
      </c>
      <c r="E140">
        <f>IFERROR(INDEX($AE$26:$AE$156,ROW()-25),"")</f>
        <v/>
      </c>
      <c r="F140">
        <f>IFERROR(INDEX($AI$26:$AI$156,ROW()-25),"")</f>
        <v/>
      </c>
    </row>
    <row r="141">
      <c r="A141" s="43">
        <f>IFERROR(INDEX($R$26:$R$156,ROW()-25),"")</f>
        <v/>
      </c>
      <c r="B141">
        <f>IFERROR(INDEX($S$26:$S$156,ROW()-25),"")</f>
        <v/>
      </c>
      <c r="C141">
        <f>IFERROR(INDEX($W$26:$W$156,ROW()-25),"")</f>
        <v/>
      </c>
      <c r="D141">
        <f>IFERROR(INDEX($AA$26:$AA$156,ROW()-25),"")</f>
        <v/>
      </c>
      <c r="E141">
        <f>IFERROR(INDEX($AE$26:$AE$156,ROW()-25),"")</f>
        <v/>
      </c>
      <c r="F141">
        <f>IFERROR(INDEX($AI$26:$AI$156,ROW()-25),"")</f>
        <v/>
      </c>
    </row>
    <row r="142">
      <c r="A142" s="43">
        <f>IFERROR(INDEX($R$26:$R$156,ROW()-25),"")</f>
        <v/>
      </c>
      <c r="B142">
        <f>IFERROR(INDEX($S$26:$S$156,ROW()-25),"")</f>
        <v/>
      </c>
      <c r="C142">
        <f>IFERROR(INDEX($W$26:$W$156,ROW()-25),"")</f>
        <v/>
      </c>
      <c r="D142">
        <f>IFERROR(INDEX($AA$26:$AA$156,ROW()-25),"")</f>
        <v/>
      </c>
      <c r="E142">
        <f>IFERROR(INDEX($AE$26:$AE$156,ROW()-25),"")</f>
        <v/>
      </c>
      <c r="F142">
        <f>IFERROR(INDEX($AI$26:$AI$156,ROW()-25),"")</f>
        <v/>
      </c>
    </row>
    <row r="143">
      <c r="A143" s="43">
        <f>IFERROR(INDEX($R$26:$R$156,ROW()-25),"")</f>
        <v/>
      </c>
      <c r="B143">
        <f>IFERROR(INDEX($S$26:$S$156,ROW()-25),"")</f>
        <v/>
      </c>
      <c r="C143">
        <f>IFERROR(INDEX($W$26:$W$156,ROW()-25),"")</f>
        <v/>
      </c>
      <c r="D143">
        <f>IFERROR(INDEX($AA$26:$AA$156,ROW()-25),"")</f>
        <v/>
      </c>
      <c r="E143">
        <f>IFERROR(INDEX($AE$26:$AE$156,ROW()-25),"")</f>
        <v/>
      </c>
      <c r="F143">
        <f>IFERROR(INDEX($AI$26:$AI$156,ROW()-25),"")</f>
        <v/>
      </c>
    </row>
    <row r="144">
      <c r="A144" s="43">
        <f>IFERROR(INDEX($R$26:$R$156,ROW()-25),"")</f>
        <v/>
      </c>
      <c r="B144">
        <f>IFERROR(INDEX($S$26:$S$156,ROW()-25),"")</f>
        <v/>
      </c>
      <c r="C144">
        <f>IFERROR(INDEX($W$26:$W$156,ROW()-25),"")</f>
        <v/>
      </c>
      <c r="D144">
        <f>IFERROR(INDEX($AA$26:$AA$156,ROW()-25),"")</f>
        <v/>
      </c>
      <c r="E144">
        <f>IFERROR(INDEX($AE$26:$AE$156,ROW()-25),"")</f>
        <v/>
      </c>
      <c r="F144">
        <f>IFERROR(INDEX($AI$26:$AI$156,ROW()-25),"")</f>
        <v/>
      </c>
    </row>
    <row r="145">
      <c r="A145" s="43">
        <f>IFERROR(INDEX($R$26:$R$156,ROW()-25),"")</f>
        <v/>
      </c>
      <c r="B145">
        <f>IFERROR(INDEX($S$26:$S$156,ROW()-25),"")</f>
        <v/>
      </c>
      <c r="C145">
        <f>IFERROR(INDEX($W$26:$W$156,ROW()-25),"")</f>
        <v/>
      </c>
      <c r="D145">
        <f>IFERROR(INDEX($AA$26:$AA$156,ROW()-25),"")</f>
        <v/>
      </c>
      <c r="E145">
        <f>IFERROR(INDEX($AE$26:$AE$156,ROW()-25),"")</f>
        <v/>
      </c>
      <c r="F145">
        <f>IFERROR(INDEX($AI$26:$AI$156,ROW()-25),"")</f>
        <v/>
      </c>
    </row>
    <row r="146">
      <c r="A146" s="43">
        <f>IFERROR(INDEX($R$26:$R$156,ROW()-25),"")</f>
        <v/>
      </c>
      <c r="B146">
        <f>IFERROR(INDEX($S$26:$S$156,ROW()-25),"")</f>
        <v/>
      </c>
      <c r="C146">
        <f>IFERROR(INDEX($W$26:$W$156,ROW()-25),"")</f>
        <v/>
      </c>
      <c r="D146">
        <f>IFERROR(INDEX($AA$26:$AA$156,ROW()-25),"")</f>
        <v/>
      </c>
      <c r="E146">
        <f>IFERROR(INDEX($AE$26:$AE$156,ROW()-25),"")</f>
        <v/>
      </c>
      <c r="F146">
        <f>IFERROR(INDEX($AI$26:$AI$156,ROW()-25),"")</f>
        <v/>
      </c>
    </row>
    <row r="147">
      <c r="A147" s="43">
        <f>IFERROR(INDEX($R$26:$R$156,ROW()-25),"")</f>
        <v/>
      </c>
      <c r="B147">
        <f>IFERROR(INDEX($S$26:$S$156,ROW()-25),"")</f>
        <v/>
      </c>
      <c r="C147">
        <f>IFERROR(INDEX($W$26:$W$156,ROW()-25),"")</f>
        <v/>
      </c>
      <c r="D147">
        <f>IFERROR(INDEX($AA$26:$AA$156,ROW()-25),"")</f>
        <v/>
      </c>
      <c r="E147">
        <f>IFERROR(INDEX($AE$26:$AE$156,ROW()-25),"")</f>
        <v/>
      </c>
      <c r="F147">
        <f>IFERROR(INDEX($AI$26:$AI$156,ROW()-25),"")</f>
        <v/>
      </c>
    </row>
    <row r="148">
      <c r="A148" s="43">
        <f>IFERROR(INDEX($R$26:$R$156,ROW()-25),"")</f>
        <v/>
      </c>
      <c r="B148">
        <f>IFERROR(INDEX($S$26:$S$156,ROW()-25),"")</f>
        <v/>
      </c>
      <c r="C148">
        <f>IFERROR(INDEX($W$26:$W$156,ROW()-25),"")</f>
        <v/>
      </c>
      <c r="D148">
        <f>IFERROR(INDEX($AA$26:$AA$156,ROW()-25),"")</f>
        <v/>
      </c>
      <c r="E148">
        <f>IFERROR(INDEX($AE$26:$AE$156,ROW()-25),"")</f>
        <v/>
      </c>
      <c r="F148">
        <f>IFERROR(INDEX($AI$26:$AI$156,ROW()-25),"")</f>
        <v/>
      </c>
    </row>
    <row r="149">
      <c r="A149" s="43">
        <f>IFERROR(INDEX($R$26:$R$156,ROW()-25),"")</f>
        <v/>
      </c>
      <c r="B149">
        <f>IFERROR(INDEX($S$26:$S$156,ROW()-25),"")</f>
        <v/>
      </c>
      <c r="C149">
        <f>IFERROR(INDEX($W$26:$W$156,ROW()-25),"")</f>
        <v/>
      </c>
      <c r="D149">
        <f>IFERROR(INDEX($AA$26:$AA$156,ROW()-25),"")</f>
        <v/>
      </c>
      <c r="E149">
        <f>IFERROR(INDEX($AE$26:$AE$156,ROW()-25),"")</f>
        <v/>
      </c>
      <c r="F149">
        <f>IFERROR(INDEX($AI$26:$AI$156,ROW()-25),"")</f>
        <v/>
      </c>
    </row>
    <row r="150">
      <c r="A150" s="43">
        <f>IFERROR(INDEX($R$26:$R$156,ROW()-25),"")</f>
        <v/>
      </c>
      <c r="B150">
        <f>IFERROR(INDEX($S$26:$S$156,ROW()-25),"")</f>
        <v/>
      </c>
      <c r="C150">
        <f>IFERROR(INDEX($W$26:$W$156,ROW()-25),"")</f>
        <v/>
      </c>
      <c r="D150">
        <f>IFERROR(INDEX($AA$26:$AA$156,ROW()-25),"")</f>
        <v/>
      </c>
      <c r="E150">
        <f>IFERROR(INDEX($AE$26:$AE$156,ROW()-25),"")</f>
        <v/>
      </c>
      <c r="F150">
        <f>IFERROR(INDEX($AI$26:$AI$156,ROW()-25),"")</f>
        <v/>
      </c>
    </row>
    <row r="151">
      <c r="A151" s="43">
        <f>IFERROR(INDEX($R$26:$R$156,ROW()-25),"")</f>
        <v/>
      </c>
      <c r="B151">
        <f>IFERROR(INDEX($S$26:$S$156,ROW()-25),"")</f>
        <v/>
      </c>
      <c r="C151">
        <f>IFERROR(INDEX($W$26:$W$156,ROW()-25),"")</f>
        <v/>
      </c>
      <c r="D151">
        <f>IFERROR(INDEX($AA$26:$AA$156,ROW()-25),"")</f>
        <v/>
      </c>
      <c r="E151">
        <f>IFERROR(INDEX($AE$26:$AE$156,ROW()-25),"")</f>
        <v/>
      </c>
      <c r="F151">
        <f>IFERROR(INDEX($AI$26:$AI$156,ROW()-25),"")</f>
        <v/>
      </c>
    </row>
    <row r="152">
      <c r="A152" s="43">
        <f>IFERROR(INDEX($R$26:$R$156,ROW()-25),"")</f>
        <v/>
      </c>
      <c r="B152">
        <f>IFERROR(INDEX($S$26:$S$156,ROW()-25),"")</f>
        <v/>
      </c>
      <c r="C152">
        <f>IFERROR(INDEX($W$26:$W$156,ROW()-25),"")</f>
        <v/>
      </c>
      <c r="D152">
        <f>IFERROR(INDEX($AA$26:$AA$156,ROW()-25),"")</f>
        <v/>
      </c>
      <c r="E152">
        <f>IFERROR(INDEX($AE$26:$AE$156,ROW()-25),"")</f>
        <v/>
      </c>
      <c r="F152">
        <f>IFERROR(INDEX($AI$26:$AI$156,ROW()-25),"")</f>
        <v/>
      </c>
    </row>
    <row r="153">
      <c r="A153" s="43">
        <f>IFERROR(INDEX($R$26:$R$156,ROW()-25),"")</f>
        <v/>
      </c>
      <c r="B153">
        <f>IFERROR(INDEX($S$26:$S$156,ROW()-25),"")</f>
        <v/>
      </c>
      <c r="C153">
        <f>IFERROR(INDEX($W$26:$W$156,ROW()-25),"")</f>
        <v/>
      </c>
      <c r="D153">
        <f>IFERROR(INDEX($AA$26:$AA$156,ROW()-25),"")</f>
        <v/>
      </c>
      <c r="E153">
        <f>IFERROR(INDEX($AE$26:$AE$156,ROW()-25),"")</f>
        <v/>
      </c>
      <c r="F153">
        <f>IFERROR(INDEX($AI$26:$AI$156,ROW()-25),"")</f>
        <v/>
      </c>
    </row>
    <row r="154">
      <c r="A154" s="43">
        <f>IFERROR(INDEX($R$26:$R$156,ROW()-25),"")</f>
        <v/>
      </c>
      <c r="B154">
        <f>IFERROR(INDEX($S$26:$S$156,ROW()-25),"")</f>
        <v/>
      </c>
      <c r="C154">
        <f>IFERROR(INDEX($W$26:$W$156,ROW()-25),"")</f>
        <v/>
      </c>
      <c r="D154">
        <f>IFERROR(INDEX($AA$26:$AA$156,ROW()-25),"")</f>
        <v/>
      </c>
      <c r="E154">
        <f>IFERROR(INDEX($AE$26:$AE$156,ROW()-25),"")</f>
        <v/>
      </c>
      <c r="F154">
        <f>IFERROR(INDEX($AI$26:$AI$156,ROW()-25),"")</f>
        <v/>
      </c>
    </row>
    <row r="155">
      <c r="A155" s="43">
        <f>IFERROR(INDEX($R$26:$R$156,ROW()-25),"")</f>
        <v/>
      </c>
      <c r="B155">
        <f>IFERROR(INDEX($S$26:$S$156,ROW()-25),"")</f>
        <v/>
      </c>
      <c r="C155">
        <f>IFERROR(INDEX($W$26:$W$156,ROW()-25),"")</f>
        <v/>
      </c>
      <c r="D155">
        <f>IFERROR(INDEX($AA$26:$AA$156,ROW()-25),"")</f>
        <v/>
      </c>
      <c r="E155">
        <f>IFERROR(INDEX($AE$26:$AE$156,ROW()-25),"")</f>
        <v/>
      </c>
      <c r="F155">
        <f>IFERROR(INDEX($AI$26:$AI$156,ROW()-25),"")</f>
        <v/>
      </c>
    </row>
  </sheetData>
  <pageMargins left="0.75" right="0.75" top="1" bottom="1" header="0.5" footer="0.5"/>
  <drawing xmlns:r="http://schemas.openxmlformats.org/officeDocument/2006/relationships" r:id="rId1"/>
</worksheet>
</file>

<file path=xl/worksheets/sheet13.xml><?xml version="1.0" encoding="utf-8"?>
<worksheet xmlns="http://schemas.openxmlformats.org/spreadsheetml/2006/main">
  <sheetPr>
    <outlinePr summaryBelow="1" summaryRight="1"/>
    <pageSetUpPr/>
  </sheetPr>
  <dimension ref="A1:I28"/>
  <sheetViews>
    <sheetView showGridLines="0" workbookViewId="0">
      <pane ySplit="4" topLeftCell="A5" activePane="bottomLeft" state="frozen"/>
      <selection pane="bottomLeft" activeCell="A1" sqref="A1"/>
    </sheetView>
  </sheetViews>
  <sheetFormatPr baseColWidth="8" defaultRowHeight="15"/>
  <cols>
    <col width="8" customWidth="1" min="1" max="1"/>
    <col width="14" customWidth="1" min="2" max="2"/>
    <col width="24" customWidth="1" min="3" max="3"/>
    <col width="14" customWidth="1" min="4" max="4"/>
    <col width="12" customWidth="1" min="5" max="5"/>
    <col width="24" customWidth="1" min="6" max="6"/>
  </cols>
  <sheetData>
    <row r="1">
      <c r="A1" s="1" t="inlineStr">
        <is>
          <t>Earnings revision breadth — 3-month net revision ratio</t>
        </is>
      </c>
    </row>
    <row r="2">
      <c r="A2" s="2" t="inlineStr">
        <is>
          <t>Slide 1, exhibit 2. Valuation says what you pay; revisions say which way the denominator is moving. Ordered high to low, the ranking is the exhibit.</t>
        </is>
      </c>
    </row>
    <row r="3" ht="4" customHeight="1">
      <c r="A3" s="3" t="n"/>
      <c r="B3" s="3" t="n"/>
      <c r="C3" s="3" t="n"/>
      <c r="D3" s="3" t="n"/>
      <c r="E3" s="3" t="n"/>
      <c r="F3" s="3" t="n"/>
      <c r="G3" s="3" t="n"/>
      <c r="H3" s="3" t="n"/>
      <c r="I3" s="3" t="n"/>
    </row>
    <row r="5">
      <c r="A5" s="12" t="inlineStr">
        <is>
          <t>Net revision ratio = (upward − downward) / (upward + downward) estimate changes across index members over 13 weeks, in per cent. Positive means the consensus is being marked up. Two BQL calls per index rather than one: the combined expression runs past Excel's 255-character limit on a quoted string inside a formula, and two short calls are easier to debug than one long one.</t>
        </is>
      </c>
    </row>
    <row r="8" ht="18" customHeight="1">
      <c r="A8" s="4" t="inlineStr">
        <is>
          <t>Market</t>
        </is>
      </c>
      <c r="B8" s="4" t="inlineStr">
        <is>
          <t>Index</t>
        </is>
      </c>
      <c r="C8" s="4" t="inlineStr">
        <is>
          <t>Up (13w)</t>
        </is>
      </c>
      <c r="D8" s="4" t="inlineStr">
        <is>
          <t>Down (13w)</t>
        </is>
      </c>
      <c r="E8" s="4" t="inlineStr">
        <is>
          <t>Total</t>
        </is>
      </c>
      <c r="F8" s="4" t="inlineStr">
        <is>
          <t>Net revision ratio, %</t>
        </is>
      </c>
    </row>
    <row r="9">
      <c r="A9" s="5" t="inlineStr">
        <is>
          <t>China A</t>
        </is>
      </c>
      <c r="B9" s="14" t="inlineStr">
        <is>
          <t>SHSZ300 Index</t>
        </is>
      </c>
      <c r="C9" s="44">
        <f>BQL("members('SHSZ300 Index')","sum(group(contributor_revisions(IS_EPS(FPT=A,FPO=1,AE=E),NUMUP,13W)))")</f>
        <v/>
      </c>
      <c r="D9" s="44">
        <f>BQL("members('SHSZ300 Index')","sum(group(contributor_revisions(IS_EPS(FPT=A,FPO=1,AE=E),NUMDOWN,13W)))")</f>
        <v/>
      </c>
      <c r="E9" s="45">
        <f>IFERROR(C9+D9,"")</f>
        <v/>
      </c>
      <c r="F9" s="46">
        <f>IFERROR((C9-D9)/E9*100,"")</f>
        <v/>
      </c>
    </row>
    <row r="10">
      <c r="A10" s="5" t="inlineStr">
        <is>
          <t>China H</t>
        </is>
      </c>
      <c r="B10" s="14" t="inlineStr">
        <is>
          <t>HSCEI Index</t>
        </is>
      </c>
      <c r="C10" s="44">
        <f>BQL("members('HSCEI Index')","sum(group(contributor_revisions(IS_EPS(FPT=A,FPO=1,AE=E),NUMUP,13W)))")</f>
        <v/>
      </c>
      <c r="D10" s="44">
        <f>BQL("members('HSCEI Index')","sum(group(contributor_revisions(IS_EPS(FPT=A,FPO=1,AE=E),NUMDOWN,13W)))")</f>
        <v/>
      </c>
      <c r="E10" s="45">
        <f>IFERROR(C10+D10,"")</f>
        <v/>
      </c>
      <c r="F10" s="46">
        <f>IFERROR((C10-D10)/E10*100,"")</f>
        <v/>
      </c>
    </row>
    <row r="11">
      <c r="A11" s="5" t="inlineStr">
        <is>
          <t>Korea</t>
        </is>
      </c>
      <c r="B11" s="14" t="inlineStr">
        <is>
          <t>KOSPI2 Index</t>
        </is>
      </c>
      <c r="C11" s="44">
        <f>BQL("members('KOSPI2 Index')","sum(group(contributor_revisions(IS_EPS(FPT=A,FPO=1,AE=E),NUMUP,13W)))")</f>
        <v/>
      </c>
      <c r="D11" s="44">
        <f>BQL("members('KOSPI2 Index')","sum(group(contributor_revisions(IS_EPS(FPT=A,FPO=1,AE=E),NUMDOWN,13W)))")</f>
        <v/>
      </c>
      <c r="E11" s="45">
        <f>IFERROR(C11+D11,"")</f>
        <v/>
      </c>
      <c r="F11" s="46">
        <f>IFERROR((C11-D11)/E11*100,"")</f>
        <v/>
      </c>
    </row>
    <row r="12">
      <c r="A12" s="5" t="inlineStr">
        <is>
          <t>Japan</t>
        </is>
      </c>
      <c r="B12" s="14" t="inlineStr">
        <is>
          <t>TPX Index</t>
        </is>
      </c>
      <c r="C12" s="44">
        <f>BQL("members('TPX Index')","sum(group(contributor_revisions(IS_EPS(FPT=A,FPO=1,AE=E),NUMUP,13W)))")</f>
        <v/>
      </c>
      <c r="D12" s="44">
        <f>BQL("members('TPX Index')","sum(group(contributor_revisions(IS_EPS(FPT=A,FPO=1,AE=E),NUMDOWN,13W)))")</f>
        <v/>
      </c>
      <c r="E12" s="45">
        <f>IFERROR(C12+D12,"")</f>
        <v/>
      </c>
      <c r="F12" s="46">
        <f>IFERROR((C12-D12)/E12*100,"")</f>
        <v/>
      </c>
    </row>
    <row r="13">
      <c r="A13" s="5" t="inlineStr">
        <is>
          <t>Taiwan</t>
        </is>
      </c>
      <c r="B13" s="14" t="inlineStr">
        <is>
          <t>TWSE Index</t>
        </is>
      </c>
      <c r="C13" s="44">
        <f>BQL("members('TWSE Index')","sum(group(contributor_revisions(IS_EPS(FPT=A,FPO=1,AE=E),NUMUP,13W)))")</f>
        <v/>
      </c>
      <c r="D13" s="44">
        <f>BQL("members('TWSE Index')","sum(group(contributor_revisions(IS_EPS(FPT=A,FPO=1,AE=E),NUMDOWN,13W)))")</f>
        <v/>
      </c>
      <c r="E13" s="45">
        <f>IFERROR(C13+D13,"")</f>
        <v/>
      </c>
      <c r="F13" s="46">
        <f>IFERROR((C13-D13)/E13*100,"")</f>
        <v/>
      </c>
    </row>
    <row r="16">
      <c r="A16" s="9" t="inlineStr">
        <is>
          <t>Sorted, high to low — this is what the slide plots</t>
        </is>
      </c>
    </row>
    <row r="17" ht="18" customHeight="1">
      <c r="A17" s="4" t="inlineStr">
        <is>
          <t>Rank</t>
        </is>
      </c>
      <c r="B17" s="4" t="inlineStr">
        <is>
          <t>Market</t>
        </is>
      </c>
      <c r="C17" s="4" t="inlineStr">
        <is>
          <t>Net revision ratio, %</t>
        </is>
      </c>
    </row>
    <row r="18">
      <c r="A18" s="13" t="n">
        <v>1</v>
      </c>
      <c r="B18" s="5">
        <f>IFERROR(INDEX($A$9:$A$13,MATCH(LARGE($F$9:$F$13,1),$F$9:$F$13,0)),"")</f>
        <v/>
      </c>
      <c r="C18" s="46">
        <f>IFERROR(LARGE($F$9:$F$13,1),"")</f>
        <v/>
      </c>
    </row>
    <row r="19">
      <c r="A19" s="13" t="n">
        <v>2</v>
      </c>
      <c r="B19" s="5">
        <f>IFERROR(INDEX($A$9:$A$13,MATCH(LARGE($F$9:$F$13,2),$F$9:$F$13,0)),"")</f>
        <v/>
      </c>
      <c r="C19" s="46">
        <f>IFERROR(LARGE($F$9:$F$13,2),"")</f>
        <v/>
      </c>
    </row>
    <row r="20">
      <c r="A20" s="13" t="n">
        <v>3</v>
      </c>
      <c r="B20" s="5">
        <f>IFERROR(INDEX($A$9:$A$13,MATCH(LARGE($F$9:$F$13,3),$F$9:$F$13,0)),"")</f>
        <v/>
      </c>
      <c r="C20" s="46">
        <f>IFERROR(LARGE($F$9:$F$13,3),"")</f>
        <v/>
      </c>
    </row>
    <row r="21">
      <c r="A21" s="13" t="n">
        <v>4</v>
      </c>
      <c r="B21" s="5">
        <f>IFERROR(INDEX($A$9:$A$13,MATCH(LARGE($F$9:$F$13,4),$F$9:$F$13,0)),"")</f>
        <v/>
      </c>
      <c r="C21" s="46">
        <f>IFERROR(LARGE($F$9:$F$13,4),"")</f>
        <v/>
      </c>
    </row>
    <row r="22">
      <c r="A22" s="13" t="n">
        <v>5</v>
      </c>
      <c r="B22" s="5">
        <f>IFERROR(INDEX($A$9:$A$13,MATCH(LARGE($F$9:$F$13,5),$F$9:$F$13,0)),"")</f>
        <v/>
      </c>
      <c r="C22" s="46">
        <f>IFERROR(LARGE($F$9:$F$13,5),"")</f>
        <v/>
      </c>
    </row>
    <row r="25">
      <c r="A25" s="12" t="inlineStr">
        <is>
          <t>NUMUP was given by the help desk verbatim. NUMDOWN is the counterpart and follows the same field family, but they did not confirm it — check it on FLDS &lt;GO&gt; before the number goes on a slide. If it comes back empty, the fallback is NUMDN. Everything downstream is Excel arithmetic, so only that one token changes.</t>
        </is>
      </c>
    </row>
    <row r="28">
      <c r="A28" s="12" t="inlineStr">
        <is>
          <t>If a market returns a ratio built off a handful of contributors, say so rather than ranking it. Breadth across 300 CSI names and breadth across 50 HSCEI names are not the same measurement, which is why the Total column sits on the sheet next to the ratio.</t>
        </is>
      </c>
    </row>
  </sheetData>
  <pageMargins left="0.75" right="0.75" top="1" bottom="1" header="0.5" footer="0.5"/>
  <drawing xmlns:r="http://schemas.openxmlformats.org/officeDocument/2006/relationships" r:id="rId1"/>
</worksheet>
</file>

<file path=xl/worksheets/sheet14.xml><?xml version="1.0" encoding="utf-8"?>
<worksheet xmlns="http://schemas.openxmlformats.org/spreadsheetml/2006/main">
  <sheetPr>
    <outlinePr summaryBelow="1" summaryRight="1"/>
    <pageSetUpPr/>
  </sheetPr>
  <dimension ref="A1:J22"/>
  <sheetViews>
    <sheetView showGridLines="0" workbookViewId="0">
      <pane ySplit="4" topLeftCell="A5" activePane="bottomLeft" state="frozen"/>
      <selection pane="bottomLeft" activeCell="A1" sqref="A1"/>
    </sheetView>
  </sheetViews>
  <sheetFormatPr baseColWidth="8" defaultRowHeight="15"/>
  <cols>
    <col width="30" customWidth="1" min="1" max="1"/>
    <col width="16" customWidth="1" min="2" max="2"/>
    <col width="12" customWidth="1" min="3" max="3"/>
    <col width="12" customWidth="1" min="4" max="4"/>
    <col width="12" customWidth="1" min="5" max="5"/>
    <col width="16" customWidth="1" min="6" max="6"/>
    <col width="15" customWidth="1" min="7" max="7"/>
    <col width="15" customWidth="1" min="8" max="8"/>
  </cols>
  <sheetData>
    <row r="1">
      <c r="A1" s="1" t="inlineStr">
        <is>
          <t>Consensus EPS growth by sector — where the regional call actually is</t>
        </is>
      </c>
    </row>
    <row r="2">
      <c r="A2" s="2" t="inlineStr">
        <is>
          <t>Slide 1, exhibit 3. The index-level view hides the trade. These five sectors are the ones the book is expressing a view on.</t>
        </is>
      </c>
    </row>
    <row r="3" ht="4" customHeight="1">
      <c r="A3" s="3" t="n"/>
      <c r="B3" s="3" t="n"/>
      <c r="C3" s="3" t="n"/>
      <c r="D3" s="3" t="n"/>
      <c r="E3" s="3" t="n"/>
      <c r="F3" s="3" t="n"/>
      <c r="G3" s="3" t="n"/>
      <c r="H3" s="3" t="n"/>
      <c r="I3" s="3" t="n"/>
      <c r="J3" s="3" t="n"/>
    </row>
    <row r="5" ht="18" customHeight="1">
      <c r="A5" s="4" t="inlineStr">
        <is>
          <t>Sector index</t>
        </is>
      </c>
      <c r="B5" s="4" t="inlineStr">
        <is>
          <t>Ticker</t>
        </is>
      </c>
      <c r="C5" s="4" t="inlineStr">
        <is>
          <t>EPS 0FY</t>
        </is>
      </c>
      <c r="D5" s="4" t="inlineStr">
        <is>
          <t>EPS 1FY</t>
        </is>
      </c>
      <c r="E5" s="4" t="inlineStr">
        <is>
          <t>EPS 2FY</t>
        </is>
      </c>
      <c r="F5" s="4" t="inlineStr">
        <is>
          <t>1FY period end</t>
        </is>
      </c>
      <c r="G5" s="4" t="inlineStr">
        <is>
          <t>Growth 1FY, %</t>
        </is>
      </c>
      <c r="H5" s="4" t="inlineStr">
        <is>
          <t>Growth 2FY, %</t>
        </is>
      </c>
    </row>
    <row r="6">
      <c r="A6" s="5" t="inlineStr">
        <is>
          <t>MSCI China Industrials</t>
        </is>
      </c>
      <c r="B6" s="14" t="inlineStr">
        <is>
          <t>MXCN0IN Index</t>
        </is>
      </c>
      <c r="C6" s="15">
        <f>BDP($B6,"BEST_EPS","BEST_FPERIOD_OVERRIDE","0FY")</f>
        <v/>
      </c>
      <c r="D6" s="15">
        <f>BDP($B6,"BEST_EPS","BEST_FPERIOD_OVERRIDE","1FY")</f>
        <v/>
      </c>
      <c r="E6" s="15">
        <f>BDP($B6,"BEST_EPS","BEST_FPERIOD_OVERRIDE","2FY")</f>
        <v/>
      </c>
      <c r="F6" s="47">
        <f>BDP($B6,"BEST_PERIOD_END_DT","BEST_FPERIOD_OVERRIDE","1FY")</f>
        <v/>
      </c>
      <c r="G6" s="46">
        <f>IFERROR((D6/C6-1)*100,"")</f>
        <v/>
      </c>
      <c r="H6" s="46">
        <f>IFERROR((E6/D6-1)*100,"")</f>
        <v/>
      </c>
    </row>
    <row r="7">
      <c r="A7" s="5" t="inlineStr">
        <is>
          <t>MSCI China Materials</t>
        </is>
      </c>
      <c r="B7" s="14" t="inlineStr">
        <is>
          <t>MXCN0MT Index</t>
        </is>
      </c>
      <c r="C7" s="15">
        <f>BDP($B7,"BEST_EPS","BEST_FPERIOD_OVERRIDE","0FY")</f>
        <v/>
      </c>
      <c r="D7" s="15">
        <f>BDP($B7,"BEST_EPS","BEST_FPERIOD_OVERRIDE","1FY")</f>
        <v/>
      </c>
      <c r="E7" s="15">
        <f>BDP($B7,"BEST_EPS","BEST_FPERIOD_OVERRIDE","2FY")</f>
        <v/>
      </c>
      <c r="F7" s="47">
        <f>BDP($B7,"BEST_PERIOD_END_DT","BEST_FPERIOD_OVERRIDE","1FY")</f>
        <v/>
      </c>
      <c r="G7" s="46">
        <f>IFERROR((D7/C7-1)*100,"")</f>
        <v/>
      </c>
      <c r="H7" s="46">
        <f>IFERROR((E7/D7-1)*100,"")</f>
        <v/>
      </c>
    </row>
    <row r="8">
      <c r="A8" s="5" t="inlineStr">
        <is>
          <t>MSCI Korea IT</t>
        </is>
      </c>
      <c r="B8" s="14" t="inlineStr">
        <is>
          <t>MXKR0IT Index</t>
        </is>
      </c>
      <c r="C8" s="15">
        <f>BDP($B8,"BEST_EPS","BEST_FPERIOD_OVERRIDE","0FY")</f>
        <v/>
      </c>
      <c r="D8" s="15">
        <f>BDP($B8,"BEST_EPS","BEST_FPERIOD_OVERRIDE","1FY")</f>
        <v/>
      </c>
      <c r="E8" s="15">
        <f>BDP($B8,"BEST_EPS","BEST_FPERIOD_OVERRIDE","2FY")</f>
        <v/>
      </c>
      <c r="F8" s="47">
        <f>BDP($B8,"BEST_PERIOD_END_DT","BEST_FPERIOD_OVERRIDE","1FY")</f>
        <v/>
      </c>
      <c r="G8" s="46">
        <f>IFERROR((D8/C8-1)*100,"")</f>
        <v/>
      </c>
      <c r="H8" s="46">
        <f>IFERROR((E8/D8-1)*100,"")</f>
        <v/>
      </c>
    </row>
    <row r="9">
      <c r="A9" s="5" t="inlineStr">
        <is>
          <t>MSCI Taiwan IT</t>
        </is>
      </c>
      <c r="B9" s="14" t="inlineStr">
        <is>
          <t>MXTW0IT Index</t>
        </is>
      </c>
      <c r="C9" s="15">
        <f>BDP($B9,"BEST_EPS","BEST_FPERIOD_OVERRIDE","0FY")</f>
        <v/>
      </c>
      <c r="D9" s="15">
        <f>BDP($B9,"BEST_EPS","BEST_FPERIOD_OVERRIDE","1FY")</f>
        <v/>
      </c>
      <c r="E9" s="15">
        <f>BDP($B9,"BEST_EPS","BEST_FPERIOD_OVERRIDE","2FY")</f>
        <v/>
      </c>
      <c r="F9" s="47">
        <f>BDP($B9,"BEST_PERIOD_END_DT","BEST_FPERIOD_OVERRIDE","1FY")</f>
        <v/>
      </c>
      <c r="G9" s="46">
        <f>IFERROR((D9/C9-1)*100,"")</f>
        <v/>
      </c>
      <c r="H9" s="46">
        <f>IFERROR((E9/D9-1)*100,"")</f>
        <v/>
      </c>
    </row>
    <row r="10">
      <c r="A10" s="5" t="inlineStr">
        <is>
          <t>MSCI Japan Industrials</t>
        </is>
      </c>
      <c r="B10" s="14" t="inlineStr">
        <is>
          <t>MXJP0IN Index</t>
        </is>
      </c>
      <c r="C10" s="15">
        <f>BDP($B10,"BEST_EPS","BEST_FPERIOD_OVERRIDE","0FY")</f>
        <v/>
      </c>
      <c r="D10" s="15">
        <f>BDP($B10,"BEST_EPS","BEST_FPERIOD_OVERRIDE","1FY")</f>
        <v/>
      </c>
      <c r="E10" s="15">
        <f>BDP($B10,"BEST_EPS","BEST_FPERIOD_OVERRIDE","2FY")</f>
        <v/>
      </c>
      <c r="F10" s="47">
        <f>BDP($B10,"BEST_PERIOD_END_DT","BEST_FPERIOD_OVERRIDE","1FY")</f>
        <v/>
      </c>
      <c r="G10" s="46">
        <f>IFERROR((D10/C10-1)*100,"")</f>
        <v/>
      </c>
      <c r="H10" s="46">
        <f>IFERROR((E10/D10-1)*100,"")</f>
        <v/>
      </c>
    </row>
    <row r="14">
      <c r="A14" s="12" t="inlineStr">
        <is>
          <t>Read the period-end column before you read the growth columns. The slide says FY26 and FY27, but what 0FY / 1FY / 2FY actually resolve to depends on each index's fiscal calendar — Japan's runs to March, so MSCI Japan Industrials 1FY is not the same window as MSCI China Industrials 1FY. BEST_PERIOD_END_DT tells you what you have got. Relabel the exhibit to match it, or say on the slide that the Japanese fiscal year is offset.</t>
        </is>
      </c>
    </row>
    <row r="18">
      <c r="A18" s="12" t="inlineStr">
        <is>
          <t>The MSCI GICS sector tickers follow the MX&lt;country&gt;0&lt;sector&gt; pattern — IN industrials, MT materials, IT information technology. The pattern is consistent across MSCI's index family but none of these five was confirmed by the help desk. SECF &lt;GO&gt;, then DES &lt;GO&gt; to check the index is the standard (not small-cap, not net-total-return) variant before the growth rates go on a slide.</t>
        </is>
      </c>
    </row>
    <row r="22">
      <c r="A22" s="12" t="inlineStr">
        <is>
          <t>Growth is computed off BEST_EPS levels rather than pulled as a growth field, so the arithmetic is visible on the sheet and a bad denominator shows up as an obviously wrong number rather than as a plausible one.</t>
        </is>
      </c>
    </row>
  </sheetData>
  <pageMargins left="0.75" right="0.75" top="1" bottom="1" header="0.5" footer="0.5"/>
  <drawing xmlns:r="http://schemas.openxmlformats.org/officeDocument/2006/relationships" r:id="rId1"/>
</worksheet>
</file>

<file path=xl/worksheets/sheet15.xml><?xml version="1.0" encoding="utf-8"?>
<worksheet xmlns="http://schemas.openxmlformats.org/spreadsheetml/2006/main">
  <sheetPr>
    <outlinePr summaryBelow="1" summaryRight="1"/>
    <pageSetUpPr/>
  </sheetPr>
  <dimension ref="A1:I21"/>
  <sheetViews>
    <sheetView showGridLines="0" workbookViewId="0">
      <pane ySplit="4" topLeftCell="A5" activePane="bottomLeft" state="frozen"/>
      <selection pane="bottomLeft" activeCell="A1" sqref="A1"/>
    </sheetView>
  </sheetViews>
  <sheetFormatPr baseColWidth="8" defaultRowHeight="15"/>
  <cols>
    <col width="16" customWidth="1" min="1" max="1"/>
    <col width="18" customWidth="1" min="2" max="2"/>
    <col width="13" customWidth="1" min="3" max="3"/>
    <col width="22" customWidth="1" min="4" max="4"/>
    <col width="16" customWidth="1" min="5" max="5"/>
    <col width="15" customWidth="1" min="6" max="6"/>
  </cols>
  <sheetData>
    <row r="1">
      <c r="A1" s="1" t="inlineStr">
        <is>
          <t>10-year real yields — nominal less core CPI</t>
        </is>
      </c>
    </row>
    <row r="2">
      <c r="A2" s="2" t="inlineStr">
        <is>
          <t>Slide 2, exhibit 1. The cleanest single measure of whether a bond market pays you to own it. Ex-post real, not breakeven-implied — Asia has no liquid linker market to imply it from.</t>
        </is>
      </c>
    </row>
    <row r="3" ht="4" customHeight="1">
      <c r="A3" s="3" t="n"/>
      <c r="B3" s="3" t="n"/>
      <c r="C3" s="3" t="n"/>
      <c r="D3" s="3" t="n"/>
      <c r="E3" s="3" t="n"/>
      <c r="F3" s="3" t="n"/>
      <c r="G3" s="3" t="n"/>
      <c r="H3" s="3" t="n"/>
      <c r="I3" s="3" t="n"/>
    </row>
    <row r="5" ht="18" customHeight="1">
      <c r="A5" s="4" t="inlineStr">
        <is>
          <t>Market</t>
        </is>
      </c>
      <c r="B5" s="4" t="inlineStr">
        <is>
          <t>10y ticker</t>
        </is>
      </c>
      <c r="C5" s="4" t="inlineStr">
        <is>
          <t>Nominal, %</t>
        </is>
      </c>
      <c r="D5" s="4" t="inlineStr">
        <is>
          <t>Core CPI ticker</t>
        </is>
      </c>
      <c r="E5" s="4" t="inlineStr">
        <is>
          <t>Core CPI y/y, %</t>
        </is>
      </c>
      <c r="F5" s="4" t="inlineStr">
        <is>
          <t>Real yield, %</t>
        </is>
      </c>
    </row>
    <row r="6">
      <c r="A6" s="5" t="inlineStr">
        <is>
          <t>China (CGB)</t>
        </is>
      </c>
      <c r="B6" s="14" t="inlineStr">
        <is>
          <t>GTCNY10Y Govt</t>
        </is>
      </c>
      <c r="C6" s="48">
        <f>BDP($B6,"PX_LAST")</f>
        <v/>
      </c>
      <c r="D6" s="14" t="inlineStr">
        <is>
          <t>CNCPICYY Index</t>
        </is>
      </c>
      <c r="E6" s="48">
        <f>BDP($D6,"PX_LAST")</f>
        <v/>
      </c>
      <c r="F6" s="42">
        <f>IFERROR(C6-E6,"")</f>
        <v/>
      </c>
    </row>
    <row r="7">
      <c r="A7" s="5" t="inlineStr">
        <is>
          <t>Hong Kong (HKGB)</t>
        </is>
      </c>
      <c r="B7" s="14" t="inlineStr">
        <is>
          <t>GTHKD10Y Govt</t>
        </is>
      </c>
      <c r="C7" s="48">
        <f>BDP($B7,"PX_LAST")</f>
        <v/>
      </c>
      <c r="D7" s="14" t="inlineStr">
        <is>
          <t>HKCPUYOY Index</t>
        </is>
      </c>
      <c r="E7" s="48">
        <f>BDP($D7,"PX_LAST")</f>
        <v/>
      </c>
      <c r="F7" s="42">
        <f>IFERROR(C7-E7,"")</f>
        <v/>
      </c>
    </row>
    <row r="8">
      <c r="A8" s="5" t="inlineStr">
        <is>
          <t>Korea (KTB)</t>
        </is>
      </c>
      <c r="B8" s="14" t="inlineStr">
        <is>
          <t>GTKRW10Y Govt</t>
        </is>
      </c>
      <c r="C8" s="48">
        <f>BDP($B8,"PX_LAST")</f>
        <v/>
      </c>
      <c r="D8" s="14" t="inlineStr">
        <is>
          <t>KOCPIXFY Index</t>
        </is>
      </c>
      <c r="E8" s="48">
        <f>BDP($D8,"PX_LAST")</f>
        <v/>
      </c>
      <c r="F8" s="42">
        <f>IFERROR(C8-E8,"")</f>
        <v/>
      </c>
    </row>
    <row r="9">
      <c r="A9" s="5" t="inlineStr">
        <is>
          <t>Japan (JGB)</t>
        </is>
      </c>
      <c r="B9" s="14" t="inlineStr">
        <is>
          <t>GTJPY10Y Govt</t>
        </is>
      </c>
      <c r="C9" s="48">
        <f>BDP($B9,"PX_LAST")</f>
        <v/>
      </c>
      <c r="D9" s="14" t="inlineStr">
        <is>
          <t>JCPNEFEY Index</t>
        </is>
      </c>
      <c r="E9" s="48">
        <f>BDP($D9,"PX_LAST")</f>
        <v/>
      </c>
      <c r="F9" s="42">
        <f>IFERROR(C9-E9,"")</f>
        <v/>
      </c>
    </row>
    <row r="10">
      <c r="A10" s="5" t="inlineStr">
        <is>
          <t>Taiwan (TWGB)</t>
        </is>
      </c>
      <c r="B10" s="14" t="inlineStr">
        <is>
          <t>GTTWD10Y Govt</t>
        </is>
      </c>
      <c r="C10" s="48">
        <f>BDP($B10,"PX_LAST")</f>
        <v/>
      </c>
      <c r="D10" s="14" t="inlineStr">
        <is>
          <t>TWCPCYOY Index</t>
        </is>
      </c>
      <c r="E10" s="48">
        <f>BDP($D10,"PX_LAST")</f>
        <v/>
      </c>
      <c r="F10" s="42">
        <f>IFERROR(C10-E10,"")</f>
        <v/>
      </c>
    </row>
    <row r="13">
      <c r="A13" s="12" t="inlineStr">
        <is>
          <t>Core rather than headline, deliberately. Headline across this region is currently an energy number — the memo's whole Channel 2 argument — so a headline-deflated real yield would be measuring the oil price rather than the bond market. Say this if asked; it is the obvious challenge to the exhibit.</t>
        </is>
      </c>
    </row>
    <row r="17">
      <c r="A17" s="12" t="inlineStr">
        <is>
          <t>Every ticker on this tab is unconfirmed. The GT convention was given for Japan only; CNY, HKD, KRW and TWD follow the same pattern. The five core CPI identifiers were declined outright by the help desk. Hong Kong is the least safe of them — the composite CPI and the underlying (core) CPI are separate series there, and it is the underlying one this needs.</t>
        </is>
      </c>
    </row>
    <row r="21">
      <c r="A21" s="12" t="inlineStr">
        <is>
          <t>One frequency mismatch worth stating on the slide: the yields are live and the CPI prints are monthly and lagged. The real yield is therefore as of the last CPI print, not as of this morning. That is the standard construction, but volunteer it rather than being asked.</t>
        </is>
      </c>
    </row>
  </sheetData>
  <pageMargins left="0.75" right="0.75" top="1" bottom="1" header="0.5" footer="0.5"/>
  <drawing xmlns:r="http://schemas.openxmlformats.org/officeDocument/2006/relationships" r:id="rId1"/>
</worksheet>
</file>

<file path=xl/worksheets/sheet16.xml><?xml version="1.0" encoding="utf-8"?>
<worksheet xmlns="http://schemas.openxmlformats.org/spreadsheetml/2006/main">
  <sheetPr>
    <outlinePr summaryBelow="1" summaryRight="1"/>
    <pageSetUpPr/>
  </sheetPr>
  <dimension ref="A1:Z160"/>
  <sheetViews>
    <sheetView showGridLines="0" workbookViewId="0">
      <pane ySplit="4" topLeftCell="A5" activePane="bottomLeft" state="frozen"/>
      <selection pane="bottomLeft" activeCell="A1" sqref="A1"/>
    </sheetView>
  </sheetViews>
  <sheetFormatPr baseColWidth="8" defaultRowHeight="15"/>
  <cols>
    <col width="12" customWidth="1" min="1" max="1"/>
    <col width="15" customWidth="1" min="2" max="2"/>
    <col width="15" customWidth="1" min="3" max="3"/>
    <col width="20" customWidth="1" min="4" max="4"/>
    <col width="16" customWidth="1" min="5" max="5"/>
  </cols>
  <sheetData>
    <row r="1">
      <c r="A1" s="1" t="inlineStr">
        <is>
          <t>The BoJ path against what actually drives it</t>
        </is>
      </c>
    </row>
    <row r="2">
      <c r="A2" s="2" t="inlineStr">
        <is>
          <t>Slide 2, exhibit 2. OIS tells you what is priced; core-core CPI and the Shunto settlement tell you what the BoJ is looking at. The exhibit is the gap between them.</t>
        </is>
      </c>
    </row>
    <row r="3" ht="4" customHeight="1">
      <c r="A3" s="3" t="n"/>
      <c r="B3" s="3" t="n"/>
      <c r="C3" s="3" t="n"/>
      <c r="D3" s="3" t="n"/>
      <c r="E3" s="3" t="n"/>
      <c r="F3" s="3" t="n"/>
      <c r="G3" s="3" t="n"/>
      <c r="H3" s="3" t="n"/>
    </row>
    <row r="5" ht="18" customHeight="1">
      <c r="A5" s="4" t="inlineStr">
        <is>
          <t>Measure</t>
        </is>
      </c>
      <c r="B5" s="4" t="inlineStr">
        <is>
          <t>Ticker</t>
        </is>
      </c>
      <c r="C5" s="4" t="inlineStr">
        <is>
          <t>Value, %</t>
        </is>
      </c>
      <c r="D5" s="4" t="inlineStr">
        <is>
          <t>Note</t>
        </is>
      </c>
    </row>
    <row r="6">
      <c r="A6" s="13" t="inlineStr">
        <is>
          <t>BoJ policy rate</t>
        </is>
      </c>
      <c r="B6" s="14" t="inlineStr">
        <is>
          <t>BOJDTR Index</t>
        </is>
      </c>
      <c r="C6" s="33">
        <f>BDP($B6,"PX_LAST")</f>
        <v/>
      </c>
      <c r="D6" s="7" t="inlineStr">
        <is>
          <t>1.00% at the June meeting, highest since Sep-1995.</t>
        </is>
      </c>
    </row>
    <row r="7">
      <c r="A7" s="13" t="inlineStr">
        <is>
          <t>JPY OIS, 1y</t>
        </is>
      </c>
      <c r="B7" s="14" t="inlineStr">
        <is>
          <t>JYSO1 Curncy</t>
        </is>
      </c>
      <c r="C7" s="33">
        <f>BDP($B7,"PX_LAST")</f>
        <v/>
      </c>
      <c r="D7" s="7" t="inlineStr">
        <is>
          <t>What is priced over the next year.</t>
        </is>
      </c>
    </row>
    <row r="8">
      <c r="A8" s="13" t="inlineStr">
        <is>
          <t>JPY OIS, 2y</t>
        </is>
      </c>
      <c r="B8" s="14" t="inlineStr">
        <is>
          <t>JYSO2 Curncy</t>
        </is>
      </c>
      <c r="C8" s="33">
        <f>BDP($B8,"PX_LAST")</f>
        <v/>
      </c>
      <c r="D8" s="7" t="inlineStr">
        <is>
          <t>Two-year point.</t>
        </is>
      </c>
    </row>
    <row r="9">
      <c r="A9" s="13" t="inlineStr">
        <is>
          <t>Implied 1y1y forward</t>
        </is>
      </c>
      <c r="B9" s="29" t="n"/>
      <c r="C9" s="33">
        <f>IFERROR(2*C8-C7,"")</f>
        <v/>
      </c>
      <c r="D9" s="7" t="inlineStr">
        <is>
          <t>Linear approximation, 2 x 2y less 1y. Good enough at these tenors and it shows its own working; use FWCM &lt;GO&gt; if you want the exact forward.</t>
        </is>
      </c>
    </row>
    <row r="10">
      <c r="A10" s="13" t="inlineStr">
        <is>
          <t>Priced hikes to 1y, count</t>
        </is>
      </c>
      <c r="B10" s="29" t="n"/>
      <c r="C10" s="33">
        <f>IFERROR((C7-C6)/0.25,"")</f>
        <v/>
      </c>
      <c r="D10" s="7" t="inlineStr">
        <is>
          <t>25bp increments. This is the number to say out loud.</t>
        </is>
      </c>
    </row>
    <row r="11">
      <c r="A11" s="13" t="inlineStr">
        <is>
          <t>Japan core-core CPI y/y</t>
        </is>
      </c>
      <c r="B11" s="14" t="inlineStr">
        <is>
          <t>JCPNEFEY Index</t>
        </is>
      </c>
      <c r="C11" s="33">
        <f>BDP($B10,"PX_LAST")</f>
        <v/>
      </c>
      <c r="D11" s="7" t="inlineStr">
        <is>
          <t>Ex fresh food AND energy — the series the BoJ targets in practice.</t>
        </is>
      </c>
    </row>
    <row r="12">
      <c r="A12" s="13" t="inlineStr">
        <is>
          <t>Japan core CPI y/y</t>
        </is>
      </c>
      <c r="B12" s="14" t="inlineStr">
        <is>
          <t>JNCPIXFY Index</t>
        </is>
      </c>
      <c r="C12" s="33">
        <f>BDP($B11,"PX_LAST")</f>
        <v/>
      </c>
      <c r="D12" s="7" t="inlineStr">
        <is>
          <t>Ex fresh food only. Carried for contrast, not for the chart.</t>
        </is>
      </c>
    </row>
    <row r="14">
      <c r="A14" s="9" t="inlineStr">
        <is>
          <t>Shunto — the one input on this tab that may not pull</t>
        </is>
      </c>
    </row>
    <row r="15" ht="18" customHeight="1">
      <c r="A15" s="4" t="inlineStr">
        <is>
          <t>Year</t>
        </is>
      </c>
      <c r="B15" s="4" t="inlineStr">
        <is>
          <t>Candidate ticker</t>
        </is>
      </c>
      <c r="C15" s="4" t="inlineStr">
        <is>
          <t>Pulled</t>
        </is>
      </c>
      <c r="D15" s="4" t="inlineStr">
        <is>
          <t>Manual entry</t>
        </is>
      </c>
      <c r="E15" s="4" t="inlineStr">
        <is>
          <t>Used</t>
        </is>
      </c>
      <c r="F15" s="12" t="inlineStr">
        <is>
          <t>Rengo publishes the annual settlement each spring. If the ticker resolves, the Used column takes it; if not, type the published figure into Manual entry and the chart still draws. This is the only place in the workbook where a typed number is permitted, and it is permitted because the alternative is a missing series rather than a wrong one — the Used column shows which source it took.</t>
        </is>
      </c>
    </row>
    <row r="16">
      <c r="A16" s="13">
        <f>YEAR(AsOf)-5</f>
        <v/>
      </c>
      <c r="B16" s="14" t="inlineStr">
        <is>
          <t>JNSHUNTO Index</t>
        </is>
      </c>
      <c r="C16" s="21">
        <f>IFERROR(BDH($B16,"PX_LAST",DATE(A16,4,1),DATE(A16,7,31),"Dir=H","Sort=D","cols=1;rows=1"),"")</f>
        <v/>
      </c>
      <c r="D16" s="49" t="n"/>
      <c r="E16" s="33">
        <f>IF(C16&lt;&gt;"",C16,D16)</f>
        <v/>
      </c>
    </row>
    <row r="17">
      <c r="A17" s="13">
        <f>YEAR(AsOf)-4</f>
        <v/>
      </c>
      <c r="B17" s="14" t="inlineStr">
        <is>
          <t>JNSHUNTO Index</t>
        </is>
      </c>
      <c r="C17" s="21">
        <f>IFERROR(BDH($B17,"PX_LAST",DATE(A17,4,1),DATE(A17,7,31),"Dir=H","Sort=D","cols=1;rows=1"),"")</f>
        <v/>
      </c>
      <c r="D17" s="49" t="n"/>
      <c r="E17" s="33">
        <f>IF(C17&lt;&gt;"",C17,D17)</f>
        <v/>
      </c>
    </row>
    <row r="18">
      <c r="A18" s="13">
        <f>YEAR(AsOf)-3</f>
        <v/>
      </c>
      <c r="B18" s="14" t="inlineStr">
        <is>
          <t>JNSHUNTO Index</t>
        </is>
      </c>
      <c r="C18" s="21">
        <f>IFERROR(BDH($B18,"PX_LAST",DATE(A18,4,1),DATE(A18,7,31),"Dir=H","Sort=D","cols=1;rows=1"),"")</f>
        <v/>
      </c>
      <c r="D18" s="49" t="n"/>
      <c r="E18" s="33">
        <f>IF(C18&lt;&gt;"",C18,D18)</f>
        <v/>
      </c>
    </row>
    <row r="19">
      <c r="A19" s="13">
        <f>YEAR(AsOf)-2</f>
        <v/>
      </c>
      <c r="B19" s="14" t="inlineStr">
        <is>
          <t>JNSHUNTO Index</t>
        </is>
      </c>
      <c r="C19" s="21">
        <f>IFERROR(BDH($B19,"PX_LAST",DATE(A19,4,1),DATE(A19,7,31),"Dir=H","Sort=D","cols=1;rows=1"),"")</f>
        <v/>
      </c>
      <c r="D19" s="49" t="n"/>
      <c r="E19" s="33">
        <f>IF(C19&lt;&gt;"",C19,D19)</f>
        <v/>
      </c>
    </row>
    <row r="20">
      <c r="A20" s="13">
        <f>YEAR(AsOf)-1</f>
        <v/>
      </c>
      <c r="B20" s="14" t="inlineStr">
        <is>
          <t>JNSHUNTO Index</t>
        </is>
      </c>
      <c r="C20" s="21">
        <f>IFERROR(BDH($B20,"PX_LAST",DATE(A20,4,1),DATE(A20,7,31),"Dir=H","Sort=D","cols=1;rows=1"),"")</f>
        <v/>
      </c>
      <c r="D20" s="49" t="n"/>
      <c r="E20" s="33">
        <f>IF(C20&lt;&gt;"",C20,D20)</f>
        <v/>
      </c>
    </row>
    <row r="21">
      <c r="A21" s="13">
        <f>YEAR(AsOf)-0</f>
        <v/>
      </c>
      <c r="B21" s="14" t="inlineStr">
        <is>
          <t>JNSHUNTO Index</t>
        </is>
      </c>
      <c r="C21" s="21">
        <f>IFERROR(BDH($B21,"PX_LAST",DATE(A21,4,1),DATE(A21,7,31),"Dir=H","Sort=D","cols=1;rows=1"),"")</f>
        <v/>
      </c>
      <c r="D21" s="49" t="n"/>
      <c r="E21" s="33">
        <f>IF(C21&lt;&gt;"",C21,D21)</f>
        <v/>
      </c>
    </row>
    <row r="24">
      <c r="A24" s="9" t="inlineStr">
        <is>
          <t>Monthly history — what is priced against what is printing</t>
        </is>
      </c>
      <c r="R24" s="12" t="inlineStr">
        <is>
          <t>Staging — one BQL call per security. Each spills DATE and value; the working columns on the left look them up by date. Blocks: R = JPY OIS 1y · V = JPY OIS 2y · Z = Japan core-core CPI.  If a block comes back with an extra ID column, shift that block's value column by one — nothing else needs to change.</t>
        </is>
      </c>
    </row>
    <row r="25">
      <c r="A25" s="12" t="inlineStr">
        <is>
          <t>All three series are in per cent, so they share one axis. A secondary axis here would be a way of making two unrelated scales look like they move together, which is exactly the thing to avoid on this chart.</t>
        </is>
      </c>
    </row>
    <row r="26">
      <c r="A26" s="9" t="inlineStr">
        <is>
          <t>Date alignment check</t>
        </is>
      </c>
      <c r="C26" s="9">
        <f>IFERROR(SUMPRODUCT(--($R$28:$R$158&lt;&gt;"")*($V$28:$V$158&lt;&gt;"")*($R$28:$R$158&lt;&gt;$V$28:$V$158))+SUMPRODUCT(--($R$28:$R$158&lt;&gt;"")*($Z$28:$Z$158&lt;&gt;"")*($R$28:$R$158&lt;&gt;$Z$28:$Z$158)),"")</f>
        <v/>
      </c>
      <c r="D26" s="2">
        <f>IF(C26="","",IF(C26=0,"OK — blocks are row-aligned","MISALIGNED: "&amp;C26&amp;" rows differ. Do not use these numbers; switch the value columns to INDEX/MATCH on the date."))</f>
        <v/>
      </c>
      <c r="R26" s="10">
        <f>BQL("JYSO1 Curncy","px_last(frq=M, dates=range("&amp;TEXT(Start5Y,"yyyy-mm-dd")&amp;","&amp;TEXT(AsOf,"yyyy-mm-dd")&amp;"), fill=prev)")</f>
        <v/>
      </c>
      <c r="V26" s="10">
        <f>BQL("JYSO2 Curncy","px_last(frq=M, dates=range("&amp;TEXT(Start5Y,"yyyy-mm-dd")&amp;","&amp;TEXT(AsOf,"yyyy-mm-dd")&amp;"), fill=prev)")</f>
        <v/>
      </c>
      <c r="Z26" s="10">
        <f>BQL("JCPNEFEY Index","px_last(frq=M, dates=range("&amp;TEXT(Start5Y,"yyyy-mm-dd")&amp;","&amp;TEXT(AsOf,"yyyy-mm-dd")&amp;"), fill=prev)")</f>
        <v/>
      </c>
    </row>
    <row r="27" ht="18" customHeight="1">
      <c r="A27" s="4" t="inlineStr">
        <is>
          <t>Date</t>
        </is>
      </c>
      <c r="B27" s="4" t="inlineStr">
        <is>
          <t>JPY OIS 1y, %</t>
        </is>
      </c>
      <c r="C27" s="4" t="inlineStr">
        <is>
          <t>JPY OIS 2y, %</t>
        </is>
      </c>
      <c r="D27" s="4" t="inlineStr">
        <is>
          <t>Core-core CPI y/y, %</t>
        </is>
      </c>
      <c r="E27" s="4" t="inlineStr">
        <is>
          <t>1y1y forward, %</t>
        </is>
      </c>
    </row>
    <row r="28">
      <c r="A28" s="43">
        <f>IFERROR(INDEX($R$28:$R$158,ROW()-27),"")</f>
        <v/>
      </c>
      <c r="B28">
        <f>IFERROR(INDEX($S$28:$S$158,ROW()-27),"")</f>
        <v/>
      </c>
      <c r="C28">
        <f>IFERROR(INDEX($W$28:$W$158,ROW()-27),"")</f>
        <v/>
      </c>
      <c r="D28">
        <f>IFERROR(INDEX($AA$28:$AA$158,ROW()-27),"")</f>
        <v/>
      </c>
      <c r="E28" s="28">
        <f>IFERROR(2*C28-B28,"")</f>
        <v/>
      </c>
    </row>
    <row r="29">
      <c r="A29" s="43">
        <f>IFERROR(INDEX($R$28:$R$158,ROW()-27),"")</f>
        <v/>
      </c>
      <c r="B29">
        <f>IFERROR(INDEX($S$28:$S$158,ROW()-27),"")</f>
        <v/>
      </c>
      <c r="C29">
        <f>IFERROR(INDEX($W$28:$W$158,ROW()-27),"")</f>
        <v/>
      </c>
      <c r="D29">
        <f>IFERROR(INDEX($AA$28:$AA$158,ROW()-27),"")</f>
        <v/>
      </c>
      <c r="E29" s="28">
        <f>IFERROR(2*C29-B29,"")</f>
        <v/>
      </c>
    </row>
    <row r="30">
      <c r="A30" s="43">
        <f>IFERROR(INDEX($R$28:$R$158,ROW()-27),"")</f>
        <v/>
      </c>
      <c r="B30">
        <f>IFERROR(INDEX($S$28:$S$158,ROW()-27),"")</f>
        <v/>
      </c>
      <c r="C30">
        <f>IFERROR(INDEX($W$28:$W$158,ROW()-27),"")</f>
        <v/>
      </c>
      <c r="D30">
        <f>IFERROR(INDEX($AA$28:$AA$158,ROW()-27),"")</f>
        <v/>
      </c>
      <c r="E30" s="28">
        <f>IFERROR(2*C30-B30,"")</f>
        <v/>
      </c>
    </row>
    <row r="31">
      <c r="A31" s="43">
        <f>IFERROR(INDEX($R$28:$R$158,ROW()-27),"")</f>
        <v/>
      </c>
      <c r="B31">
        <f>IFERROR(INDEX($S$28:$S$158,ROW()-27),"")</f>
        <v/>
      </c>
      <c r="C31">
        <f>IFERROR(INDEX($W$28:$W$158,ROW()-27),"")</f>
        <v/>
      </c>
      <c r="D31">
        <f>IFERROR(INDEX($AA$28:$AA$158,ROW()-27),"")</f>
        <v/>
      </c>
      <c r="E31" s="28">
        <f>IFERROR(2*C31-B31,"")</f>
        <v/>
      </c>
    </row>
    <row r="32">
      <c r="A32" s="43">
        <f>IFERROR(INDEX($R$28:$R$158,ROW()-27),"")</f>
        <v/>
      </c>
      <c r="B32">
        <f>IFERROR(INDEX($S$28:$S$158,ROW()-27),"")</f>
        <v/>
      </c>
      <c r="C32">
        <f>IFERROR(INDEX($W$28:$W$158,ROW()-27),"")</f>
        <v/>
      </c>
      <c r="D32">
        <f>IFERROR(INDEX($AA$28:$AA$158,ROW()-27),"")</f>
        <v/>
      </c>
      <c r="E32" s="28">
        <f>IFERROR(2*C32-B32,"")</f>
        <v/>
      </c>
    </row>
    <row r="33">
      <c r="A33" s="43">
        <f>IFERROR(INDEX($R$28:$R$158,ROW()-27),"")</f>
        <v/>
      </c>
      <c r="B33">
        <f>IFERROR(INDEX($S$28:$S$158,ROW()-27),"")</f>
        <v/>
      </c>
      <c r="C33">
        <f>IFERROR(INDEX($W$28:$W$158,ROW()-27),"")</f>
        <v/>
      </c>
      <c r="D33">
        <f>IFERROR(INDEX($AA$28:$AA$158,ROW()-27),"")</f>
        <v/>
      </c>
      <c r="E33" s="28">
        <f>IFERROR(2*C33-B33,"")</f>
        <v/>
      </c>
    </row>
    <row r="34">
      <c r="A34" s="43">
        <f>IFERROR(INDEX($R$28:$R$158,ROW()-27),"")</f>
        <v/>
      </c>
      <c r="B34">
        <f>IFERROR(INDEX($S$28:$S$158,ROW()-27),"")</f>
        <v/>
      </c>
      <c r="C34">
        <f>IFERROR(INDEX($W$28:$W$158,ROW()-27),"")</f>
        <v/>
      </c>
      <c r="D34">
        <f>IFERROR(INDEX($AA$28:$AA$158,ROW()-27),"")</f>
        <v/>
      </c>
      <c r="E34" s="28">
        <f>IFERROR(2*C34-B34,"")</f>
        <v/>
      </c>
    </row>
    <row r="35">
      <c r="A35" s="43">
        <f>IFERROR(INDEX($R$28:$R$158,ROW()-27),"")</f>
        <v/>
      </c>
      <c r="B35">
        <f>IFERROR(INDEX($S$28:$S$158,ROW()-27),"")</f>
        <v/>
      </c>
      <c r="C35">
        <f>IFERROR(INDEX($W$28:$W$158,ROW()-27),"")</f>
        <v/>
      </c>
      <c r="D35">
        <f>IFERROR(INDEX($AA$28:$AA$158,ROW()-27),"")</f>
        <v/>
      </c>
      <c r="E35" s="28">
        <f>IFERROR(2*C35-B35,"")</f>
        <v/>
      </c>
    </row>
    <row r="36">
      <c r="A36" s="43">
        <f>IFERROR(INDEX($R$28:$R$158,ROW()-27),"")</f>
        <v/>
      </c>
      <c r="B36">
        <f>IFERROR(INDEX($S$28:$S$158,ROW()-27),"")</f>
        <v/>
      </c>
      <c r="C36">
        <f>IFERROR(INDEX($W$28:$W$158,ROW()-27),"")</f>
        <v/>
      </c>
      <c r="D36">
        <f>IFERROR(INDEX($AA$28:$AA$158,ROW()-27),"")</f>
        <v/>
      </c>
      <c r="E36" s="28">
        <f>IFERROR(2*C36-B36,"")</f>
        <v/>
      </c>
    </row>
    <row r="37">
      <c r="A37" s="43">
        <f>IFERROR(INDEX($R$28:$R$158,ROW()-27),"")</f>
        <v/>
      </c>
      <c r="B37">
        <f>IFERROR(INDEX($S$28:$S$158,ROW()-27),"")</f>
        <v/>
      </c>
      <c r="C37">
        <f>IFERROR(INDEX($W$28:$W$158,ROW()-27),"")</f>
        <v/>
      </c>
      <c r="D37">
        <f>IFERROR(INDEX($AA$28:$AA$158,ROW()-27),"")</f>
        <v/>
      </c>
      <c r="E37" s="28">
        <f>IFERROR(2*C37-B37,"")</f>
        <v/>
      </c>
    </row>
    <row r="38">
      <c r="A38" s="43">
        <f>IFERROR(INDEX($R$28:$R$158,ROW()-27),"")</f>
        <v/>
      </c>
      <c r="B38">
        <f>IFERROR(INDEX($S$28:$S$158,ROW()-27),"")</f>
        <v/>
      </c>
      <c r="C38">
        <f>IFERROR(INDEX($W$28:$W$158,ROW()-27),"")</f>
        <v/>
      </c>
      <c r="D38">
        <f>IFERROR(INDEX($AA$28:$AA$158,ROW()-27),"")</f>
        <v/>
      </c>
      <c r="E38" s="28">
        <f>IFERROR(2*C38-B38,"")</f>
        <v/>
      </c>
    </row>
    <row r="39">
      <c r="A39" s="43">
        <f>IFERROR(INDEX($R$28:$R$158,ROW()-27),"")</f>
        <v/>
      </c>
      <c r="B39">
        <f>IFERROR(INDEX($S$28:$S$158,ROW()-27),"")</f>
        <v/>
      </c>
      <c r="C39">
        <f>IFERROR(INDEX($W$28:$W$158,ROW()-27),"")</f>
        <v/>
      </c>
      <c r="D39">
        <f>IFERROR(INDEX($AA$28:$AA$158,ROW()-27),"")</f>
        <v/>
      </c>
      <c r="E39" s="28">
        <f>IFERROR(2*C39-B39,"")</f>
        <v/>
      </c>
    </row>
    <row r="40">
      <c r="A40" s="43">
        <f>IFERROR(INDEX($R$28:$R$158,ROW()-27),"")</f>
        <v/>
      </c>
      <c r="B40">
        <f>IFERROR(INDEX($S$28:$S$158,ROW()-27),"")</f>
        <v/>
      </c>
      <c r="C40">
        <f>IFERROR(INDEX($W$28:$W$158,ROW()-27),"")</f>
        <v/>
      </c>
      <c r="D40">
        <f>IFERROR(INDEX($AA$28:$AA$158,ROW()-27),"")</f>
        <v/>
      </c>
      <c r="E40" s="28">
        <f>IFERROR(2*C40-B40,"")</f>
        <v/>
      </c>
    </row>
    <row r="41">
      <c r="A41" s="43">
        <f>IFERROR(INDEX($R$28:$R$158,ROW()-27),"")</f>
        <v/>
      </c>
      <c r="B41">
        <f>IFERROR(INDEX($S$28:$S$158,ROW()-27),"")</f>
        <v/>
      </c>
      <c r="C41">
        <f>IFERROR(INDEX($W$28:$W$158,ROW()-27),"")</f>
        <v/>
      </c>
      <c r="D41">
        <f>IFERROR(INDEX($AA$28:$AA$158,ROW()-27),"")</f>
        <v/>
      </c>
      <c r="E41" s="28">
        <f>IFERROR(2*C41-B41,"")</f>
        <v/>
      </c>
    </row>
    <row r="42">
      <c r="A42" s="43">
        <f>IFERROR(INDEX($R$28:$R$158,ROW()-27),"")</f>
        <v/>
      </c>
      <c r="B42">
        <f>IFERROR(INDEX($S$28:$S$158,ROW()-27),"")</f>
        <v/>
      </c>
      <c r="C42">
        <f>IFERROR(INDEX($W$28:$W$158,ROW()-27),"")</f>
        <v/>
      </c>
      <c r="D42">
        <f>IFERROR(INDEX($AA$28:$AA$158,ROW()-27),"")</f>
        <v/>
      </c>
      <c r="E42" s="28">
        <f>IFERROR(2*C42-B42,"")</f>
        <v/>
      </c>
    </row>
    <row r="43">
      <c r="A43" s="43">
        <f>IFERROR(INDEX($R$28:$R$158,ROW()-27),"")</f>
        <v/>
      </c>
      <c r="B43">
        <f>IFERROR(INDEX($S$28:$S$158,ROW()-27),"")</f>
        <v/>
      </c>
      <c r="C43">
        <f>IFERROR(INDEX($W$28:$W$158,ROW()-27),"")</f>
        <v/>
      </c>
      <c r="D43">
        <f>IFERROR(INDEX($AA$28:$AA$158,ROW()-27),"")</f>
        <v/>
      </c>
      <c r="E43" s="28">
        <f>IFERROR(2*C43-B43,"")</f>
        <v/>
      </c>
    </row>
    <row r="44">
      <c r="A44" s="43">
        <f>IFERROR(INDEX($R$28:$R$158,ROW()-27),"")</f>
        <v/>
      </c>
      <c r="B44">
        <f>IFERROR(INDEX($S$28:$S$158,ROW()-27),"")</f>
        <v/>
      </c>
      <c r="C44">
        <f>IFERROR(INDEX($W$28:$W$158,ROW()-27),"")</f>
        <v/>
      </c>
      <c r="D44">
        <f>IFERROR(INDEX($AA$28:$AA$158,ROW()-27),"")</f>
        <v/>
      </c>
      <c r="E44" s="28">
        <f>IFERROR(2*C44-B44,"")</f>
        <v/>
      </c>
    </row>
    <row r="45">
      <c r="A45" s="43">
        <f>IFERROR(INDEX($R$28:$R$158,ROW()-27),"")</f>
        <v/>
      </c>
      <c r="B45">
        <f>IFERROR(INDEX($S$28:$S$158,ROW()-27),"")</f>
        <v/>
      </c>
      <c r="C45">
        <f>IFERROR(INDEX($W$28:$W$158,ROW()-27),"")</f>
        <v/>
      </c>
      <c r="D45">
        <f>IFERROR(INDEX($AA$28:$AA$158,ROW()-27),"")</f>
        <v/>
      </c>
      <c r="E45" s="28">
        <f>IFERROR(2*C45-B45,"")</f>
        <v/>
      </c>
    </row>
    <row r="46">
      <c r="A46" s="43">
        <f>IFERROR(INDEX($R$28:$R$158,ROW()-27),"")</f>
        <v/>
      </c>
      <c r="B46">
        <f>IFERROR(INDEX($S$28:$S$158,ROW()-27),"")</f>
        <v/>
      </c>
      <c r="C46">
        <f>IFERROR(INDEX($W$28:$W$158,ROW()-27),"")</f>
        <v/>
      </c>
      <c r="D46">
        <f>IFERROR(INDEX($AA$28:$AA$158,ROW()-27),"")</f>
        <v/>
      </c>
      <c r="E46" s="28">
        <f>IFERROR(2*C46-B46,"")</f>
        <v/>
      </c>
    </row>
    <row r="47">
      <c r="A47" s="43">
        <f>IFERROR(INDEX($R$28:$R$158,ROW()-27),"")</f>
        <v/>
      </c>
      <c r="B47">
        <f>IFERROR(INDEX($S$28:$S$158,ROW()-27),"")</f>
        <v/>
      </c>
      <c r="C47">
        <f>IFERROR(INDEX($W$28:$W$158,ROW()-27),"")</f>
        <v/>
      </c>
      <c r="D47">
        <f>IFERROR(INDEX($AA$28:$AA$158,ROW()-27),"")</f>
        <v/>
      </c>
      <c r="E47" s="28">
        <f>IFERROR(2*C47-B47,"")</f>
        <v/>
      </c>
    </row>
    <row r="48">
      <c r="A48" s="43">
        <f>IFERROR(INDEX($R$28:$R$158,ROW()-27),"")</f>
        <v/>
      </c>
      <c r="B48">
        <f>IFERROR(INDEX($S$28:$S$158,ROW()-27),"")</f>
        <v/>
      </c>
      <c r="C48">
        <f>IFERROR(INDEX($W$28:$W$158,ROW()-27),"")</f>
        <v/>
      </c>
      <c r="D48">
        <f>IFERROR(INDEX($AA$28:$AA$158,ROW()-27),"")</f>
        <v/>
      </c>
      <c r="E48" s="28">
        <f>IFERROR(2*C48-B48,"")</f>
        <v/>
      </c>
    </row>
    <row r="49">
      <c r="A49" s="43">
        <f>IFERROR(INDEX($R$28:$R$158,ROW()-27),"")</f>
        <v/>
      </c>
      <c r="B49">
        <f>IFERROR(INDEX($S$28:$S$158,ROW()-27),"")</f>
        <v/>
      </c>
      <c r="C49">
        <f>IFERROR(INDEX($W$28:$W$158,ROW()-27),"")</f>
        <v/>
      </c>
      <c r="D49">
        <f>IFERROR(INDEX($AA$28:$AA$158,ROW()-27),"")</f>
        <v/>
      </c>
      <c r="E49" s="28">
        <f>IFERROR(2*C49-B49,"")</f>
        <v/>
      </c>
    </row>
    <row r="50">
      <c r="A50" s="43">
        <f>IFERROR(INDEX($R$28:$R$158,ROW()-27),"")</f>
        <v/>
      </c>
      <c r="B50">
        <f>IFERROR(INDEX($S$28:$S$158,ROW()-27),"")</f>
        <v/>
      </c>
      <c r="C50">
        <f>IFERROR(INDEX($W$28:$W$158,ROW()-27),"")</f>
        <v/>
      </c>
      <c r="D50">
        <f>IFERROR(INDEX($AA$28:$AA$158,ROW()-27),"")</f>
        <v/>
      </c>
      <c r="E50" s="28">
        <f>IFERROR(2*C50-B50,"")</f>
        <v/>
      </c>
    </row>
    <row r="51">
      <c r="A51" s="43">
        <f>IFERROR(INDEX($R$28:$R$158,ROW()-27),"")</f>
        <v/>
      </c>
      <c r="B51">
        <f>IFERROR(INDEX($S$28:$S$158,ROW()-27),"")</f>
        <v/>
      </c>
      <c r="C51">
        <f>IFERROR(INDEX($W$28:$W$158,ROW()-27),"")</f>
        <v/>
      </c>
      <c r="D51">
        <f>IFERROR(INDEX($AA$28:$AA$158,ROW()-27),"")</f>
        <v/>
      </c>
      <c r="E51" s="28">
        <f>IFERROR(2*C51-B51,"")</f>
        <v/>
      </c>
    </row>
    <row r="52">
      <c r="A52" s="43">
        <f>IFERROR(INDEX($R$28:$R$158,ROW()-27),"")</f>
        <v/>
      </c>
      <c r="B52">
        <f>IFERROR(INDEX($S$28:$S$158,ROW()-27),"")</f>
        <v/>
      </c>
      <c r="C52">
        <f>IFERROR(INDEX($W$28:$W$158,ROW()-27),"")</f>
        <v/>
      </c>
      <c r="D52">
        <f>IFERROR(INDEX($AA$28:$AA$158,ROW()-27),"")</f>
        <v/>
      </c>
      <c r="E52" s="28">
        <f>IFERROR(2*C52-B52,"")</f>
        <v/>
      </c>
    </row>
    <row r="53">
      <c r="A53" s="43">
        <f>IFERROR(INDEX($R$28:$R$158,ROW()-27),"")</f>
        <v/>
      </c>
      <c r="B53">
        <f>IFERROR(INDEX($S$28:$S$158,ROW()-27),"")</f>
        <v/>
      </c>
      <c r="C53">
        <f>IFERROR(INDEX($W$28:$W$158,ROW()-27),"")</f>
        <v/>
      </c>
      <c r="D53">
        <f>IFERROR(INDEX($AA$28:$AA$158,ROW()-27),"")</f>
        <v/>
      </c>
      <c r="E53" s="28">
        <f>IFERROR(2*C53-B53,"")</f>
        <v/>
      </c>
    </row>
    <row r="54">
      <c r="A54" s="43">
        <f>IFERROR(INDEX($R$28:$R$158,ROW()-27),"")</f>
        <v/>
      </c>
      <c r="B54">
        <f>IFERROR(INDEX($S$28:$S$158,ROW()-27),"")</f>
        <v/>
      </c>
      <c r="C54">
        <f>IFERROR(INDEX($W$28:$W$158,ROW()-27),"")</f>
        <v/>
      </c>
      <c r="D54">
        <f>IFERROR(INDEX($AA$28:$AA$158,ROW()-27),"")</f>
        <v/>
      </c>
      <c r="E54" s="28">
        <f>IFERROR(2*C54-B54,"")</f>
        <v/>
      </c>
    </row>
    <row r="55">
      <c r="A55" s="43">
        <f>IFERROR(INDEX($R$28:$R$158,ROW()-27),"")</f>
        <v/>
      </c>
      <c r="B55">
        <f>IFERROR(INDEX($S$28:$S$158,ROW()-27),"")</f>
        <v/>
      </c>
      <c r="C55">
        <f>IFERROR(INDEX($W$28:$W$158,ROW()-27),"")</f>
        <v/>
      </c>
      <c r="D55">
        <f>IFERROR(INDEX($AA$28:$AA$158,ROW()-27),"")</f>
        <v/>
      </c>
      <c r="E55" s="28">
        <f>IFERROR(2*C55-B55,"")</f>
        <v/>
      </c>
    </row>
    <row r="56">
      <c r="A56" s="43">
        <f>IFERROR(INDEX($R$28:$R$158,ROW()-27),"")</f>
        <v/>
      </c>
      <c r="B56">
        <f>IFERROR(INDEX($S$28:$S$158,ROW()-27),"")</f>
        <v/>
      </c>
      <c r="C56">
        <f>IFERROR(INDEX($W$28:$W$158,ROW()-27),"")</f>
        <v/>
      </c>
      <c r="D56">
        <f>IFERROR(INDEX($AA$28:$AA$158,ROW()-27),"")</f>
        <v/>
      </c>
      <c r="E56" s="28">
        <f>IFERROR(2*C56-B56,"")</f>
        <v/>
      </c>
    </row>
    <row r="57">
      <c r="A57" s="43">
        <f>IFERROR(INDEX($R$28:$R$158,ROW()-27),"")</f>
        <v/>
      </c>
      <c r="B57">
        <f>IFERROR(INDEX($S$28:$S$158,ROW()-27),"")</f>
        <v/>
      </c>
      <c r="C57">
        <f>IFERROR(INDEX($W$28:$W$158,ROW()-27),"")</f>
        <v/>
      </c>
      <c r="D57">
        <f>IFERROR(INDEX($AA$28:$AA$158,ROW()-27),"")</f>
        <v/>
      </c>
      <c r="E57" s="28">
        <f>IFERROR(2*C57-B57,"")</f>
        <v/>
      </c>
    </row>
    <row r="58">
      <c r="A58" s="43">
        <f>IFERROR(INDEX($R$28:$R$158,ROW()-27),"")</f>
        <v/>
      </c>
      <c r="B58">
        <f>IFERROR(INDEX($S$28:$S$158,ROW()-27),"")</f>
        <v/>
      </c>
      <c r="C58">
        <f>IFERROR(INDEX($W$28:$W$158,ROW()-27),"")</f>
        <v/>
      </c>
      <c r="D58">
        <f>IFERROR(INDEX($AA$28:$AA$158,ROW()-27),"")</f>
        <v/>
      </c>
      <c r="E58" s="28">
        <f>IFERROR(2*C58-B58,"")</f>
        <v/>
      </c>
    </row>
    <row r="59">
      <c r="A59" s="43">
        <f>IFERROR(INDEX($R$28:$R$158,ROW()-27),"")</f>
        <v/>
      </c>
      <c r="B59">
        <f>IFERROR(INDEX($S$28:$S$158,ROW()-27),"")</f>
        <v/>
      </c>
      <c r="C59">
        <f>IFERROR(INDEX($W$28:$W$158,ROW()-27),"")</f>
        <v/>
      </c>
      <c r="D59">
        <f>IFERROR(INDEX($AA$28:$AA$158,ROW()-27),"")</f>
        <v/>
      </c>
      <c r="E59" s="28">
        <f>IFERROR(2*C59-B59,"")</f>
        <v/>
      </c>
    </row>
    <row r="60">
      <c r="A60" s="43">
        <f>IFERROR(INDEX($R$28:$R$158,ROW()-27),"")</f>
        <v/>
      </c>
      <c r="B60">
        <f>IFERROR(INDEX($S$28:$S$158,ROW()-27),"")</f>
        <v/>
      </c>
      <c r="C60">
        <f>IFERROR(INDEX($W$28:$W$158,ROW()-27),"")</f>
        <v/>
      </c>
      <c r="D60">
        <f>IFERROR(INDEX($AA$28:$AA$158,ROW()-27),"")</f>
        <v/>
      </c>
      <c r="E60" s="28">
        <f>IFERROR(2*C60-B60,"")</f>
        <v/>
      </c>
    </row>
    <row r="61">
      <c r="A61" s="43">
        <f>IFERROR(INDEX($R$28:$R$158,ROW()-27),"")</f>
        <v/>
      </c>
      <c r="B61">
        <f>IFERROR(INDEX($S$28:$S$158,ROW()-27),"")</f>
        <v/>
      </c>
      <c r="C61">
        <f>IFERROR(INDEX($W$28:$W$158,ROW()-27),"")</f>
        <v/>
      </c>
      <c r="D61">
        <f>IFERROR(INDEX($AA$28:$AA$158,ROW()-27),"")</f>
        <v/>
      </c>
      <c r="E61" s="28">
        <f>IFERROR(2*C61-B61,"")</f>
        <v/>
      </c>
    </row>
    <row r="62">
      <c r="A62" s="43">
        <f>IFERROR(INDEX($R$28:$R$158,ROW()-27),"")</f>
        <v/>
      </c>
      <c r="B62">
        <f>IFERROR(INDEX($S$28:$S$158,ROW()-27),"")</f>
        <v/>
      </c>
      <c r="C62">
        <f>IFERROR(INDEX($W$28:$W$158,ROW()-27),"")</f>
        <v/>
      </c>
      <c r="D62">
        <f>IFERROR(INDEX($AA$28:$AA$158,ROW()-27),"")</f>
        <v/>
      </c>
      <c r="E62" s="28">
        <f>IFERROR(2*C62-B62,"")</f>
        <v/>
      </c>
    </row>
    <row r="63">
      <c r="A63" s="43">
        <f>IFERROR(INDEX($R$28:$R$158,ROW()-27),"")</f>
        <v/>
      </c>
      <c r="B63">
        <f>IFERROR(INDEX($S$28:$S$158,ROW()-27),"")</f>
        <v/>
      </c>
      <c r="C63">
        <f>IFERROR(INDEX($W$28:$W$158,ROW()-27),"")</f>
        <v/>
      </c>
      <c r="D63">
        <f>IFERROR(INDEX($AA$28:$AA$158,ROW()-27),"")</f>
        <v/>
      </c>
      <c r="E63" s="28">
        <f>IFERROR(2*C63-B63,"")</f>
        <v/>
      </c>
    </row>
    <row r="64">
      <c r="A64" s="43">
        <f>IFERROR(INDEX($R$28:$R$158,ROW()-27),"")</f>
        <v/>
      </c>
      <c r="B64">
        <f>IFERROR(INDEX($S$28:$S$158,ROW()-27),"")</f>
        <v/>
      </c>
      <c r="C64">
        <f>IFERROR(INDEX($W$28:$W$158,ROW()-27),"")</f>
        <v/>
      </c>
      <c r="D64">
        <f>IFERROR(INDEX($AA$28:$AA$158,ROW()-27),"")</f>
        <v/>
      </c>
      <c r="E64" s="28">
        <f>IFERROR(2*C64-B64,"")</f>
        <v/>
      </c>
    </row>
    <row r="65">
      <c r="A65" s="43">
        <f>IFERROR(INDEX($R$28:$R$158,ROW()-27),"")</f>
        <v/>
      </c>
      <c r="B65">
        <f>IFERROR(INDEX($S$28:$S$158,ROW()-27),"")</f>
        <v/>
      </c>
      <c r="C65">
        <f>IFERROR(INDEX($W$28:$W$158,ROW()-27),"")</f>
        <v/>
      </c>
      <c r="D65">
        <f>IFERROR(INDEX($AA$28:$AA$158,ROW()-27),"")</f>
        <v/>
      </c>
      <c r="E65" s="28">
        <f>IFERROR(2*C65-B65,"")</f>
        <v/>
      </c>
    </row>
    <row r="66">
      <c r="A66" s="43">
        <f>IFERROR(INDEX($R$28:$R$158,ROW()-27),"")</f>
        <v/>
      </c>
      <c r="B66">
        <f>IFERROR(INDEX($S$28:$S$158,ROW()-27),"")</f>
        <v/>
      </c>
      <c r="C66">
        <f>IFERROR(INDEX($W$28:$W$158,ROW()-27),"")</f>
        <v/>
      </c>
      <c r="D66">
        <f>IFERROR(INDEX($AA$28:$AA$158,ROW()-27),"")</f>
        <v/>
      </c>
      <c r="E66" s="28">
        <f>IFERROR(2*C66-B66,"")</f>
        <v/>
      </c>
    </row>
    <row r="67">
      <c r="A67" s="43">
        <f>IFERROR(INDEX($R$28:$R$158,ROW()-27),"")</f>
        <v/>
      </c>
      <c r="B67">
        <f>IFERROR(INDEX($S$28:$S$158,ROW()-27),"")</f>
        <v/>
      </c>
      <c r="C67">
        <f>IFERROR(INDEX($W$28:$W$158,ROW()-27),"")</f>
        <v/>
      </c>
      <c r="D67">
        <f>IFERROR(INDEX($AA$28:$AA$158,ROW()-27),"")</f>
        <v/>
      </c>
      <c r="E67" s="28">
        <f>IFERROR(2*C67-B67,"")</f>
        <v/>
      </c>
    </row>
    <row r="68">
      <c r="A68" s="43">
        <f>IFERROR(INDEX($R$28:$R$158,ROW()-27),"")</f>
        <v/>
      </c>
      <c r="B68">
        <f>IFERROR(INDEX($S$28:$S$158,ROW()-27),"")</f>
        <v/>
      </c>
      <c r="C68">
        <f>IFERROR(INDEX($W$28:$W$158,ROW()-27),"")</f>
        <v/>
      </c>
      <c r="D68">
        <f>IFERROR(INDEX($AA$28:$AA$158,ROW()-27),"")</f>
        <v/>
      </c>
      <c r="E68" s="28">
        <f>IFERROR(2*C68-B68,"")</f>
        <v/>
      </c>
    </row>
    <row r="69">
      <c r="A69" s="43">
        <f>IFERROR(INDEX($R$28:$R$158,ROW()-27),"")</f>
        <v/>
      </c>
      <c r="B69">
        <f>IFERROR(INDEX($S$28:$S$158,ROW()-27),"")</f>
        <v/>
      </c>
      <c r="C69">
        <f>IFERROR(INDEX($W$28:$W$158,ROW()-27),"")</f>
        <v/>
      </c>
      <c r="D69">
        <f>IFERROR(INDEX($AA$28:$AA$158,ROW()-27),"")</f>
        <v/>
      </c>
      <c r="E69" s="28">
        <f>IFERROR(2*C69-B69,"")</f>
        <v/>
      </c>
    </row>
    <row r="70">
      <c r="A70" s="43">
        <f>IFERROR(INDEX($R$28:$R$158,ROW()-27),"")</f>
        <v/>
      </c>
      <c r="B70">
        <f>IFERROR(INDEX($S$28:$S$158,ROW()-27),"")</f>
        <v/>
      </c>
      <c r="C70">
        <f>IFERROR(INDEX($W$28:$W$158,ROW()-27),"")</f>
        <v/>
      </c>
      <c r="D70">
        <f>IFERROR(INDEX($AA$28:$AA$158,ROW()-27),"")</f>
        <v/>
      </c>
      <c r="E70" s="28">
        <f>IFERROR(2*C70-B70,"")</f>
        <v/>
      </c>
    </row>
    <row r="71">
      <c r="A71" s="43">
        <f>IFERROR(INDEX($R$28:$R$158,ROW()-27),"")</f>
        <v/>
      </c>
      <c r="B71">
        <f>IFERROR(INDEX($S$28:$S$158,ROW()-27),"")</f>
        <v/>
      </c>
      <c r="C71">
        <f>IFERROR(INDEX($W$28:$W$158,ROW()-27),"")</f>
        <v/>
      </c>
      <c r="D71">
        <f>IFERROR(INDEX($AA$28:$AA$158,ROW()-27),"")</f>
        <v/>
      </c>
      <c r="E71" s="28">
        <f>IFERROR(2*C71-B71,"")</f>
        <v/>
      </c>
    </row>
    <row r="72">
      <c r="A72" s="43">
        <f>IFERROR(INDEX($R$28:$R$158,ROW()-27),"")</f>
        <v/>
      </c>
      <c r="B72">
        <f>IFERROR(INDEX($S$28:$S$158,ROW()-27),"")</f>
        <v/>
      </c>
      <c r="C72">
        <f>IFERROR(INDEX($W$28:$W$158,ROW()-27),"")</f>
        <v/>
      </c>
      <c r="D72">
        <f>IFERROR(INDEX($AA$28:$AA$158,ROW()-27),"")</f>
        <v/>
      </c>
      <c r="E72" s="28">
        <f>IFERROR(2*C72-B72,"")</f>
        <v/>
      </c>
    </row>
    <row r="73">
      <c r="A73" s="43">
        <f>IFERROR(INDEX($R$28:$R$158,ROW()-27),"")</f>
        <v/>
      </c>
      <c r="B73">
        <f>IFERROR(INDEX($S$28:$S$158,ROW()-27),"")</f>
        <v/>
      </c>
      <c r="C73">
        <f>IFERROR(INDEX($W$28:$W$158,ROW()-27),"")</f>
        <v/>
      </c>
      <c r="D73">
        <f>IFERROR(INDEX($AA$28:$AA$158,ROW()-27),"")</f>
        <v/>
      </c>
      <c r="E73" s="28">
        <f>IFERROR(2*C73-B73,"")</f>
        <v/>
      </c>
    </row>
    <row r="74">
      <c r="A74" s="43">
        <f>IFERROR(INDEX($R$28:$R$158,ROW()-27),"")</f>
        <v/>
      </c>
      <c r="B74">
        <f>IFERROR(INDEX($S$28:$S$158,ROW()-27),"")</f>
        <v/>
      </c>
      <c r="C74">
        <f>IFERROR(INDEX($W$28:$W$158,ROW()-27),"")</f>
        <v/>
      </c>
      <c r="D74">
        <f>IFERROR(INDEX($AA$28:$AA$158,ROW()-27),"")</f>
        <v/>
      </c>
      <c r="E74" s="28">
        <f>IFERROR(2*C74-B74,"")</f>
        <v/>
      </c>
    </row>
    <row r="75">
      <c r="A75" s="43">
        <f>IFERROR(INDEX($R$28:$R$158,ROW()-27),"")</f>
        <v/>
      </c>
      <c r="B75">
        <f>IFERROR(INDEX($S$28:$S$158,ROW()-27),"")</f>
        <v/>
      </c>
      <c r="C75">
        <f>IFERROR(INDEX($W$28:$W$158,ROW()-27),"")</f>
        <v/>
      </c>
      <c r="D75">
        <f>IFERROR(INDEX($AA$28:$AA$158,ROW()-27),"")</f>
        <v/>
      </c>
      <c r="E75" s="28">
        <f>IFERROR(2*C75-B75,"")</f>
        <v/>
      </c>
    </row>
    <row r="76">
      <c r="A76" s="43">
        <f>IFERROR(INDEX($R$28:$R$158,ROW()-27),"")</f>
        <v/>
      </c>
      <c r="B76">
        <f>IFERROR(INDEX($S$28:$S$158,ROW()-27),"")</f>
        <v/>
      </c>
      <c r="C76">
        <f>IFERROR(INDEX($W$28:$W$158,ROW()-27),"")</f>
        <v/>
      </c>
      <c r="D76">
        <f>IFERROR(INDEX($AA$28:$AA$158,ROW()-27),"")</f>
        <v/>
      </c>
      <c r="E76" s="28">
        <f>IFERROR(2*C76-B76,"")</f>
        <v/>
      </c>
    </row>
    <row r="77">
      <c r="A77" s="43">
        <f>IFERROR(INDEX($R$28:$R$158,ROW()-27),"")</f>
        <v/>
      </c>
      <c r="B77">
        <f>IFERROR(INDEX($S$28:$S$158,ROW()-27),"")</f>
        <v/>
      </c>
      <c r="C77">
        <f>IFERROR(INDEX($W$28:$W$158,ROW()-27),"")</f>
        <v/>
      </c>
      <c r="D77">
        <f>IFERROR(INDEX($AA$28:$AA$158,ROW()-27),"")</f>
        <v/>
      </c>
      <c r="E77" s="28">
        <f>IFERROR(2*C77-B77,"")</f>
        <v/>
      </c>
    </row>
    <row r="78">
      <c r="A78" s="43">
        <f>IFERROR(INDEX($R$28:$R$158,ROW()-27),"")</f>
        <v/>
      </c>
      <c r="B78">
        <f>IFERROR(INDEX($S$28:$S$158,ROW()-27),"")</f>
        <v/>
      </c>
      <c r="C78">
        <f>IFERROR(INDEX($W$28:$W$158,ROW()-27),"")</f>
        <v/>
      </c>
      <c r="D78">
        <f>IFERROR(INDEX($AA$28:$AA$158,ROW()-27),"")</f>
        <v/>
      </c>
      <c r="E78" s="28">
        <f>IFERROR(2*C78-B78,"")</f>
        <v/>
      </c>
    </row>
    <row r="79">
      <c r="A79" s="43">
        <f>IFERROR(INDEX($R$28:$R$158,ROW()-27),"")</f>
        <v/>
      </c>
      <c r="B79">
        <f>IFERROR(INDEX($S$28:$S$158,ROW()-27),"")</f>
        <v/>
      </c>
      <c r="C79">
        <f>IFERROR(INDEX($W$28:$W$158,ROW()-27),"")</f>
        <v/>
      </c>
      <c r="D79">
        <f>IFERROR(INDEX($AA$28:$AA$158,ROW()-27),"")</f>
        <v/>
      </c>
      <c r="E79" s="28">
        <f>IFERROR(2*C79-B79,"")</f>
        <v/>
      </c>
    </row>
    <row r="80">
      <c r="A80" s="43">
        <f>IFERROR(INDEX($R$28:$R$158,ROW()-27),"")</f>
        <v/>
      </c>
      <c r="B80">
        <f>IFERROR(INDEX($S$28:$S$158,ROW()-27),"")</f>
        <v/>
      </c>
      <c r="C80">
        <f>IFERROR(INDEX($W$28:$W$158,ROW()-27),"")</f>
        <v/>
      </c>
      <c r="D80">
        <f>IFERROR(INDEX($AA$28:$AA$158,ROW()-27),"")</f>
        <v/>
      </c>
      <c r="E80" s="28">
        <f>IFERROR(2*C80-B80,"")</f>
        <v/>
      </c>
    </row>
    <row r="81">
      <c r="A81" s="43">
        <f>IFERROR(INDEX($R$28:$R$158,ROW()-27),"")</f>
        <v/>
      </c>
      <c r="B81">
        <f>IFERROR(INDEX($S$28:$S$158,ROW()-27),"")</f>
        <v/>
      </c>
      <c r="C81">
        <f>IFERROR(INDEX($W$28:$W$158,ROW()-27),"")</f>
        <v/>
      </c>
      <c r="D81">
        <f>IFERROR(INDEX($AA$28:$AA$158,ROW()-27),"")</f>
        <v/>
      </c>
      <c r="E81" s="28">
        <f>IFERROR(2*C81-B81,"")</f>
        <v/>
      </c>
    </row>
    <row r="82">
      <c r="A82" s="43">
        <f>IFERROR(INDEX($R$28:$R$158,ROW()-27),"")</f>
        <v/>
      </c>
      <c r="B82">
        <f>IFERROR(INDEX($S$28:$S$158,ROW()-27),"")</f>
        <v/>
      </c>
      <c r="C82">
        <f>IFERROR(INDEX($W$28:$W$158,ROW()-27),"")</f>
        <v/>
      </c>
      <c r="D82">
        <f>IFERROR(INDEX($AA$28:$AA$158,ROW()-27),"")</f>
        <v/>
      </c>
      <c r="E82" s="28">
        <f>IFERROR(2*C82-B82,"")</f>
        <v/>
      </c>
    </row>
    <row r="83">
      <c r="A83" s="43">
        <f>IFERROR(INDEX($R$28:$R$158,ROW()-27),"")</f>
        <v/>
      </c>
      <c r="B83">
        <f>IFERROR(INDEX($S$28:$S$158,ROW()-27),"")</f>
        <v/>
      </c>
      <c r="C83">
        <f>IFERROR(INDEX($W$28:$W$158,ROW()-27),"")</f>
        <v/>
      </c>
      <c r="D83">
        <f>IFERROR(INDEX($AA$28:$AA$158,ROW()-27),"")</f>
        <v/>
      </c>
      <c r="E83" s="28">
        <f>IFERROR(2*C83-B83,"")</f>
        <v/>
      </c>
    </row>
    <row r="84">
      <c r="A84" s="43">
        <f>IFERROR(INDEX($R$28:$R$158,ROW()-27),"")</f>
        <v/>
      </c>
      <c r="B84">
        <f>IFERROR(INDEX($S$28:$S$158,ROW()-27),"")</f>
        <v/>
      </c>
      <c r="C84">
        <f>IFERROR(INDEX($W$28:$W$158,ROW()-27),"")</f>
        <v/>
      </c>
      <c r="D84">
        <f>IFERROR(INDEX($AA$28:$AA$158,ROW()-27),"")</f>
        <v/>
      </c>
      <c r="E84" s="28">
        <f>IFERROR(2*C84-B84,"")</f>
        <v/>
      </c>
    </row>
    <row r="85">
      <c r="A85" s="43">
        <f>IFERROR(INDEX($R$28:$R$158,ROW()-27),"")</f>
        <v/>
      </c>
      <c r="B85">
        <f>IFERROR(INDEX($S$28:$S$158,ROW()-27),"")</f>
        <v/>
      </c>
      <c r="C85">
        <f>IFERROR(INDEX($W$28:$W$158,ROW()-27),"")</f>
        <v/>
      </c>
      <c r="D85">
        <f>IFERROR(INDEX($AA$28:$AA$158,ROW()-27),"")</f>
        <v/>
      </c>
      <c r="E85" s="28">
        <f>IFERROR(2*C85-B85,"")</f>
        <v/>
      </c>
    </row>
    <row r="86">
      <c r="A86" s="43">
        <f>IFERROR(INDEX($R$28:$R$158,ROW()-27),"")</f>
        <v/>
      </c>
      <c r="B86">
        <f>IFERROR(INDEX($S$28:$S$158,ROW()-27),"")</f>
        <v/>
      </c>
      <c r="C86">
        <f>IFERROR(INDEX($W$28:$W$158,ROW()-27),"")</f>
        <v/>
      </c>
      <c r="D86">
        <f>IFERROR(INDEX($AA$28:$AA$158,ROW()-27),"")</f>
        <v/>
      </c>
      <c r="E86" s="28">
        <f>IFERROR(2*C86-B86,"")</f>
        <v/>
      </c>
    </row>
    <row r="87">
      <c r="A87" s="43">
        <f>IFERROR(INDEX($R$28:$R$158,ROW()-27),"")</f>
        <v/>
      </c>
      <c r="B87">
        <f>IFERROR(INDEX($S$28:$S$158,ROW()-27),"")</f>
        <v/>
      </c>
      <c r="C87">
        <f>IFERROR(INDEX($W$28:$W$158,ROW()-27),"")</f>
        <v/>
      </c>
      <c r="D87">
        <f>IFERROR(INDEX($AA$28:$AA$158,ROW()-27),"")</f>
        <v/>
      </c>
      <c r="E87" s="28">
        <f>IFERROR(2*C87-B87,"")</f>
        <v/>
      </c>
    </row>
    <row r="88">
      <c r="A88" s="43">
        <f>IFERROR(INDEX($R$28:$R$158,ROW()-27),"")</f>
        <v/>
      </c>
      <c r="B88">
        <f>IFERROR(INDEX($S$28:$S$158,ROW()-27),"")</f>
        <v/>
      </c>
      <c r="C88">
        <f>IFERROR(INDEX($W$28:$W$158,ROW()-27),"")</f>
        <v/>
      </c>
      <c r="D88">
        <f>IFERROR(INDEX($AA$28:$AA$158,ROW()-27),"")</f>
        <v/>
      </c>
      <c r="E88" s="28">
        <f>IFERROR(2*C88-B88,"")</f>
        <v/>
      </c>
    </row>
    <row r="89">
      <c r="A89" s="43">
        <f>IFERROR(INDEX($R$28:$R$158,ROW()-27),"")</f>
        <v/>
      </c>
      <c r="B89">
        <f>IFERROR(INDEX($S$28:$S$158,ROW()-27),"")</f>
        <v/>
      </c>
      <c r="C89">
        <f>IFERROR(INDEX($W$28:$W$158,ROW()-27),"")</f>
        <v/>
      </c>
      <c r="D89">
        <f>IFERROR(INDEX($AA$28:$AA$158,ROW()-27),"")</f>
        <v/>
      </c>
      <c r="E89" s="28">
        <f>IFERROR(2*C89-B89,"")</f>
        <v/>
      </c>
    </row>
    <row r="90">
      <c r="A90" s="43">
        <f>IFERROR(INDEX($R$28:$R$158,ROW()-27),"")</f>
        <v/>
      </c>
      <c r="B90">
        <f>IFERROR(INDEX($S$28:$S$158,ROW()-27),"")</f>
        <v/>
      </c>
      <c r="C90">
        <f>IFERROR(INDEX($W$28:$W$158,ROW()-27),"")</f>
        <v/>
      </c>
      <c r="D90">
        <f>IFERROR(INDEX($AA$28:$AA$158,ROW()-27),"")</f>
        <v/>
      </c>
      <c r="E90" s="28">
        <f>IFERROR(2*C90-B90,"")</f>
        <v/>
      </c>
    </row>
    <row r="91">
      <c r="A91" s="43">
        <f>IFERROR(INDEX($R$28:$R$158,ROW()-27),"")</f>
        <v/>
      </c>
      <c r="B91">
        <f>IFERROR(INDEX($S$28:$S$158,ROW()-27),"")</f>
        <v/>
      </c>
      <c r="C91">
        <f>IFERROR(INDEX($W$28:$W$158,ROW()-27),"")</f>
        <v/>
      </c>
      <c r="D91">
        <f>IFERROR(INDEX($AA$28:$AA$158,ROW()-27),"")</f>
        <v/>
      </c>
      <c r="E91" s="28">
        <f>IFERROR(2*C91-B91,"")</f>
        <v/>
      </c>
    </row>
    <row r="92">
      <c r="A92" s="43">
        <f>IFERROR(INDEX($R$28:$R$158,ROW()-27),"")</f>
        <v/>
      </c>
      <c r="B92">
        <f>IFERROR(INDEX($S$28:$S$158,ROW()-27),"")</f>
        <v/>
      </c>
      <c r="C92">
        <f>IFERROR(INDEX($W$28:$W$158,ROW()-27),"")</f>
        <v/>
      </c>
      <c r="D92">
        <f>IFERROR(INDEX($AA$28:$AA$158,ROW()-27),"")</f>
        <v/>
      </c>
      <c r="E92" s="28">
        <f>IFERROR(2*C92-B92,"")</f>
        <v/>
      </c>
    </row>
    <row r="93">
      <c r="A93" s="43">
        <f>IFERROR(INDEX($R$28:$R$158,ROW()-27),"")</f>
        <v/>
      </c>
      <c r="B93">
        <f>IFERROR(INDEX($S$28:$S$158,ROW()-27),"")</f>
        <v/>
      </c>
      <c r="C93">
        <f>IFERROR(INDEX($W$28:$W$158,ROW()-27),"")</f>
        <v/>
      </c>
      <c r="D93">
        <f>IFERROR(INDEX($AA$28:$AA$158,ROW()-27),"")</f>
        <v/>
      </c>
      <c r="E93" s="28">
        <f>IFERROR(2*C93-B93,"")</f>
        <v/>
      </c>
    </row>
    <row r="94">
      <c r="A94" s="43">
        <f>IFERROR(INDEX($R$28:$R$158,ROW()-27),"")</f>
        <v/>
      </c>
      <c r="B94">
        <f>IFERROR(INDEX($S$28:$S$158,ROW()-27),"")</f>
        <v/>
      </c>
      <c r="C94">
        <f>IFERROR(INDEX($W$28:$W$158,ROW()-27),"")</f>
        <v/>
      </c>
      <c r="D94">
        <f>IFERROR(INDEX($AA$28:$AA$158,ROW()-27),"")</f>
        <v/>
      </c>
      <c r="E94" s="28">
        <f>IFERROR(2*C94-B94,"")</f>
        <v/>
      </c>
    </row>
    <row r="95">
      <c r="A95" s="43">
        <f>IFERROR(INDEX($R$28:$R$158,ROW()-27),"")</f>
        <v/>
      </c>
      <c r="B95">
        <f>IFERROR(INDEX($S$28:$S$158,ROW()-27),"")</f>
        <v/>
      </c>
      <c r="C95">
        <f>IFERROR(INDEX($W$28:$W$158,ROW()-27),"")</f>
        <v/>
      </c>
      <c r="D95">
        <f>IFERROR(INDEX($AA$28:$AA$158,ROW()-27),"")</f>
        <v/>
      </c>
      <c r="E95" s="28">
        <f>IFERROR(2*C95-B95,"")</f>
        <v/>
      </c>
    </row>
    <row r="96">
      <c r="A96" s="43">
        <f>IFERROR(INDEX($R$28:$R$158,ROW()-27),"")</f>
        <v/>
      </c>
      <c r="B96">
        <f>IFERROR(INDEX($S$28:$S$158,ROW()-27),"")</f>
        <v/>
      </c>
      <c r="C96">
        <f>IFERROR(INDEX($W$28:$W$158,ROW()-27),"")</f>
        <v/>
      </c>
      <c r="D96">
        <f>IFERROR(INDEX($AA$28:$AA$158,ROW()-27),"")</f>
        <v/>
      </c>
      <c r="E96" s="28">
        <f>IFERROR(2*C96-B96,"")</f>
        <v/>
      </c>
    </row>
    <row r="97">
      <c r="A97" s="43">
        <f>IFERROR(INDEX($R$28:$R$158,ROW()-27),"")</f>
        <v/>
      </c>
      <c r="B97">
        <f>IFERROR(INDEX($S$28:$S$158,ROW()-27),"")</f>
        <v/>
      </c>
      <c r="C97">
        <f>IFERROR(INDEX($W$28:$W$158,ROW()-27),"")</f>
        <v/>
      </c>
      <c r="D97">
        <f>IFERROR(INDEX($AA$28:$AA$158,ROW()-27),"")</f>
        <v/>
      </c>
      <c r="E97" s="28">
        <f>IFERROR(2*C97-B97,"")</f>
        <v/>
      </c>
    </row>
    <row r="98">
      <c r="A98" s="43">
        <f>IFERROR(INDEX($R$28:$R$158,ROW()-27),"")</f>
        <v/>
      </c>
      <c r="B98">
        <f>IFERROR(INDEX($S$28:$S$158,ROW()-27),"")</f>
        <v/>
      </c>
      <c r="C98">
        <f>IFERROR(INDEX($W$28:$W$158,ROW()-27),"")</f>
        <v/>
      </c>
      <c r="D98">
        <f>IFERROR(INDEX($AA$28:$AA$158,ROW()-27),"")</f>
        <v/>
      </c>
      <c r="E98" s="28">
        <f>IFERROR(2*C98-B98,"")</f>
        <v/>
      </c>
    </row>
    <row r="99">
      <c r="A99" s="43">
        <f>IFERROR(INDEX($R$28:$R$158,ROW()-27),"")</f>
        <v/>
      </c>
      <c r="B99">
        <f>IFERROR(INDEX($S$28:$S$158,ROW()-27),"")</f>
        <v/>
      </c>
      <c r="C99">
        <f>IFERROR(INDEX($W$28:$W$158,ROW()-27),"")</f>
        <v/>
      </c>
      <c r="D99">
        <f>IFERROR(INDEX($AA$28:$AA$158,ROW()-27),"")</f>
        <v/>
      </c>
      <c r="E99" s="28">
        <f>IFERROR(2*C99-B99,"")</f>
        <v/>
      </c>
    </row>
    <row r="100">
      <c r="A100" s="43">
        <f>IFERROR(INDEX($R$28:$R$158,ROW()-27),"")</f>
        <v/>
      </c>
      <c r="B100">
        <f>IFERROR(INDEX($S$28:$S$158,ROW()-27),"")</f>
        <v/>
      </c>
      <c r="C100">
        <f>IFERROR(INDEX($W$28:$W$158,ROW()-27),"")</f>
        <v/>
      </c>
      <c r="D100">
        <f>IFERROR(INDEX($AA$28:$AA$158,ROW()-27),"")</f>
        <v/>
      </c>
      <c r="E100" s="28">
        <f>IFERROR(2*C100-B100,"")</f>
        <v/>
      </c>
    </row>
    <row r="101">
      <c r="A101" s="43">
        <f>IFERROR(INDEX($R$28:$R$158,ROW()-27),"")</f>
        <v/>
      </c>
      <c r="B101">
        <f>IFERROR(INDEX($S$28:$S$158,ROW()-27),"")</f>
        <v/>
      </c>
      <c r="C101">
        <f>IFERROR(INDEX($W$28:$W$158,ROW()-27),"")</f>
        <v/>
      </c>
      <c r="D101">
        <f>IFERROR(INDEX($AA$28:$AA$158,ROW()-27),"")</f>
        <v/>
      </c>
      <c r="E101" s="28">
        <f>IFERROR(2*C101-B101,"")</f>
        <v/>
      </c>
    </row>
    <row r="102">
      <c r="A102" s="43">
        <f>IFERROR(INDEX($R$28:$R$158,ROW()-27),"")</f>
        <v/>
      </c>
      <c r="B102">
        <f>IFERROR(INDEX($S$28:$S$158,ROW()-27),"")</f>
        <v/>
      </c>
      <c r="C102">
        <f>IFERROR(INDEX($W$28:$W$158,ROW()-27),"")</f>
        <v/>
      </c>
      <c r="D102">
        <f>IFERROR(INDEX($AA$28:$AA$158,ROW()-27),"")</f>
        <v/>
      </c>
      <c r="E102" s="28">
        <f>IFERROR(2*C102-B102,"")</f>
        <v/>
      </c>
    </row>
    <row r="103">
      <c r="A103" s="43">
        <f>IFERROR(INDEX($R$28:$R$158,ROW()-27),"")</f>
        <v/>
      </c>
      <c r="B103">
        <f>IFERROR(INDEX($S$28:$S$158,ROW()-27),"")</f>
        <v/>
      </c>
      <c r="C103">
        <f>IFERROR(INDEX($W$28:$W$158,ROW()-27),"")</f>
        <v/>
      </c>
      <c r="D103">
        <f>IFERROR(INDEX($AA$28:$AA$158,ROW()-27),"")</f>
        <v/>
      </c>
      <c r="E103" s="28">
        <f>IFERROR(2*C103-B103,"")</f>
        <v/>
      </c>
    </row>
    <row r="104">
      <c r="A104" s="43">
        <f>IFERROR(INDEX($R$28:$R$158,ROW()-27),"")</f>
        <v/>
      </c>
      <c r="B104">
        <f>IFERROR(INDEX($S$28:$S$158,ROW()-27),"")</f>
        <v/>
      </c>
      <c r="C104">
        <f>IFERROR(INDEX($W$28:$W$158,ROW()-27),"")</f>
        <v/>
      </c>
      <c r="D104">
        <f>IFERROR(INDEX($AA$28:$AA$158,ROW()-27),"")</f>
        <v/>
      </c>
      <c r="E104" s="28">
        <f>IFERROR(2*C104-B104,"")</f>
        <v/>
      </c>
    </row>
    <row r="105">
      <c r="A105" s="43">
        <f>IFERROR(INDEX($R$28:$R$158,ROW()-27),"")</f>
        <v/>
      </c>
      <c r="B105">
        <f>IFERROR(INDEX($S$28:$S$158,ROW()-27),"")</f>
        <v/>
      </c>
      <c r="C105">
        <f>IFERROR(INDEX($W$28:$W$158,ROW()-27),"")</f>
        <v/>
      </c>
      <c r="D105">
        <f>IFERROR(INDEX($AA$28:$AA$158,ROW()-27),"")</f>
        <v/>
      </c>
      <c r="E105" s="28">
        <f>IFERROR(2*C105-B105,"")</f>
        <v/>
      </c>
    </row>
    <row r="106">
      <c r="A106" s="43">
        <f>IFERROR(INDEX($R$28:$R$158,ROW()-27),"")</f>
        <v/>
      </c>
      <c r="B106">
        <f>IFERROR(INDEX($S$28:$S$158,ROW()-27),"")</f>
        <v/>
      </c>
      <c r="C106">
        <f>IFERROR(INDEX($W$28:$W$158,ROW()-27),"")</f>
        <v/>
      </c>
      <c r="D106">
        <f>IFERROR(INDEX($AA$28:$AA$158,ROW()-27),"")</f>
        <v/>
      </c>
      <c r="E106" s="28">
        <f>IFERROR(2*C106-B106,"")</f>
        <v/>
      </c>
    </row>
    <row r="107">
      <c r="A107" s="43">
        <f>IFERROR(INDEX($R$28:$R$158,ROW()-27),"")</f>
        <v/>
      </c>
      <c r="B107">
        <f>IFERROR(INDEX($S$28:$S$158,ROW()-27),"")</f>
        <v/>
      </c>
      <c r="C107">
        <f>IFERROR(INDEX($W$28:$W$158,ROW()-27),"")</f>
        <v/>
      </c>
      <c r="D107">
        <f>IFERROR(INDEX($AA$28:$AA$158,ROW()-27),"")</f>
        <v/>
      </c>
      <c r="E107" s="28">
        <f>IFERROR(2*C107-B107,"")</f>
        <v/>
      </c>
    </row>
    <row r="108">
      <c r="A108" s="43">
        <f>IFERROR(INDEX($R$28:$R$158,ROW()-27),"")</f>
        <v/>
      </c>
      <c r="B108">
        <f>IFERROR(INDEX($S$28:$S$158,ROW()-27),"")</f>
        <v/>
      </c>
      <c r="C108">
        <f>IFERROR(INDEX($W$28:$W$158,ROW()-27),"")</f>
        <v/>
      </c>
      <c r="D108">
        <f>IFERROR(INDEX($AA$28:$AA$158,ROW()-27),"")</f>
        <v/>
      </c>
      <c r="E108" s="28">
        <f>IFERROR(2*C108-B108,"")</f>
        <v/>
      </c>
    </row>
    <row r="109">
      <c r="A109" s="43">
        <f>IFERROR(INDEX($R$28:$R$158,ROW()-27),"")</f>
        <v/>
      </c>
      <c r="B109">
        <f>IFERROR(INDEX($S$28:$S$158,ROW()-27),"")</f>
        <v/>
      </c>
      <c r="C109">
        <f>IFERROR(INDEX($W$28:$W$158,ROW()-27),"")</f>
        <v/>
      </c>
      <c r="D109">
        <f>IFERROR(INDEX($AA$28:$AA$158,ROW()-27),"")</f>
        <v/>
      </c>
      <c r="E109" s="28">
        <f>IFERROR(2*C109-B109,"")</f>
        <v/>
      </c>
    </row>
    <row r="110">
      <c r="A110" s="43">
        <f>IFERROR(INDEX($R$28:$R$158,ROW()-27),"")</f>
        <v/>
      </c>
      <c r="B110">
        <f>IFERROR(INDEX($S$28:$S$158,ROW()-27),"")</f>
        <v/>
      </c>
      <c r="C110">
        <f>IFERROR(INDEX($W$28:$W$158,ROW()-27),"")</f>
        <v/>
      </c>
      <c r="D110">
        <f>IFERROR(INDEX($AA$28:$AA$158,ROW()-27),"")</f>
        <v/>
      </c>
      <c r="E110" s="28">
        <f>IFERROR(2*C110-B110,"")</f>
        <v/>
      </c>
    </row>
    <row r="111">
      <c r="A111" s="43">
        <f>IFERROR(INDEX($R$28:$R$158,ROW()-27),"")</f>
        <v/>
      </c>
      <c r="B111">
        <f>IFERROR(INDEX($S$28:$S$158,ROW()-27),"")</f>
        <v/>
      </c>
      <c r="C111">
        <f>IFERROR(INDEX($W$28:$W$158,ROW()-27),"")</f>
        <v/>
      </c>
      <c r="D111">
        <f>IFERROR(INDEX($AA$28:$AA$158,ROW()-27),"")</f>
        <v/>
      </c>
      <c r="E111" s="28">
        <f>IFERROR(2*C111-B111,"")</f>
        <v/>
      </c>
    </row>
    <row r="112">
      <c r="A112" s="43">
        <f>IFERROR(INDEX($R$28:$R$158,ROW()-27),"")</f>
        <v/>
      </c>
      <c r="B112">
        <f>IFERROR(INDEX($S$28:$S$158,ROW()-27),"")</f>
        <v/>
      </c>
      <c r="C112">
        <f>IFERROR(INDEX($W$28:$W$158,ROW()-27),"")</f>
        <v/>
      </c>
      <c r="D112">
        <f>IFERROR(INDEX($AA$28:$AA$158,ROW()-27),"")</f>
        <v/>
      </c>
      <c r="E112" s="28">
        <f>IFERROR(2*C112-B112,"")</f>
        <v/>
      </c>
    </row>
    <row r="113">
      <c r="A113" s="43">
        <f>IFERROR(INDEX($R$28:$R$158,ROW()-27),"")</f>
        <v/>
      </c>
      <c r="B113">
        <f>IFERROR(INDEX($S$28:$S$158,ROW()-27),"")</f>
        <v/>
      </c>
      <c r="C113">
        <f>IFERROR(INDEX($W$28:$W$158,ROW()-27),"")</f>
        <v/>
      </c>
      <c r="D113">
        <f>IFERROR(INDEX($AA$28:$AA$158,ROW()-27),"")</f>
        <v/>
      </c>
      <c r="E113" s="28">
        <f>IFERROR(2*C113-B113,"")</f>
        <v/>
      </c>
    </row>
    <row r="114">
      <c r="A114" s="43">
        <f>IFERROR(INDEX($R$28:$R$158,ROW()-27),"")</f>
        <v/>
      </c>
      <c r="B114">
        <f>IFERROR(INDEX($S$28:$S$158,ROW()-27),"")</f>
        <v/>
      </c>
      <c r="C114">
        <f>IFERROR(INDEX($W$28:$W$158,ROW()-27),"")</f>
        <v/>
      </c>
      <c r="D114">
        <f>IFERROR(INDEX($AA$28:$AA$158,ROW()-27),"")</f>
        <v/>
      </c>
      <c r="E114" s="28">
        <f>IFERROR(2*C114-B114,"")</f>
        <v/>
      </c>
    </row>
    <row r="115">
      <c r="A115" s="43">
        <f>IFERROR(INDEX($R$28:$R$158,ROW()-27),"")</f>
        <v/>
      </c>
      <c r="B115">
        <f>IFERROR(INDEX($S$28:$S$158,ROW()-27),"")</f>
        <v/>
      </c>
      <c r="C115">
        <f>IFERROR(INDEX($W$28:$W$158,ROW()-27),"")</f>
        <v/>
      </c>
      <c r="D115">
        <f>IFERROR(INDEX($AA$28:$AA$158,ROW()-27),"")</f>
        <v/>
      </c>
      <c r="E115" s="28">
        <f>IFERROR(2*C115-B115,"")</f>
        <v/>
      </c>
    </row>
    <row r="116">
      <c r="A116" s="43">
        <f>IFERROR(INDEX($R$28:$R$158,ROW()-27),"")</f>
        <v/>
      </c>
      <c r="B116">
        <f>IFERROR(INDEX($S$28:$S$158,ROW()-27),"")</f>
        <v/>
      </c>
      <c r="C116">
        <f>IFERROR(INDEX($W$28:$W$158,ROW()-27),"")</f>
        <v/>
      </c>
      <c r="D116">
        <f>IFERROR(INDEX($AA$28:$AA$158,ROW()-27),"")</f>
        <v/>
      </c>
      <c r="E116" s="28">
        <f>IFERROR(2*C116-B116,"")</f>
        <v/>
      </c>
    </row>
    <row r="117">
      <c r="A117" s="43">
        <f>IFERROR(INDEX($R$28:$R$158,ROW()-27),"")</f>
        <v/>
      </c>
      <c r="B117">
        <f>IFERROR(INDEX($S$28:$S$158,ROW()-27),"")</f>
        <v/>
      </c>
      <c r="C117">
        <f>IFERROR(INDEX($W$28:$W$158,ROW()-27),"")</f>
        <v/>
      </c>
      <c r="D117">
        <f>IFERROR(INDEX($AA$28:$AA$158,ROW()-27),"")</f>
        <v/>
      </c>
      <c r="E117" s="28">
        <f>IFERROR(2*C117-B117,"")</f>
        <v/>
      </c>
    </row>
    <row r="118">
      <c r="A118" s="43">
        <f>IFERROR(INDEX($R$28:$R$158,ROW()-27),"")</f>
        <v/>
      </c>
      <c r="B118">
        <f>IFERROR(INDEX($S$28:$S$158,ROW()-27),"")</f>
        <v/>
      </c>
      <c r="C118">
        <f>IFERROR(INDEX($W$28:$W$158,ROW()-27),"")</f>
        <v/>
      </c>
      <c r="D118">
        <f>IFERROR(INDEX($AA$28:$AA$158,ROW()-27),"")</f>
        <v/>
      </c>
      <c r="E118" s="28">
        <f>IFERROR(2*C118-B118,"")</f>
        <v/>
      </c>
    </row>
    <row r="119">
      <c r="A119" s="43">
        <f>IFERROR(INDEX($R$28:$R$158,ROW()-27),"")</f>
        <v/>
      </c>
      <c r="B119">
        <f>IFERROR(INDEX($S$28:$S$158,ROW()-27),"")</f>
        <v/>
      </c>
      <c r="C119">
        <f>IFERROR(INDEX($W$28:$W$158,ROW()-27),"")</f>
        <v/>
      </c>
      <c r="D119">
        <f>IFERROR(INDEX($AA$28:$AA$158,ROW()-27),"")</f>
        <v/>
      </c>
      <c r="E119" s="28">
        <f>IFERROR(2*C119-B119,"")</f>
        <v/>
      </c>
    </row>
    <row r="120">
      <c r="A120" s="43">
        <f>IFERROR(INDEX($R$28:$R$158,ROW()-27),"")</f>
        <v/>
      </c>
      <c r="B120">
        <f>IFERROR(INDEX($S$28:$S$158,ROW()-27),"")</f>
        <v/>
      </c>
      <c r="C120">
        <f>IFERROR(INDEX($W$28:$W$158,ROW()-27),"")</f>
        <v/>
      </c>
      <c r="D120">
        <f>IFERROR(INDEX($AA$28:$AA$158,ROW()-27),"")</f>
        <v/>
      </c>
      <c r="E120" s="28">
        <f>IFERROR(2*C120-B120,"")</f>
        <v/>
      </c>
    </row>
    <row r="121">
      <c r="A121" s="43">
        <f>IFERROR(INDEX($R$28:$R$158,ROW()-27),"")</f>
        <v/>
      </c>
      <c r="B121">
        <f>IFERROR(INDEX($S$28:$S$158,ROW()-27),"")</f>
        <v/>
      </c>
      <c r="C121">
        <f>IFERROR(INDEX($W$28:$W$158,ROW()-27),"")</f>
        <v/>
      </c>
      <c r="D121">
        <f>IFERROR(INDEX($AA$28:$AA$158,ROW()-27),"")</f>
        <v/>
      </c>
      <c r="E121" s="28">
        <f>IFERROR(2*C121-B121,"")</f>
        <v/>
      </c>
    </row>
    <row r="122">
      <c r="A122" s="43">
        <f>IFERROR(INDEX($R$28:$R$158,ROW()-27),"")</f>
        <v/>
      </c>
      <c r="B122">
        <f>IFERROR(INDEX($S$28:$S$158,ROW()-27),"")</f>
        <v/>
      </c>
      <c r="C122">
        <f>IFERROR(INDEX($W$28:$W$158,ROW()-27),"")</f>
        <v/>
      </c>
      <c r="D122">
        <f>IFERROR(INDEX($AA$28:$AA$158,ROW()-27),"")</f>
        <v/>
      </c>
      <c r="E122" s="28">
        <f>IFERROR(2*C122-B122,"")</f>
        <v/>
      </c>
    </row>
    <row r="123">
      <c r="A123" s="43">
        <f>IFERROR(INDEX($R$28:$R$158,ROW()-27),"")</f>
        <v/>
      </c>
      <c r="B123">
        <f>IFERROR(INDEX($S$28:$S$158,ROW()-27),"")</f>
        <v/>
      </c>
      <c r="C123">
        <f>IFERROR(INDEX($W$28:$W$158,ROW()-27),"")</f>
        <v/>
      </c>
      <c r="D123">
        <f>IFERROR(INDEX($AA$28:$AA$158,ROW()-27),"")</f>
        <v/>
      </c>
      <c r="E123" s="28">
        <f>IFERROR(2*C123-B123,"")</f>
        <v/>
      </c>
    </row>
    <row r="124">
      <c r="A124" s="43">
        <f>IFERROR(INDEX($R$28:$R$158,ROW()-27),"")</f>
        <v/>
      </c>
      <c r="B124">
        <f>IFERROR(INDEX($S$28:$S$158,ROW()-27),"")</f>
        <v/>
      </c>
      <c r="C124">
        <f>IFERROR(INDEX($W$28:$W$158,ROW()-27),"")</f>
        <v/>
      </c>
      <c r="D124">
        <f>IFERROR(INDEX($AA$28:$AA$158,ROW()-27),"")</f>
        <v/>
      </c>
      <c r="E124" s="28">
        <f>IFERROR(2*C124-B124,"")</f>
        <v/>
      </c>
    </row>
    <row r="125">
      <c r="A125" s="43">
        <f>IFERROR(INDEX($R$28:$R$158,ROW()-27),"")</f>
        <v/>
      </c>
      <c r="B125">
        <f>IFERROR(INDEX($S$28:$S$158,ROW()-27),"")</f>
        <v/>
      </c>
      <c r="C125">
        <f>IFERROR(INDEX($W$28:$W$158,ROW()-27),"")</f>
        <v/>
      </c>
      <c r="D125">
        <f>IFERROR(INDEX($AA$28:$AA$158,ROW()-27),"")</f>
        <v/>
      </c>
      <c r="E125" s="28">
        <f>IFERROR(2*C125-B125,"")</f>
        <v/>
      </c>
    </row>
    <row r="126">
      <c r="A126" s="43">
        <f>IFERROR(INDEX($R$28:$R$158,ROW()-27),"")</f>
        <v/>
      </c>
      <c r="B126">
        <f>IFERROR(INDEX($S$28:$S$158,ROW()-27),"")</f>
        <v/>
      </c>
      <c r="C126">
        <f>IFERROR(INDEX($W$28:$W$158,ROW()-27),"")</f>
        <v/>
      </c>
      <c r="D126">
        <f>IFERROR(INDEX($AA$28:$AA$158,ROW()-27),"")</f>
        <v/>
      </c>
      <c r="E126" s="28">
        <f>IFERROR(2*C126-B126,"")</f>
        <v/>
      </c>
    </row>
    <row r="127">
      <c r="A127" s="43">
        <f>IFERROR(INDEX($R$28:$R$158,ROW()-27),"")</f>
        <v/>
      </c>
      <c r="B127">
        <f>IFERROR(INDEX($S$28:$S$158,ROW()-27),"")</f>
        <v/>
      </c>
      <c r="C127">
        <f>IFERROR(INDEX($W$28:$W$158,ROW()-27),"")</f>
        <v/>
      </c>
      <c r="D127">
        <f>IFERROR(INDEX($AA$28:$AA$158,ROW()-27),"")</f>
        <v/>
      </c>
      <c r="E127" s="28">
        <f>IFERROR(2*C127-B127,"")</f>
        <v/>
      </c>
    </row>
    <row r="128">
      <c r="A128" s="43">
        <f>IFERROR(INDEX($R$28:$R$158,ROW()-27),"")</f>
        <v/>
      </c>
      <c r="B128">
        <f>IFERROR(INDEX($S$28:$S$158,ROW()-27),"")</f>
        <v/>
      </c>
      <c r="C128">
        <f>IFERROR(INDEX($W$28:$W$158,ROW()-27),"")</f>
        <v/>
      </c>
      <c r="D128">
        <f>IFERROR(INDEX($AA$28:$AA$158,ROW()-27),"")</f>
        <v/>
      </c>
      <c r="E128" s="28">
        <f>IFERROR(2*C128-B128,"")</f>
        <v/>
      </c>
    </row>
    <row r="129">
      <c r="A129" s="43">
        <f>IFERROR(INDEX($R$28:$R$158,ROW()-27),"")</f>
        <v/>
      </c>
      <c r="B129">
        <f>IFERROR(INDEX($S$28:$S$158,ROW()-27),"")</f>
        <v/>
      </c>
      <c r="C129">
        <f>IFERROR(INDEX($W$28:$W$158,ROW()-27),"")</f>
        <v/>
      </c>
      <c r="D129">
        <f>IFERROR(INDEX($AA$28:$AA$158,ROW()-27),"")</f>
        <v/>
      </c>
      <c r="E129" s="28">
        <f>IFERROR(2*C129-B129,"")</f>
        <v/>
      </c>
    </row>
    <row r="130">
      <c r="A130" s="43">
        <f>IFERROR(INDEX($R$28:$R$158,ROW()-27),"")</f>
        <v/>
      </c>
      <c r="B130">
        <f>IFERROR(INDEX($S$28:$S$158,ROW()-27),"")</f>
        <v/>
      </c>
      <c r="C130">
        <f>IFERROR(INDEX($W$28:$W$158,ROW()-27),"")</f>
        <v/>
      </c>
      <c r="D130">
        <f>IFERROR(INDEX($AA$28:$AA$158,ROW()-27),"")</f>
        <v/>
      </c>
      <c r="E130" s="28">
        <f>IFERROR(2*C130-B130,"")</f>
        <v/>
      </c>
    </row>
    <row r="131">
      <c r="A131" s="43">
        <f>IFERROR(INDEX($R$28:$R$158,ROW()-27),"")</f>
        <v/>
      </c>
      <c r="B131">
        <f>IFERROR(INDEX($S$28:$S$158,ROW()-27),"")</f>
        <v/>
      </c>
      <c r="C131">
        <f>IFERROR(INDEX($W$28:$W$158,ROW()-27),"")</f>
        <v/>
      </c>
      <c r="D131">
        <f>IFERROR(INDEX($AA$28:$AA$158,ROW()-27),"")</f>
        <v/>
      </c>
      <c r="E131" s="28">
        <f>IFERROR(2*C131-B131,"")</f>
        <v/>
      </c>
    </row>
    <row r="132">
      <c r="A132" s="43">
        <f>IFERROR(INDEX($R$28:$R$158,ROW()-27),"")</f>
        <v/>
      </c>
      <c r="B132">
        <f>IFERROR(INDEX($S$28:$S$158,ROW()-27),"")</f>
        <v/>
      </c>
      <c r="C132">
        <f>IFERROR(INDEX($W$28:$W$158,ROW()-27),"")</f>
        <v/>
      </c>
      <c r="D132">
        <f>IFERROR(INDEX($AA$28:$AA$158,ROW()-27),"")</f>
        <v/>
      </c>
      <c r="E132" s="28">
        <f>IFERROR(2*C132-B132,"")</f>
        <v/>
      </c>
    </row>
    <row r="133">
      <c r="A133" s="43">
        <f>IFERROR(INDEX($R$28:$R$158,ROW()-27),"")</f>
        <v/>
      </c>
      <c r="B133">
        <f>IFERROR(INDEX($S$28:$S$158,ROW()-27),"")</f>
        <v/>
      </c>
      <c r="C133">
        <f>IFERROR(INDEX($W$28:$W$158,ROW()-27),"")</f>
        <v/>
      </c>
      <c r="D133">
        <f>IFERROR(INDEX($AA$28:$AA$158,ROW()-27),"")</f>
        <v/>
      </c>
      <c r="E133" s="28">
        <f>IFERROR(2*C133-B133,"")</f>
        <v/>
      </c>
    </row>
    <row r="134">
      <c r="A134" s="43">
        <f>IFERROR(INDEX($R$28:$R$158,ROW()-27),"")</f>
        <v/>
      </c>
      <c r="B134">
        <f>IFERROR(INDEX($S$28:$S$158,ROW()-27),"")</f>
        <v/>
      </c>
      <c r="C134">
        <f>IFERROR(INDEX($W$28:$W$158,ROW()-27),"")</f>
        <v/>
      </c>
      <c r="D134">
        <f>IFERROR(INDEX($AA$28:$AA$158,ROW()-27),"")</f>
        <v/>
      </c>
      <c r="E134" s="28">
        <f>IFERROR(2*C134-B134,"")</f>
        <v/>
      </c>
    </row>
    <row r="135">
      <c r="A135" s="43">
        <f>IFERROR(INDEX($R$28:$R$158,ROW()-27),"")</f>
        <v/>
      </c>
      <c r="B135">
        <f>IFERROR(INDEX($S$28:$S$158,ROW()-27),"")</f>
        <v/>
      </c>
      <c r="C135">
        <f>IFERROR(INDEX($W$28:$W$158,ROW()-27),"")</f>
        <v/>
      </c>
      <c r="D135">
        <f>IFERROR(INDEX($AA$28:$AA$158,ROW()-27),"")</f>
        <v/>
      </c>
      <c r="E135" s="28">
        <f>IFERROR(2*C135-B135,"")</f>
        <v/>
      </c>
    </row>
    <row r="136">
      <c r="A136" s="43">
        <f>IFERROR(INDEX($R$28:$R$158,ROW()-27),"")</f>
        <v/>
      </c>
      <c r="B136">
        <f>IFERROR(INDEX($S$28:$S$158,ROW()-27),"")</f>
        <v/>
      </c>
      <c r="C136">
        <f>IFERROR(INDEX($W$28:$W$158,ROW()-27),"")</f>
        <v/>
      </c>
      <c r="D136">
        <f>IFERROR(INDEX($AA$28:$AA$158,ROW()-27),"")</f>
        <v/>
      </c>
      <c r="E136" s="28">
        <f>IFERROR(2*C136-B136,"")</f>
        <v/>
      </c>
    </row>
    <row r="137">
      <c r="A137" s="43">
        <f>IFERROR(INDEX($R$28:$R$158,ROW()-27),"")</f>
        <v/>
      </c>
      <c r="B137">
        <f>IFERROR(INDEX($S$28:$S$158,ROW()-27),"")</f>
        <v/>
      </c>
      <c r="C137">
        <f>IFERROR(INDEX($W$28:$W$158,ROW()-27),"")</f>
        <v/>
      </c>
      <c r="D137">
        <f>IFERROR(INDEX($AA$28:$AA$158,ROW()-27),"")</f>
        <v/>
      </c>
      <c r="E137" s="28">
        <f>IFERROR(2*C137-B137,"")</f>
        <v/>
      </c>
    </row>
    <row r="138">
      <c r="A138" s="43">
        <f>IFERROR(INDEX($R$28:$R$158,ROW()-27),"")</f>
        <v/>
      </c>
      <c r="B138">
        <f>IFERROR(INDEX($S$28:$S$158,ROW()-27),"")</f>
        <v/>
      </c>
      <c r="C138">
        <f>IFERROR(INDEX($W$28:$W$158,ROW()-27),"")</f>
        <v/>
      </c>
      <c r="D138">
        <f>IFERROR(INDEX($AA$28:$AA$158,ROW()-27),"")</f>
        <v/>
      </c>
      <c r="E138" s="28">
        <f>IFERROR(2*C138-B138,"")</f>
        <v/>
      </c>
    </row>
    <row r="139">
      <c r="A139" s="43">
        <f>IFERROR(INDEX($R$28:$R$158,ROW()-27),"")</f>
        <v/>
      </c>
      <c r="B139">
        <f>IFERROR(INDEX($S$28:$S$158,ROW()-27),"")</f>
        <v/>
      </c>
      <c r="C139">
        <f>IFERROR(INDEX($W$28:$W$158,ROW()-27),"")</f>
        <v/>
      </c>
      <c r="D139">
        <f>IFERROR(INDEX($AA$28:$AA$158,ROW()-27),"")</f>
        <v/>
      </c>
      <c r="E139" s="28">
        <f>IFERROR(2*C139-B139,"")</f>
        <v/>
      </c>
    </row>
    <row r="140">
      <c r="A140" s="43">
        <f>IFERROR(INDEX($R$28:$R$158,ROW()-27),"")</f>
        <v/>
      </c>
      <c r="B140">
        <f>IFERROR(INDEX($S$28:$S$158,ROW()-27),"")</f>
        <v/>
      </c>
      <c r="C140">
        <f>IFERROR(INDEX($W$28:$W$158,ROW()-27),"")</f>
        <v/>
      </c>
      <c r="D140">
        <f>IFERROR(INDEX($AA$28:$AA$158,ROW()-27),"")</f>
        <v/>
      </c>
      <c r="E140" s="28">
        <f>IFERROR(2*C140-B140,"")</f>
        <v/>
      </c>
    </row>
    <row r="141">
      <c r="A141" s="43">
        <f>IFERROR(INDEX($R$28:$R$158,ROW()-27),"")</f>
        <v/>
      </c>
      <c r="B141">
        <f>IFERROR(INDEX($S$28:$S$158,ROW()-27),"")</f>
        <v/>
      </c>
      <c r="C141">
        <f>IFERROR(INDEX($W$28:$W$158,ROW()-27),"")</f>
        <v/>
      </c>
      <c r="D141">
        <f>IFERROR(INDEX($AA$28:$AA$158,ROW()-27),"")</f>
        <v/>
      </c>
      <c r="E141" s="28">
        <f>IFERROR(2*C141-B141,"")</f>
        <v/>
      </c>
    </row>
    <row r="142">
      <c r="A142" s="43">
        <f>IFERROR(INDEX($R$28:$R$158,ROW()-27),"")</f>
        <v/>
      </c>
      <c r="B142">
        <f>IFERROR(INDEX($S$28:$S$158,ROW()-27),"")</f>
        <v/>
      </c>
      <c r="C142">
        <f>IFERROR(INDEX($W$28:$W$158,ROW()-27),"")</f>
        <v/>
      </c>
      <c r="D142">
        <f>IFERROR(INDEX($AA$28:$AA$158,ROW()-27),"")</f>
        <v/>
      </c>
      <c r="E142" s="28">
        <f>IFERROR(2*C142-B142,"")</f>
        <v/>
      </c>
    </row>
    <row r="143">
      <c r="A143" s="43">
        <f>IFERROR(INDEX($R$28:$R$158,ROW()-27),"")</f>
        <v/>
      </c>
      <c r="B143">
        <f>IFERROR(INDEX($S$28:$S$158,ROW()-27),"")</f>
        <v/>
      </c>
      <c r="C143">
        <f>IFERROR(INDEX($W$28:$W$158,ROW()-27),"")</f>
        <v/>
      </c>
      <c r="D143">
        <f>IFERROR(INDEX($AA$28:$AA$158,ROW()-27),"")</f>
        <v/>
      </c>
      <c r="E143" s="28">
        <f>IFERROR(2*C143-B143,"")</f>
        <v/>
      </c>
    </row>
    <row r="144">
      <c r="A144" s="43">
        <f>IFERROR(INDEX($R$28:$R$158,ROW()-27),"")</f>
        <v/>
      </c>
      <c r="B144">
        <f>IFERROR(INDEX($S$28:$S$158,ROW()-27),"")</f>
        <v/>
      </c>
      <c r="C144">
        <f>IFERROR(INDEX($W$28:$W$158,ROW()-27),"")</f>
        <v/>
      </c>
      <c r="D144">
        <f>IFERROR(INDEX($AA$28:$AA$158,ROW()-27),"")</f>
        <v/>
      </c>
      <c r="E144" s="28">
        <f>IFERROR(2*C144-B144,"")</f>
        <v/>
      </c>
    </row>
    <row r="145">
      <c r="A145" s="43">
        <f>IFERROR(INDEX($R$28:$R$158,ROW()-27),"")</f>
        <v/>
      </c>
      <c r="B145">
        <f>IFERROR(INDEX($S$28:$S$158,ROW()-27),"")</f>
        <v/>
      </c>
      <c r="C145">
        <f>IFERROR(INDEX($W$28:$W$158,ROW()-27),"")</f>
        <v/>
      </c>
      <c r="D145">
        <f>IFERROR(INDEX($AA$28:$AA$158,ROW()-27),"")</f>
        <v/>
      </c>
      <c r="E145" s="28">
        <f>IFERROR(2*C145-B145,"")</f>
        <v/>
      </c>
    </row>
    <row r="146">
      <c r="A146" s="43">
        <f>IFERROR(INDEX($R$28:$R$158,ROW()-27),"")</f>
        <v/>
      </c>
      <c r="B146">
        <f>IFERROR(INDEX($S$28:$S$158,ROW()-27),"")</f>
        <v/>
      </c>
      <c r="C146">
        <f>IFERROR(INDEX($W$28:$W$158,ROW()-27),"")</f>
        <v/>
      </c>
      <c r="D146">
        <f>IFERROR(INDEX($AA$28:$AA$158,ROW()-27),"")</f>
        <v/>
      </c>
      <c r="E146" s="28">
        <f>IFERROR(2*C146-B146,"")</f>
        <v/>
      </c>
    </row>
    <row r="147">
      <c r="A147" s="43">
        <f>IFERROR(INDEX($R$28:$R$158,ROW()-27),"")</f>
        <v/>
      </c>
      <c r="B147">
        <f>IFERROR(INDEX($S$28:$S$158,ROW()-27),"")</f>
        <v/>
      </c>
      <c r="C147">
        <f>IFERROR(INDEX($W$28:$W$158,ROW()-27),"")</f>
        <v/>
      </c>
      <c r="D147">
        <f>IFERROR(INDEX($AA$28:$AA$158,ROW()-27),"")</f>
        <v/>
      </c>
      <c r="E147" s="28">
        <f>IFERROR(2*C147-B147,"")</f>
        <v/>
      </c>
    </row>
    <row r="148">
      <c r="A148" s="43">
        <f>IFERROR(INDEX($R$28:$R$158,ROW()-27),"")</f>
        <v/>
      </c>
      <c r="B148">
        <f>IFERROR(INDEX($S$28:$S$158,ROW()-27),"")</f>
        <v/>
      </c>
      <c r="C148">
        <f>IFERROR(INDEX($W$28:$W$158,ROW()-27),"")</f>
        <v/>
      </c>
      <c r="D148">
        <f>IFERROR(INDEX($AA$28:$AA$158,ROW()-27),"")</f>
        <v/>
      </c>
      <c r="E148" s="28">
        <f>IFERROR(2*C148-B148,"")</f>
        <v/>
      </c>
    </row>
    <row r="149">
      <c r="A149" s="43">
        <f>IFERROR(INDEX($R$28:$R$158,ROW()-27),"")</f>
        <v/>
      </c>
      <c r="B149">
        <f>IFERROR(INDEX($S$28:$S$158,ROW()-27),"")</f>
        <v/>
      </c>
      <c r="C149">
        <f>IFERROR(INDEX($W$28:$W$158,ROW()-27),"")</f>
        <v/>
      </c>
      <c r="D149">
        <f>IFERROR(INDEX($AA$28:$AA$158,ROW()-27),"")</f>
        <v/>
      </c>
      <c r="E149" s="28">
        <f>IFERROR(2*C149-B149,"")</f>
        <v/>
      </c>
    </row>
    <row r="150">
      <c r="A150" s="43">
        <f>IFERROR(INDEX($R$28:$R$158,ROW()-27),"")</f>
        <v/>
      </c>
      <c r="B150">
        <f>IFERROR(INDEX($S$28:$S$158,ROW()-27),"")</f>
        <v/>
      </c>
      <c r="C150">
        <f>IFERROR(INDEX($W$28:$W$158,ROW()-27),"")</f>
        <v/>
      </c>
      <c r="D150">
        <f>IFERROR(INDEX($AA$28:$AA$158,ROW()-27),"")</f>
        <v/>
      </c>
      <c r="E150" s="28">
        <f>IFERROR(2*C150-B150,"")</f>
        <v/>
      </c>
    </row>
    <row r="151">
      <c r="A151" s="43">
        <f>IFERROR(INDEX($R$28:$R$158,ROW()-27),"")</f>
        <v/>
      </c>
      <c r="B151">
        <f>IFERROR(INDEX($S$28:$S$158,ROW()-27),"")</f>
        <v/>
      </c>
      <c r="C151">
        <f>IFERROR(INDEX($W$28:$W$158,ROW()-27),"")</f>
        <v/>
      </c>
      <c r="D151">
        <f>IFERROR(INDEX($AA$28:$AA$158,ROW()-27),"")</f>
        <v/>
      </c>
      <c r="E151" s="28">
        <f>IFERROR(2*C151-B151,"")</f>
        <v/>
      </c>
    </row>
    <row r="152">
      <c r="A152" s="43">
        <f>IFERROR(INDEX($R$28:$R$158,ROW()-27),"")</f>
        <v/>
      </c>
      <c r="B152">
        <f>IFERROR(INDEX($S$28:$S$158,ROW()-27),"")</f>
        <v/>
      </c>
      <c r="C152">
        <f>IFERROR(INDEX($W$28:$W$158,ROW()-27),"")</f>
        <v/>
      </c>
      <c r="D152">
        <f>IFERROR(INDEX($AA$28:$AA$158,ROW()-27),"")</f>
        <v/>
      </c>
      <c r="E152" s="28">
        <f>IFERROR(2*C152-B152,"")</f>
        <v/>
      </c>
    </row>
    <row r="153">
      <c r="A153" s="43">
        <f>IFERROR(INDEX($R$28:$R$158,ROW()-27),"")</f>
        <v/>
      </c>
      <c r="B153">
        <f>IFERROR(INDEX($S$28:$S$158,ROW()-27),"")</f>
        <v/>
      </c>
      <c r="C153">
        <f>IFERROR(INDEX($W$28:$W$158,ROW()-27),"")</f>
        <v/>
      </c>
      <c r="D153">
        <f>IFERROR(INDEX($AA$28:$AA$158,ROW()-27),"")</f>
        <v/>
      </c>
      <c r="E153" s="28">
        <f>IFERROR(2*C153-B153,"")</f>
        <v/>
      </c>
    </row>
    <row r="154">
      <c r="A154" s="43">
        <f>IFERROR(INDEX($R$28:$R$158,ROW()-27),"")</f>
        <v/>
      </c>
      <c r="B154">
        <f>IFERROR(INDEX($S$28:$S$158,ROW()-27),"")</f>
        <v/>
      </c>
      <c r="C154">
        <f>IFERROR(INDEX($W$28:$W$158,ROW()-27),"")</f>
        <v/>
      </c>
      <c r="D154">
        <f>IFERROR(INDEX($AA$28:$AA$158,ROW()-27),"")</f>
        <v/>
      </c>
      <c r="E154" s="28">
        <f>IFERROR(2*C154-B154,"")</f>
        <v/>
      </c>
    </row>
    <row r="155">
      <c r="A155" s="43">
        <f>IFERROR(INDEX($R$28:$R$158,ROW()-27),"")</f>
        <v/>
      </c>
      <c r="B155">
        <f>IFERROR(INDEX($S$28:$S$158,ROW()-27),"")</f>
        <v/>
      </c>
      <c r="C155">
        <f>IFERROR(INDEX($W$28:$W$158,ROW()-27),"")</f>
        <v/>
      </c>
      <c r="D155">
        <f>IFERROR(INDEX($AA$28:$AA$158,ROW()-27),"")</f>
        <v/>
      </c>
      <c r="E155" s="28">
        <f>IFERROR(2*C155-B155,"")</f>
        <v/>
      </c>
    </row>
    <row r="156">
      <c r="A156" s="43">
        <f>IFERROR(INDEX($R$28:$R$158,ROW()-27),"")</f>
        <v/>
      </c>
      <c r="B156">
        <f>IFERROR(INDEX($S$28:$S$158,ROW()-27),"")</f>
        <v/>
      </c>
      <c r="C156">
        <f>IFERROR(INDEX($W$28:$W$158,ROW()-27),"")</f>
        <v/>
      </c>
      <c r="D156">
        <f>IFERROR(INDEX($AA$28:$AA$158,ROW()-27),"")</f>
        <v/>
      </c>
      <c r="E156" s="28">
        <f>IFERROR(2*C156-B156,"")</f>
        <v/>
      </c>
    </row>
    <row r="157">
      <c r="A157" s="43">
        <f>IFERROR(INDEX($R$28:$R$158,ROW()-27),"")</f>
        <v/>
      </c>
      <c r="B157">
        <f>IFERROR(INDEX($S$28:$S$158,ROW()-27),"")</f>
        <v/>
      </c>
      <c r="C157">
        <f>IFERROR(INDEX($W$28:$W$158,ROW()-27),"")</f>
        <v/>
      </c>
      <c r="D157">
        <f>IFERROR(INDEX($AA$28:$AA$158,ROW()-27),"")</f>
        <v/>
      </c>
      <c r="E157" s="28">
        <f>IFERROR(2*C157-B157,"")</f>
        <v/>
      </c>
    </row>
    <row r="160">
      <c r="A160" s="12" t="inlineStr">
        <is>
          <t>JYSO1 / JYSO2 are the standard JPY OIS convention but were not confirmed. If they do not resolve, the alternatives are the OIS curve off ICVS &lt;GO&gt; or the TONA swap tickers. JCPNEFEY is the core-core series and is on the register as VERIFY along with every other CPI identifier.</t>
        </is>
      </c>
    </row>
  </sheetData>
  <pageMargins left="0.75" right="0.75" top="1" bottom="1" header="0.5" footer="0.5"/>
  <drawing xmlns:r="http://schemas.openxmlformats.org/officeDocument/2006/relationships" r:id="rId1"/>
</worksheet>
</file>

<file path=xl/worksheets/sheet17.xml><?xml version="1.0" encoding="utf-8"?>
<worksheet xmlns="http://schemas.openxmlformats.org/spreadsheetml/2006/main">
  <sheetPr>
    <outlinePr summaryBelow="1" summaryRight="1"/>
    <pageSetUpPr/>
  </sheetPr>
  <dimension ref="A1:BB169"/>
  <sheetViews>
    <sheetView showGridLines="0" workbookViewId="0">
      <pane ySplit="4" topLeftCell="A5" activePane="bottomLeft" state="frozen"/>
      <selection pane="bottomLeft" activeCell="A1" sqref="A1"/>
    </sheetView>
  </sheetViews>
  <sheetFormatPr baseColWidth="8" defaultRowHeight="15"/>
  <cols>
    <col width="20" customWidth="1" min="1" max="1"/>
    <col width="13" customWidth="1" min="2" max="2"/>
    <col width="13" customWidth="1" min="3" max="3"/>
    <col width="13" customWidth="1" min="4" max="4"/>
    <col width="13" customWidth="1" min="5" max="5"/>
    <col width="13" customWidth="1" min="6" max="6"/>
    <col width="11" customWidth="1" min="7" max="7"/>
    <col width="12" customWidth="1" min="8" max="8"/>
    <col width="24" customWidth="1" min="9" max="9"/>
  </cols>
  <sheetData>
    <row r="1">
      <c r="A1" s="1" t="inlineStr">
        <is>
          <t>Curve slopes against their own 5-year range</t>
        </is>
      </c>
    </row>
    <row r="2">
      <c r="A2" s="2" t="inlineStr">
        <is>
          <t>Slide 2, exhibit 3. A slope in isolation means nothing. Against five years of its own history it tells you whether the steepener is already in the price.</t>
        </is>
      </c>
    </row>
    <row r="3" ht="4" customHeight="1">
      <c r="A3" s="3" t="n"/>
      <c r="B3" s="3" t="n"/>
      <c r="C3" s="3" t="n"/>
      <c r="D3" s="3" t="n"/>
      <c r="E3" s="3" t="n"/>
      <c r="F3" s="3" t="n"/>
      <c r="G3" s="3" t="n"/>
      <c r="H3" s="3" t="n"/>
      <c r="I3" s="3" t="n"/>
      <c r="J3" s="3" t="n"/>
      <c r="K3" s="3" t="n"/>
    </row>
    <row r="5">
      <c r="A5" s="9" t="inlineStr">
        <is>
          <t>What this measures, in one pass</t>
        </is>
      </c>
    </row>
    <row r="6" ht="30" customHeight="1">
      <c r="A6" s="5" t="inlineStr">
        <is>
          <t>The slope</t>
        </is>
      </c>
      <c r="B6" s="50" t="inlineStr">
        <is>
          <t>The long yield minus the short yield, in basis points. JGB 2s10s = the 10-year JGB yield less the 2-year. Positive means the curve is upward-sloping: you are paid more to lend for longer.</t>
        </is>
      </c>
    </row>
    <row r="7" ht="30" customHeight="1">
      <c r="A7" s="5" t="inlineStr">
        <is>
          <t>Why the range</t>
        </is>
      </c>
      <c r="B7" s="50" t="inlineStr">
        <is>
          <t>A slope of +148bp tells you nothing on its own. Wide or narrow compared with what? The grey band is the highest and lowest that same slope has been over the last five years, so the question becomes: given where this curve has traded, is today steep or flat?</t>
        </is>
      </c>
    </row>
    <row r="8" ht="30" customHeight="1">
      <c r="A8" s="5" t="inlineStr">
        <is>
          <t>The percentile</t>
        </is>
      </c>
      <c r="B8" s="50" t="inlineStr">
        <is>
          <t>Where today sits inside that band, 0% at the flattest five years and 100% at the steepest. Above 80% the steepening has already happened. Below 20% it has not.</t>
        </is>
      </c>
    </row>
    <row r="9" ht="30" customHeight="1">
      <c r="A9" s="5" t="inlineStr">
        <is>
          <t>Where the trade is</t>
        </is>
      </c>
      <c r="B9" s="50" t="inlineStr">
        <is>
          <t>You want to PAY for steepening where the percentile is low and the story is still ahead of you, and you want to be taking the other side — or just collecting carry — where the percentile is high and the consensus trade is already on.</t>
        </is>
      </c>
    </row>
    <row r="10" ht="30" customHeight="1">
      <c r="A10" s="5" t="inlineStr">
        <is>
          <t>The hook</t>
        </is>
      </c>
      <c r="B10" s="50" t="inlineStr">
        <is>
          <t>The curve everybody is talking about is usually the one already in the price. This chart finds the one nobody is talking about that is sitting at the bottom of its own five-year range.</t>
        </is>
      </c>
    </row>
    <row r="12">
      <c r="A12" s="9" t="inlineStr">
        <is>
          <t>The line to say when the chart goes up</t>
        </is>
      </c>
    </row>
    <row r="13" ht="32" customHeight="1">
      <c r="A13" s="51">
        <f>IF(COUNT(D18:D22)=0,"Refresh first — this sentence writes itself from the numbers.","The widest gap on this chart is "&amp;INDEX(A18:A22,MATCH(MAX(H18:H22),H18:H22,0))&amp;" at the "&amp;TEXT(MAX(H18:H22),"0%")&amp;" of its five-year range, against "&amp;INDEX(A18:A22,MATCH(MIN(H18:H22),H18:H22,0))&amp;" at the "&amp;TEXT(MIN(H18:H22),"0%")&amp;". One of those trades is already on. The other one is the opportunity.")</f>
        <v/>
      </c>
    </row>
    <row r="15">
      <c r="A15" s="12" t="inlineStr">
        <is>
          <t>A13 builds the punchline from the refreshed numbers rather than letting anyone type one. If the sentence it produces is not the argument you want to make, the argument is wrong, not the sentence.</t>
        </is>
      </c>
    </row>
    <row r="17" ht="18" customHeight="1">
      <c r="A17" s="4" t="inlineStr">
        <is>
          <t>Curve</t>
        </is>
      </c>
      <c r="B17" s="4" t="inlineStr">
        <is>
          <t>Long leg</t>
        </is>
      </c>
      <c r="C17" s="4" t="inlineStr">
        <is>
          <t>Short leg</t>
        </is>
      </c>
      <c r="D17" s="4" t="inlineStr">
        <is>
          <t>Slope now, bp</t>
        </is>
      </c>
      <c r="E17" s="4" t="inlineStr">
        <is>
          <t>5y min</t>
        </is>
      </c>
      <c r="F17" s="4" t="inlineStr">
        <is>
          <t>5y max</t>
        </is>
      </c>
      <c r="G17" s="4" t="inlineStr">
        <is>
          <t>5y mean</t>
        </is>
      </c>
      <c r="H17" s="4" t="inlineStr">
        <is>
          <t>Percentile</t>
        </is>
      </c>
      <c r="I17" s="4" t="inlineStr">
        <is>
          <t>Read</t>
        </is>
      </c>
    </row>
    <row r="18">
      <c r="A18" s="5" t="inlineStr">
        <is>
          <t>JGB 2s10s</t>
        </is>
      </c>
      <c r="B18" s="14" t="inlineStr">
        <is>
          <t>GTJPY10Y Govt</t>
        </is>
      </c>
      <c r="C18" s="14" t="inlineStr">
        <is>
          <t>GTJPY2Y Govt</t>
        </is>
      </c>
      <c r="D18" s="52">
        <f>IFERROR((BDP($B18,"PX_LAST")-BDP($C18,"PX_LAST"))*100,"")</f>
        <v/>
      </c>
      <c r="E18" s="53">
        <f>IFERROR(MIN(B$40:B$169),"")</f>
        <v/>
      </c>
      <c r="F18" s="53">
        <f>IFERROR(MAX(B$40:B$169),"")</f>
        <v/>
      </c>
      <c r="G18" s="53">
        <f>IFERROR(AVERAGE(B$40:B$169),"")</f>
        <v/>
      </c>
      <c r="H18" s="54">
        <f>IFERROR(PERCENTRANK.INC(B$40:B$169,D18),"")</f>
        <v/>
      </c>
      <c r="I18" s="7">
        <f>IF(H18="","",IF(H18&gt;0.8,"Steep vs history — already priced",IF(H18&lt;0.2,"Flat vs history — room to steepen","Mid-range")))</f>
        <v/>
      </c>
    </row>
    <row r="19">
      <c r="A19" s="5" t="inlineStr">
        <is>
          <t>JGB 10s30s</t>
        </is>
      </c>
      <c r="B19" s="14" t="inlineStr">
        <is>
          <t>GTJPY30Y Govt</t>
        </is>
      </c>
      <c r="C19" s="14" t="inlineStr">
        <is>
          <t>GTJPY10Y Govt</t>
        </is>
      </c>
      <c r="D19" s="52">
        <f>IFERROR((BDP($B19,"PX_LAST")-BDP($C19,"PX_LAST"))*100,"")</f>
        <v/>
      </c>
      <c r="E19" s="53">
        <f>IFERROR(MIN(C$40:C$169),"")</f>
        <v/>
      </c>
      <c r="F19" s="53">
        <f>IFERROR(MAX(C$40:C$169),"")</f>
        <v/>
      </c>
      <c r="G19" s="53">
        <f>IFERROR(AVERAGE(C$40:C$169),"")</f>
        <v/>
      </c>
      <c r="H19" s="54">
        <f>IFERROR(PERCENTRANK.INC(C$40:C$169,D19),"")</f>
        <v/>
      </c>
      <c r="I19" s="7">
        <f>IF(H19="","",IF(H19&gt;0.8,"Steep vs history — already priced",IF(H19&lt;0.2,"Flat vs history — room to steepen","Mid-range")))</f>
        <v/>
      </c>
    </row>
    <row r="20">
      <c r="A20" s="5" t="inlineStr">
        <is>
          <t>UST 2s10s</t>
        </is>
      </c>
      <c r="B20" s="14" t="inlineStr">
        <is>
          <t>USGG10YR Index</t>
        </is>
      </c>
      <c r="C20" s="14" t="inlineStr">
        <is>
          <t>USGG2YR Index</t>
        </is>
      </c>
      <c r="D20" s="52">
        <f>IFERROR((BDP($B20,"PX_LAST")-BDP($C20,"PX_LAST"))*100,"")</f>
        <v/>
      </c>
      <c r="E20" s="53">
        <f>IFERROR(MIN(D$40:D$169),"")</f>
        <v/>
      </c>
      <c r="F20" s="53">
        <f>IFERROR(MAX(D$40:D$169),"")</f>
        <v/>
      </c>
      <c r="G20" s="53">
        <f>IFERROR(AVERAGE(D$40:D$169),"")</f>
        <v/>
      </c>
      <c r="H20" s="54">
        <f>IFERROR(PERCENTRANK.INC(D$40:D$169,D20),"")</f>
        <v/>
      </c>
      <c r="I20" s="7">
        <f>IF(H20="","",IF(H20&gt;0.8,"Steep vs history — already priced",IF(H20&lt;0.2,"Flat vs history — room to steepen","Mid-range")))</f>
        <v/>
      </c>
    </row>
    <row r="21">
      <c r="A21" s="5" t="inlineStr">
        <is>
          <t>Bund 2s10s</t>
        </is>
      </c>
      <c r="B21" s="14" t="inlineStr">
        <is>
          <t>GTDEM10Y Govt</t>
        </is>
      </c>
      <c r="C21" s="14" t="inlineStr">
        <is>
          <t>GTDEM2Y Govt</t>
        </is>
      </c>
      <c r="D21" s="52">
        <f>IFERROR((BDP($B21,"PX_LAST")-BDP($C21,"PX_LAST"))*100,"")</f>
        <v/>
      </c>
      <c r="E21" s="53">
        <f>IFERROR(MIN(E$40:E$169),"")</f>
        <v/>
      </c>
      <c r="F21" s="53">
        <f>IFERROR(MAX(E$40:E$169),"")</f>
        <v/>
      </c>
      <c r="G21" s="53">
        <f>IFERROR(AVERAGE(E$40:E$169),"")</f>
        <v/>
      </c>
      <c r="H21" s="54">
        <f>IFERROR(PERCENTRANK.INC(E$40:E$169,D21),"")</f>
        <v/>
      </c>
      <c r="I21" s="7">
        <f>IF(H21="","",IF(H21&gt;0.8,"Steep vs history — already priced",IF(H21&lt;0.2,"Flat vs history — room to steepen","Mid-range")))</f>
        <v/>
      </c>
    </row>
    <row r="22">
      <c r="A22" s="5" t="inlineStr">
        <is>
          <t>KTB 3s10s</t>
        </is>
      </c>
      <c r="B22" s="14" t="inlineStr">
        <is>
          <t>GTKRW10Y Govt</t>
        </is>
      </c>
      <c r="C22" s="14" t="inlineStr">
        <is>
          <t>GTKRW3Y Govt</t>
        </is>
      </c>
      <c r="D22" s="52">
        <f>IFERROR((BDP($B22,"PX_LAST")-BDP($C22,"PX_LAST"))*100,"")</f>
        <v/>
      </c>
      <c r="E22" s="53">
        <f>IFERROR(MIN(F$40:F$169),"")</f>
        <v/>
      </c>
      <c r="F22" s="53">
        <f>IFERROR(MAX(F$40:F$169),"")</f>
        <v/>
      </c>
      <c r="G22" s="53">
        <f>IFERROR(AVERAGE(F$40:F$169),"")</f>
        <v/>
      </c>
      <c r="H22" s="54">
        <f>IFERROR(PERCENTRANK.INC(F$40:F$169,D22),"")</f>
        <v/>
      </c>
      <c r="I22" s="7">
        <f>IF(H22="","",IF(H22&gt;0.8,"Steep vs history — already priced",IF(H22&lt;0.2,"Flat vs history — room to steepen","Mid-range")))</f>
        <v/>
      </c>
    </row>
    <row r="25">
      <c r="A25" s="12" t="inlineStr">
        <is>
          <t>Trade 2 is a US 5s30s steepener, and this tab is where it gets checked. If UST 2s10s is already in the top quintile of its five-year range the entry is late, and the honest answer in the room is that the trade is a carry position rather than a directional one. The exhibit is drawn to make that visible rather than to hide it.</t>
        </is>
      </c>
    </row>
    <row r="28">
      <c r="A28" s="12" t="inlineStr">
        <is>
          <t>Slopes are computed from two live yields rather than pulled as a spread ticker, so the legs are visible and a wrong tenor shows up immediately. The cost is ten BDP calls instead of five, which is nothing against the daily limit.</t>
        </is>
      </c>
    </row>
    <row r="31">
      <c r="A31" s="12" t="inlineStr">
        <is>
          <t>Bund 2s10s is on the chart as the control. Four of these five curves are being driven by the same thing — the long end of the US curve — and a comparator outside the region is what shows whether a slope is telling you something local or just repeating the UST move.</t>
        </is>
      </c>
    </row>
    <row r="34">
      <c r="A34" s="9" t="inlineStr">
        <is>
          <t>Date alignment check</t>
        </is>
      </c>
      <c r="C34" s="9">
        <f>IFERROR(SUMPRODUCT(--($R$40:$R$170&lt;&gt;"")*($V$40:$V$170&lt;&gt;"")*($R$40:$R$170&lt;&gt;$V$40:$V$170))+SUMPRODUCT(--($R$40:$R$170&lt;&gt;"")*($Z$40:$Z$170&lt;&gt;"")*($R$40:$R$170&lt;&gt;$Z$40:$Z$170))+SUMPRODUCT(--($R$40:$R$170&lt;&gt;"")*($AD$40:$AD$170&lt;&gt;"")*($R$40:$R$170&lt;&gt;$AD$40:$AD$170))+SUMPRODUCT(--($R$40:$R$170&lt;&gt;"")*($AH$40:$AH$170&lt;&gt;"")*($R$40:$R$170&lt;&gt;$AH$40:$AH$170))+SUMPRODUCT(--($R$40:$R$170&lt;&gt;"")*($AL$40:$AL$170&lt;&gt;"")*($R$40:$R$170&lt;&gt;$AL$40:$AL$170))+SUMPRODUCT(--($R$40:$R$170&lt;&gt;"")*($AP$40:$AP$170&lt;&gt;"")*($R$40:$R$170&lt;&gt;$AP$40:$AP$170))+SUMPRODUCT(--($R$40:$R$170&lt;&gt;"")*($AT$40:$AT$170&lt;&gt;"")*($R$40:$R$170&lt;&gt;$AT$40:$AT$170))+SUMPRODUCT(--($R$40:$R$170&lt;&gt;"")*($AX$40:$AX$170&lt;&gt;"")*($R$40:$R$170&lt;&gt;$AX$40:$AX$170))+SUMPRODUCT(--($R$40:$R$170&lt;&gt;"")*($BB$40:$BB$170&lt;&gt;"")*($R$40:$R$170&lt;&gt;$BB$40:$BB$170)),"")</f>
        <v/>
      </c>
      <c r="D34" s="2">
        <f>IF(C34="","",IF(C34=0,"OK — blocks are row-aligned","MISALIGNED: "&amp;C34&amp;" rows differ. Do not use these numbers; switch the value columns to INDEX/MATCH on the date."))</f>
        <v/>
      </c>
    </row>
    <row r="36">
      <c r="R36" s="12" t="inlineStr">
        <is>
          <t>Staging — one BQL call per security. Each spills DATE and value; the working columns on the left look them up by date. Blocks: R = JGB 2s10s long · V = JGB 2s10s short · Z = JGB 10s30s long · AD = JGB 10s30s short · AH = UST 2s10s long · AL = UST 2s10s short · AP = Bund 2s10s long · AT = Bund 2s10s short · AX = KTB 3s10s long · BB = KTB 3s10s short.  If a block comes back with an extra ID column, shift that block's value column by one — nothing else needs to change.</t>
        </is>
      </c>
    </row>
    <row r="38">
      <c r="A38" s="9" t="inlineStr">
        <is>
          <t>Slope history, monthly — 5 years, bp</t>
        </is>
      </c>
      <c r="R38" s="10">
        <f>BQL("GTJPY10Y Govt","px_last(frq=M, dates=range("&amp;TEXT(Start5Y,"yyyy-mm-dd")&amp;","&amp;TEXT(AsOf,"yyyy-mm-dd")&amp;"), fill=prev)")</f>
        <v/>
      </c>
      <c r="V38" s="10">
        <f>BQL("GTJPY2Y Govt","px_last(frq=M, dates=range("&amp;TEXT(Start5Y,"yyyy-mm-dd")&amp;","&amp;TEXT(AsOf,"yyyy-mm-dd")&amp;"), fill=prev)")</f>
        <v/>
      </c>
      <c r="Z38" s="10">
        <f>BQL("GTJPY30Y Govt","px_last(frq=M, dates=range("&amp;TEXT(Start5Y,"yyyy-mm-dd")&amp;","&amp;TEXT(AsOf,"yyyy-mm-dd")&amp;"), fill=prev)")</f>
        <v/>
      </c>
      <c r="AD38" s="10">
        <f>BQL("GTJPY10Y Govt","px_last(frq=M, dates=range("&amp;TEXT(Start5Y,"yyyy-mm-dd")&amp;","&amp;TEXT(AsOf,"yyyy-mm-dd")&amp;"), fill=prev)")</f>
        <v/>
      </c>
      <c r="AH38" s="10">
        <f>BQL("USGG10YR Index","px_last(frq=M, dates=range("&amp;TEXT(Start5Y,"yyyy-mm-dd")&amp;","&amp;TEXT(AsOf,"yyyy-mm-dd")&amp;"), fill=prev)")</f>
        <v/>
      </c>
      <c r="AL38" s="10">
        <f>BQL("USGG2YR Index","px_last(frq=M, dates=range("&amp;TEXT(Start5Y,"yyyy-mm-dd")&amp;","&amp;TEXT(AsOf,"yyyy-mm-dd")&amp;"), fill=prev)")</f>
        <v/>
      </c>
      <c r="AP38" s="10">
        <f>BQL("GTDEM10Y Govt","px_last(frq=M, dates=range("&amp;TEXT(Start5Y,"yyyy-mm-dd")&amp;","&amp;TEXT(AsOf,"yyyy-mm-dd")&amp;"), fill=prev)")</f>
        <v/>
      </c>
      <c r="AT38" s="10">
        <f>BQL("GTDEM2Y Govt","px_last(frq=M, dates=range("&amp;TEXT(Start5Y,"yyyy-mm-dd")&amp;","&amp;TEXT(AsOf,"yyyy-mm-dd")&amp;"), fill=prev)")</f>
        <v/>
      </c>
      <c r="AX38" s="10">
        <f>BQL("GTKRW10Y Govt","px_last(frq=M, dates=range("&amp;TEXT(Start5Y,"yyyy-mm-dd")&amp;","&amp;TEXT(AsOf,"yyyy-mm-dd")&amp;"), fill=prev)")</f>
        <v/>
      </c>
      <c r="BB38" s="10">
        <f>BQL("GTKRW3Y Govt","px_last(frq=M, dates=range("&amp;TEXT(Start5Y,"yyyy-mm-dd")&amp;","&amp;TEXT(AsOf,"yyyy-mm-dd")&amp;"), fill=prev)")</f>
        <v/>
      </c>
    </row>
    <row r="39" ht="18" customHeight="1">
      <c r="A39" s="4" t="inlineStr">
        <is>
          <t>Date</t>
        </is>
      </c>
      <c r="B39" s="4" t="inlineStr">
        <is>
          <t>JGB 2s10s</t>
        </is>
      </c>
      <c r="C39" s="4" t="inlineStr">
        <is>
          <t>JGB 10s30s</t>
        </is>
      </c>
      <c r="D39" s="4" t="inlineStr">
        <is>
          <t>UST 2s10s</t>
        </is>
      </c>
      <c r="E39" s="4" t="inlineStr">
        <is>
          <t>Bund 2s10s</t>
        </is>
      </c>
      <c r="F39" s="4" t="inlineStr">
        <is>
          <t>KTB 3s10s</t>
        </is>
      </c>
    </row>
    <row r="40">
      <c r="A40" s="43">
        <f>IFERROR(INDEX($R$40:$R$170,ROW()-39),"")</f>
        <v/>
      </c>
      <c r="B40" s="55">
        <f>IFERROR((INDEX($S$40:$S$170,ROW()-39)-INDEX($W$40:$W$170,ROW()-39))*100,"")</f>
        <v/>
      </c>
      <c r="C40" s="55">
        <f>IFERROR((INDEX($AA$40:$AA$170,ROW()-39)-INDEX($AE$40:$AE$170,ROW()-39))*100,"")</f>
        <v/>
      </c>
      <c r="D40" s="55">
        <f>IFERROR((INDEX($AI$40:$AI$170,ROW()-39)-INDEX($AM$40:$AM$170,ROW()-39))*100,"")</f>
        <v/>
      </c>
      <c r="E40" s="55">
        <f>IFERROR((INDEX($AQ$40:$AQ$170,ROW()-39)-INDEX($AU$40:$AU$170,ROW()-39))*100,"")</f>
        <v/>
      </c>
      <c r="F40" s="55">
        <f>IFERROR((INDEX($AY$40:$AY$170,ROW()-39)-INDEX($BC$40:$BC$170,ROW()-39))*100,"")</f>
        <v/>
      </c>
    </row>
    <row r="41">
      <c r="A41" s="43">
        <f>IFERROR(INDEX($R$40:$R$170,ROW()-39),"")</f>
        <v/>
      </c>
      <c r="B41" s="55">
        <f>IFERROR((INDEX($S$40:$S$170,ROW()-39)-INDEX($W$40:$W$170,ROW()-39))*100,"")</f>
        <v/>
      </c>
      <c r="C41" s="55">
        <f>IFERROR((INDEX($AA$40:$AA$170,ROW()-39)-INDEX($AE$40:$AE$170,ROW()-39))*100,"")</f>
        <v/>
      </c>
      <c r="D41" s="55">
        <f>IFERROR((INDEX($AI$40:$AI$170,ROW()-39)-INDEX($AM$40:$AM$170,ROW()-39))*100,"")</f>
        <v/>
      </c>
      <c r="E41" s="55">
        <f>IFERROR((INDEX($AQ$40:$AQ$170,ROW()-39)-INDEX($AU$40:$AU$170,ROW()-39))*100,"")</f>
        <v/>
      </c>
      <c r="F41" s="55">
        <f>IFERROR((INDEX($AY$40:$AY$170,ROW()-39)-INDEX($BC$40:$BC$170,ROW()-39))*100,"")</f>
        <v/>
      </c>
    </row>
    <row r="42">
      <c r="A42" s="43">
        <f>IFERROR(INDEX($R$40:$R$170,ROW()-39),"")</f>
        <v/>
      </c>
      <c r="B42" s="55">
        <f>IFERROR((INDEX($S$40:$S$170,ROW()-39)-INDEX($W$40:$W$170,ROW()-39))*100,"")</f>
        <v/>
      </c>
      <c r="C42" s="55">
        <f>IFERROR((INDEX($AA$40:$AA$170,ROW()-39)-INDEX($AE$40:$AE$170,ROW()-39))*100,"")</f>
        <v/>
      </c>
      <c r="D42" s="55">
        <f>IFERROR((INDEX($AI$40:$AI$170,ROW()-39)-INDEX($AM$40:$AM$170,ROW()-39))*100,"")</f>
        <v/>
      </c>
      <c r="E42" s="55">
        <f>IFERROR((INDEX($AQ$40:$AQ$170,ROW()-39)-INDEX($AU$40:$AU$170,ROW()-39))*100,"")</f>
        <v/>
      </c>
      <c r="F42" s="55">
        <f>IFERROR((INDEX($AY$40:$AY$170,ROW()-39)-INDEX($BC$40:$BC$170,ROW()-39))*100,"")</f>
        <v/>
      </c>
    </row>
    <row r="43">
      <c r="A43" s="43">
        <f>IFERROR(INDEX($R$40:$R$170,ROW()-39),"")</f>
        <v/>
      </c>
      <c r="B43" s="55">
        <f>IFERROR((INDEX($S$40:$S$170,ROW()-39)-INDEX($W$40:$W$170,ROW()-39))*100,"")</f>
        <v/>
      </c>
      <c r="C43" s="55">
        <f>IFERROR((INDEX($AA$40:$AA$170,ROW()-39)-INDEX($AE$40:$AE$170,ROW()-39))*100,"")</f>
        <v/>
      </c>
      <c r="D43" s="55">
        <f>IFERROR((INDEX($AI$40:$AI$170,ROW()-39)-INDEX($AM$40:$AM$170,ROW()-39))*100,"")</f>
        <v/>
      </c>
      <c r="E43" s="55">
        <f>IFERROR((INDEX($AQ$40:$AQ$170,ROW()-39)-INDEX($AU$40:$AU$170,ROW()-39))*100,"")</f>
        <v/>
      </c>
      <c r="F43" s="55">
        <f>IFERROR((INDEX($AY$40:$AY$170,ROW()-39)-INDEX($BC$40:$BC$170,ROW()-39))*100,"")</f>
        <v/>
      </c>
    </row>
    <row r="44">
      <c r="A44" s="43">
        <f>IFERROR(INDEX($R$40:$R$170,ROW()-39),"")</f>
        <v/>
      </c>
      <c r="B44" s="55">
        <f>IFERROR((INDEX($S$40:$S$170,ROW()-39)-INDEX($W$40:$W$170,ROW()-39))*100,"")</f>
        <v/>
      </c>
      <c r="C44" s="55">
        <f>IFERROR((INDEX($AA$40:$AA$170,ROW()-39)-INDEX($AE$40:$AE$170,ROW()-39))*100,"")</f>
        <v/>
      </c>
      <c r="D44" s="55">
        <f>IFERROR((INDEX($AI$40:$AI$170,ROW()-39)-INDEX($AM$40:$AM$170,ROW()-39))*100,"")</f>
        <v/>
      </c>
      <c r="E44" s="55">
        <f>IFERROR((INDEX($AQ$40:$AQ$170,ROW()-39)-INDEX($AU$40:$AU$170,ROW()-39))*100,"")</f>
        <v/>
      </c>
      <c r="F44" s="55">
        <f>IFERROR((INDEX($AY$40:$AY$170,ROW()-39)-INDEX($BC$40:$BC$170,ROW()-39))*100,"")</f>
        <v/>
      </c>
    </row>
    <row r="45">
      <c r="A45" s="43">
        <f>IFERROR(INDEX($R$40:$R$170,ROW()-39),"")</f>
        <v/>
      </c>
      <c r="B45" s="55">
        <f>IFERROR((INDEX($S$40:$S$170,ROW()-39)-INDEX($W$40:$W$170,ROW()-39))*100,"")</f>
        <v/>
      </c>
      <c r="C45" s="55">
        <f>IFERROR((INDEX($AA$40:$AA$170,ROW()-39)-INDEX($AE$40:$AE$170,ROW()-39))*100,"")</f>
        <v/>
      </c>
      <c r="D45" s="55">
        <f>IFERROR((INDEX($AI$40:$AI$170,ROW()-39)-INDEX($AM$40:$AM$170,ROW()-39))*100,"")</f>
        <v/>
      </c>
      <c r="E45" s="55">
        <f>IFERROR((INDEX($AQ$40:$AQ$170,ROW()-39)-INDEX($AU$40:$AU$170,ROW()-39))*100,"")</f>
        <v/>
      </c>
      <c r="F45" s="55">
        <f>IFERROR((INDEX($AY$40:$AY$170,ROW()-39)-INDEX($BC$40:$BC$170,ROW()-39))*100,"")</f>
        <v/>
      </c>
    </row>
    <row r="46">
      <c r="A46" s="43">
        <f>IFERROR(INDEX($R$40:$R$170,ROW()-39),"")</f>
        <v/>
      </c>
      <c r="B46" s="55">
        <f>IFERROR((INDEX($S$40:$S$170,ROW()-39)-INDEX($W$40:$W$170,ROW()-39))*100,"")</f>
        <v/>
      </c>
      <c r="C46" s="55">
        <f>IFERROR((INDEX($AA$40:$AA$170,ROW()-39)-INDEX($AE$40:$AE$170,ROW()-39))*100,"")</f>
        <v/>
      </c>
      <c r="D46" s="55">
        <f>IFERROR((INDEX($AI$40:$AI$170,ROW()-39)-INDEX($AM$40:$AM$170,ROW()-39))*100,"")</f>
        <v/>
      </c>
      <c r="E46" s="55">
        <f>IFERROR((INDEX($AQ$40:$AQ$170,ROW()-39)-INDEX($AU$40:$AU$170,ROW()-39))*100,"")</f>
        <v/>
      </c>
      <c r="F46" s="55">
        <f>IFERROR((INDEX($AY$40:$AY$170,ROW()-39)-INDEX($BC$40:$BC$170,ROW()-39))*100,"")</f>
        <v/>
      </c>
    </row>
    <row r="47">
      <c r="A47" s="43">
        <f>IFERROR(INDEX($R$40:$R$170,ROW()-39),"")</f>
        <v/>
      </c>
      <c r="B47" s="55">
        <f>IFERROR((INDEX($S$40:$S$170,ROW()-39)-INDEX($W$40:$W$170,ROW()-39))*100,"")</f>
        <v/>
      </c>
      <c r="C47" s="55">
        <f>IFERROR((INDEX($AA$40:$AA$170,ROW()-39)-INDEX($AE$40:$AE$170,ROW()-39))*100,"")</f>
        <v/>
      </c>
      <c r="D47" s="55">
        <f>IFERROR((INDEX($AI$40:$AI$170,ROW()-39)-INDEX($AM$40:$AM$170,ROW()-39))*100,"")</f>
        <v/>
      </c>
      <c r="E47" s="55">
        <f>IFERROR((INDEX($AQ$40:$AQ$170,ROW()-39)-INDEX($AU$40:$AU$170,ROW()-39))*100,"")</f>
        <v/>
      </c>
      <c r="F47" s="55">
        <f>IFERROR((INDEX($AY$40:$AY$170,ROW()-39)-INDEX($BC$40:$BC$170,ROW()-39))*100,"")</f>
        <v/>
      </c>
    </row>
    <row r="48">
      <c r="A48" s="43">
        <f>IFERROR(INDEX($R$40:$R$170,ROW()-39),"")</f>
        <v/>
      </c>
      <c r="B48" s="55">
        <f>IFERROR((INDEX($S$40:$S$170,ROW()-39)-INDEX($W$40:$W$170,ROW()-39))*100,"")</f>
        <v/>
      </c>
      <c r="C48" s="55">
        <f>IFERROR((INDEX($AA$40:$AA$170,ROW()-39)-INDEX($AE$40:$AE$170,ROW()-39))*100,"")</f>
        <v/>
      </c>
      <c r="D48" s="55">
        <f>IFERROR((INDEX($AI$40:$AI$170,ROW()-39)-INDEX($AM$40:$AM$170,ROW()-39))*100,"")</f>
        <v/>
      </c>
      <c r="E48" s="55">
        <f>IFERROR((INDEX($AQ$40:$AQ$170,ROW()-39)-INDEX($AU$40:$AU$170,ROW()-39))*100,"")</f>
        <v/>
      </c>
      <c r="F48" s="55">
        <f>IFERROR((INDEX($AY$40:$AY$170,ROW()-39)-INDEX($BC$40:$BC$170,ROW()-39))*100,"")</f>
        <v/>
      </c>
    </row>
    <row r="49">
      <c r="A49" s="43">
        <f>IFERROR(INDEX($R$40:$R$170,ROW()-39),"")</f>
        <v/>
      </c>
      <c r="B49" s="55">
        <f>IFERROR((INDEX($S$40:$S$170,ROW()-39)-INDEX($W$40:$W$170,ROW()-39))*100,"")</f>
        <v/>
      </c>
      <c r="C49" s="55">
        <f>IFERROR((INDEX($AA$40:$AA$170,ROW()-39)-INDEX($AE$40:$AE$170,ROW()-39))*100,"")</f>
        <v/>
      </c>
      <c r="D49" s="55">
        <f>IFERROR((INDEX($AI$40:$AI$170,ROW()-39)-INDEX($AM$40:$AM$170,ROW()-39))*100,"")</f>
        <v/>
      </c>
      <c r="E49" s="55">
        <f>IFERROR((INDEX($AQ$40:$AQ$170,ROW()-39)-INDEX($AU$40:$AU$170,ROW()-39))*100,"")</f>
        <v/>
      </c>
      <c r="F49" s="55">
        <f>IFERROR((INDEX($AY$40:$AY$170,ROW()-39)-INDEX($BC$40:$BC$170,ROW()-39))*100,"")</f>
        <v/>
      </c>
    </row>
    <row r="50">
      <c r="A50" s="43">
        <f>IFERROR(INDEX($R$40:$R$170,ROW()-39),"")</f>
        <v/>
      </c>
      <c r="B50" s="55">
        <f>IFERROR((INDEX($S$40:$S$170,ROW()-39)-INDEX($W$40:$W$170,ROW()-39))*100,"")</f>
        <v/>
      </c>
      <c r="C50" s="55">
        <f>IFERROR((INDEX($AA$40:$AA$170,ROW()-39)-INDEX($AE$40:$AE$170,ROW()-39))*100,"")</f>
        <v/>
      </c>
      <c r="D50" s="55">
        <f>IFERROR((INDEX($AI$40:$AI$170,ROW()-39)-INDEX($AM$40:$AM$170,ROW()-39))*100,"")</f>
        <v/>
      </c>
      <c r="E50" s="55">
        <f>IFERROR((INDEX($AQ$40:$AQ$170,ROW()-39)-INDEX($AU$40:$AU$170,ROW()-39))*100,"")</f>
        <v/>
      </c>
      <c r="F50" s="55">
        <f>IFERROR((INDEX($AY$40:$AY$170,ROW()-39)-INDEX($BC$40:$BC$170,ROW()-39))*100,"")</f>
        <v/>
      </c>
    </row>
    <row r="51">
      <c r="A51" s="43">
        <f>IFERROR(INDEX($R$40:$R$170,ROW()-39),"")</f>
        <v/>
      </c>
      <c r="B51" s="55">
        <f>IFERROR((INDEX($S$40:$S$170,ROW()-39)-INDEX($W$40:$W$170,ROW()-39))*100,"")</f>
        <v/>
      </c>
      <c r="C51" s="55">
        <f>IFERROR((INDEX($AA$40:$AA$170,ROW()-39)-INDEX($AE$40:$AE$170,ROW()-39))*100,"")</f>
        <v/>
      </c>
      <c r="D51" s="55">
        <f>IFERROR((INDEX($AI$40:$AI$170,ROW()-39)-INDEX($AM$40:$AM$170,ROW()-39))*100,"")</f>
        <v/>
      </c>
      <c r="E51" s="55">
        <f>IFERROR((INDEX($AQ$40:$AQ$170,ROW()-39)-INDEX($AU$40:$AU$170,ROW()-39))*100,"")</f>
        <v/>
      </c>
      <c r="F51" s="55">
        <f>IFERROR((INDEX($AY$40:$AY$170,ROW()-39)-INDEX($BC$40:$BC$170,ROW()-39))*100,"")</f>
        <v/>
      </c>
    </row>
    <row r="52">
      <c r="A52" s="43">
        <f>IFERROR(INDEX($R$40:$R$170,ROW()-39),"")</f>
        <v/>
      </c>
      <c r="B52" s="55">
        <f>IFERROR((INDEX($S$40:$S$170,ROW()-39)-INDEX($W$40:$W$170,ROW()-39))*100,"")</f>
        <v/>
      </c>
      <c r="C52" s="55">
        <f>IFERROR((INDEX($AA$40:$AA$170,ROW()-39)-INDEX($AE$40:$AE$170,ROW()-39))*100,"")</f>
        <v/>
      </c>
      <c r="D52" s="55">
        <f>IFERROR((INDEX($AI$40:$AI$170,ROW()-39)-INDEX($AM$40:$AM$170,ROW()-39))*100,"")</f>
        <v/>
      </c>
      <c r="E52" s="55">
        <f>IFERROR((INDEX($AQ$40:$AQ$170,ROW()-39)-INDEX($AU$40:$AU$170,ROW()-39))*100,"")</f>
        <v/>
      </c>
      <c r="F52" s="55">
        <f>IFERROR((INDEX($AY$40:$AY$170,ROW()-39)-INDEX($BC$40:$BC$170,ROW()-39))*100,"")</f>
        <v/>
      </c>
    </row>
    <row r="53">
      <c r="A53" s="43">
        <f>IFERROR(INDEX($R$40:$R$170,ROW()-39),"")</f>
        <v/>
      </c>
      <c r="B53" s="55">
        <f>IFERROR((INDEX($S$40:$S$170,ROW()-39)-INDEX($W$40:$W$170,ROW()-39))*100,"")</f>
        <v/>
      </c>
      <c r="C53" s="55">
        <f>IFERROR((INDEX($AA$40:$AA$170,ROW()-39)-INDEX($AE$40:$AE$170,ROW()-39))*100,"")</f>
        <v/>
      </c>
      <c r="D53" s="55">
        <f>IFERROR((INDEX($AI$40:$AI$170,ROW()-39)-INDEX($AM$40:$AM$170,ROW()-39))*100,"")</f>
        <v/>
      </c>
      <c r="E53" s="55">
        <f>IFERROR((INDEX($AQ$40:$AQ$170,ROW()-39)-INDEX($AU$40:$AU$170,ROW()-39))*100,"")</f>
        <v/>
      </c>
      <c r="F53" s="55">
        <f>IFERROR((INDEX($AY$40:$AY$170,ROW()-39)-INDEX($BC$40:$BC$170,ROW()-39))*100,"")</f>
        <v/>
      </c>
    </row>
    <row r="54">
      <c r="A54" s="43">
        <f>IFERROR(INDEX($R$40:$R$170,ROW()-39),"")</f>
        <v/>
      </c>
      <c r="B54" s="55">
        <f>IFERROR((INDEX($S$40:$S$170,ROW()-39)-INDEX($W$40:$W$170,ROW()-39))*100,"")</f>
        <v/>
      </c>
      <c r="C54" s="55">
        <f>IFERROR((INDEX($AA$40:$AA$170,ROW()-39)-INDEX($AE$40:$AE$170,ROW()-39))*100,"")</f>
        <v/>
      </c>
      <c r="D54" s="55">
        <f>IFERROR((INDEX($AI$40:$AI$170,ROW()-39)-INDEX($AM$40:$AM$170,ROW()-39))*100,"")</f>
        <v/>
      </c>
      <c r="E54" s="55">
        <f>IFERROR((INDEX($AQ$40:$AQ$170,ROW()-39)-INDEX($AU$40:$AU$170,ROW()-39))*100,"")</f>
        <v/>
      </c>
      <c r="F54" s="55">
        <f>IFERROR((INDEX($AY$40:$AY$170,ROW()-39)-INDEX($BC$40:$BC$170,ROW()-39))*100,"")</f>
        <v/>
      </c>
    </row>
    <row r="55">
      <c r="A55" s="43">
        <f>IFERROR(INDEX($R$40:$R$170,ROW()-39),"")</f>
        <v/>
      </c>
      <c r="B55" s="55">
        <f>IFERROR((INDEX($S$40:$S$170,ROW()-39)-INDEX($W$40:$W$170,ROW()-39))*100,"")</f>
        <v/>
      </c>
      <c r="C55" s="55">
        <f>IFERROR((INDEX($AA$40:$AA$170,ROW()-39)-INDEX($AE$40:$AE$170,ROW()-39))*100,"")</f>
        <v/>
      </c>
      <c r="D55" s="55">
        <f>IFERROR((INDEX($AI$40:$AI$170,ROW()-39)-INDEX($AM$40:$AM$170,ROW()-39))*100,"")</f>
        <v/>
      </c>
      <c r="E55" s="55">
        <f>IFERROR((INDEX($AQ$40:$AQ$170,ROW()-39)-INDEX($AU$40:$AU$170,ROW()-39))*100,"")</f>
        <v/>
      </c>
      <c r="F55" s="55">
        <f>IFERROR((INDEX($AY$40:$AY$170,ROW()-39)-INDEX($BC$40:$BC$170,ROW()-39))*100,"")</f>
        <v/>
      </c>
    </row>
    <row r="56">
      <c r="A56" s="43">
        <f>IFERROR(INDEX($R$40:$R$170,ROW()-39),"")</f>
        <v/>
      </c>
      <c r="B56" s="55">
        <f>IFERROR((INDEX($S$40:$S$170,ROW()-39)-INDEX($W$40:$W$170,ROW()-39))*100,"")</f>
        <v/>
      </c>
      <c r="C56" s="55">
        <f>IFERROR((INDEX($AA$40:$AA$170,ROW()-39)-INDEX($AE$40:$AE$170,ROW()-39))*100,"")</f>
        <v/>
      </c>
      <c r="D56" s="55">
        <f>IFERROR((INDEX($AI$40:$AI$170,ROW()-39)-INDEX($AM$40:$AM$170,ROW()-39))*100,"")</f>
        <v/>
      </c>
      <c r="E56" s="55">
        <f>IFERROR((INDEX($AQ$40:$AQ$170,ROW()-39)-INDEX($AU$40:$AU$170,ROW()-39))*100,"")</f>
        <v/>
      </c>
      <c r="F56" s="55">
        <f>IFERROR((INDEX($AY$40:$AY$170,ROW()-39)-INDEX($BC$40:$BC$170,ROW()-39))*100,"")</f>
        <v/>
      </c>
    </row>
    <row r="57">
      <c r="A57" s="43">
        <f>IFERROR(INDEX($R$40:$R$170,ROW()-39),"")</f>
        <v/>
      </c>
      <c r="B57" s="55">
        <f>IFERROR((INDEX($S$40:$S$170,ROW()-39)-INDEX($W$40:$W$170,ROW()-39))*100,"")</f>
        <v/>
      </c>
      <c r="C57" s="55">
        <f>IFERROR((INDEX($AA$40:$AA$170,ROW()-39)-INDEX($AE$40:$AE$170,ROW()-39))*100,"")</f>
        <v/>
      </c>
      <c r="D57" s="55">
        <f>IFERROR((INDEX($AI$40:$AI$170,ROW()-39)-INDEX($AM$40:$AM$170,ROW()-39))*100,"")</f>
        <v/>
      </c>
      <c r="E57" s="55">
        <f>IFERROR((INDEX($AQ$40:$AQ$170,ROW()-39)-INDEX($AU$40:$AU$170,ROW()-39))*100,"")</f>
        <v/>
      </c>
      <c r="F57" s="55">
        <f>IFERROR((INDEX($AY$40:$AY$170,ROW()-39)-INDEX($BC$40:$BC$170,ROW()-39))*100,"")</f>
        <v/>
      </c>
    </row>
    <row r="58">
      <c r="A58" s="43">
        <f>IFERROR(INDEX($R$40:$R$170,ROW()-39),"")</f>
        <v/>
      </c>
      <c r="B58" s="55">
        <f>IFERROR((INDEX($S$40:$S$170,ROW()-39)-INDEX($W$40:$W$170,ROW()-39))*100,"")</f>
        <v/>
      </c>
      <c r="C58" s="55">
        <f>IFERROR((INDEX($AA$40:$AA$170,ROW()-39)-INDEX($AE$40:$AE$170,ROW()-39))*100,"")</f>
        <v/>
      </c>
      <c r="D58" s="55">
        <f>IFERROR((INDEX($AI$40:$AI$170,ROW()-39)-INDEX($AM$40:$AM$170,ROW()-39))*100,"")</f>
        <v/>
      </c>
      <c r="E58" s="55">
        <f>IFERROR((INDEX($AQ$40:$AQ$170,ROW()-39)-INDEX($AU$40:$AU$170,ROW()-39))*100,"")</f>
        <v/>
      </c>
      <c r="F58" s="55">
        <f>IFERROR((INDEX($AY$40:$AY$170,ROW()-39)-INDEX($BC$40:$BC$170,ROW()-39))*100,"")</f>
        <v/>
      </c>
    </row>
    <row r="59">
      <c r="A59" s="43">
        <f>IFERROR(INDEX($R$40:$R$170,ROW()-39),"")</f>
        <v/>
      </c>
      <c r="B59" s="55">
        <f>IFERROR((INDEX($S$40:$S$170,ROW()-39)-INDEX($W$40:$W$170,ROW()-39))*100,"")</f>
        <v/>
      </c>
      <c r="C59" s="55">
        <f>IFERROR((INDEX($AA$40:$AA$170,ROW()-39)-INDEX($AE$40:$AE$170,ROW()-39))*100,"")</f>
        <v/>
      </c>
      <c r="D59" s="55">
        <f>IFERROR((INDEX($AI$40:$AI$170,ROW()-39)-INDEX($AM$40:$AM$170,ROW()-39))*100,"")</f>
        <v/>
      </c>
      <c r="E59" s="55">
        <f>IFERROR((INDEX($AQ$40:$AQ$170,ROW()-39)-INDEX($AU$40:$AU$170,ROW()-39))*100,"")</f>
        <v/>
      </c>
      <c r="F59" s="55">
        <f>IFERROR((INDEX($AY$40:$AY$170,ROW()-39)-INDEX($BC$40:$BC$170,ROW()-39))*100,"")</f>
        <v/>
      </c>
    </row>
    <row r="60">
      <c r="A60" s="43">
        <f>IFERROR(INDEX($R$40:$R$170,ROW()-39),"")</f>
        <v/>
      </c>
      <c r="B60" s="55">
        <f>IFERROR((INDEX($S$40:$S$170,ROW()-39)-INDEX($W$40:$W$170,ROW()-39))*100,"")</f>
        <v/>
      </c>
      <c r="C60" s="55">
        <f>IFERROR((INDEX($AA$40:$AA$170,ROW()-39)-INDEX($AE$40:$AE$170,ROW()-39))*100,"")</f>
        <v/>
      </c>
      <c r="D60" s="55">
        <f>IFERROR((INDEX($AI$40:$AI$170,ROW()-39)-INDEX($AM$40:$AM$170,ROW()-39))*100,"")</f>
        <v/>
      </c>
      <c r="E60" s="55">
        <f>IFERROR((INDEX($AQ$40:$AQ$170,ROW()-39)-INDEX($AU$40:$AU$170,ROW()-39))*100,"")</f>
        <v/>
      </c>
      <c r="F60" s="55">
        <f>IFERROR((INDEX($AY$40:$AY$170,ROW()-39)-INDEX($BC$40:$BC$170,ROW()-39))*100,"")</f>
        <v/>
      </c>
    </row>
    <row r="61">
      <c r="A61" s="43">
        <f>IFERROR(INDEX($R$40:$R$170,ROW()-39),"")</f>
        <v/>
      </c>
      <c r="B61" s="55">
        <f>IFERROR((INDEX($S$40:$S$170,ROW()-39)-INDEX($W$40:$W$170,ROW()-39))*100,"")</f>
        <v/>
      </c>
      <c r="C61" s="55">
        <f>IFERROR((INDEX($AA$40:$AA$170,ROW()-39)-INDEX($AE$40:$AE$170,ROW()-39))*100,"")</f>
        <v/>
      </c>
      <c r="D61" s="55">
        <f>IFERROR((INDEX($AI$40:$AI$170,ROW()-39)-INDEX($AM$40:$AM$170,ROW()-39))*100,"")</f>
        <v/>
      </c>
      <c r="E61" s="55">
        <f>IFERROR((INDEX($AQ$40:$AQ$170,ROW()-39)-INDEX($AU$40:$AU$170,ROW()-39))*100,"")</f>
        <v/>
      </c>
      <c r="F61" s="55">
        <f>IFERROR((INDEX($AY$40:$AY$170,ROW()-39)-INDEX($BC$40:$BC$170,ROW()-39))*100,"")</f>
        <v/>
      </c>
    </row>
    <row r="62">
      <c r="A62" s="43">
        <f>IFERROR(INDEX($R$40:$R$170,ROW()-39),"")</f>
        <v/>
      </c>
      <c r="B62" s="55">
        <f>IFERROR((INDEX($S$40:$S$170,ROW()-39)-INDEX($W$40:$W$170,ROW()-39))*100,"")</f>
        <v/>
      </c>
      <c r="C62" s="55">
        <f>IFERROR((INDEX($AA$40:$AA$170,ROW()-39)-INDEX($AE$40:$AE$170,ROW()-39))*100,"")</f>
        <v/>
      </c>
      <c r="D62" s="55">
        <f>IFERROR((INDEX($AI$40:$AI$170,ROW()-39)-INDEX($AM$40:$AM$170,ROW()-39))*100,"")</f>
        <v/>
      </c>
      <c r="E62" s="55">
        <f>IFERROR((INDEX($AQ$40:$AQ$170,ROW()-39)-INDEX($AU$40:$AU$170,ROW()-39))*100,"")</f>
        <v/>
      </c>
      <c r="F62" s="55">
        <f>IFERROR((INDEX($AY$40:$AY$170,ROW()-39)-INDEX($BC$40:$BC$170,ROW()-39))*100,"")</f>
        <v/>
      </c>
    </row>
    <row r="63">
      <c r="A63" s="43">
        <f>IFERROR(INDEX($R$40:$R$170,ROW()-39),"")</f>
        <v/>
      </c>
      <c r="B63" s="55">
        <f>IFERROR((INDEX($S$40:$S$170,ROW()-39)-INDEX($W$40:$W$170,ROW()-39))*100,"")</f>
        <v/>
      </c>
      <c r="C63" s="55">
        <f>IFERROR((INDEX($AA$40:$AA$170,ROW()-39)-INDEX($AE$40:$AE$170,ROW()-39))*100,"")</f>
        <v/>
      </c>
      <c r="D63" s="55">
        <f>IFERROR((INDEX($AI$40:$AI$170,ROW()-39)-INDEX($AM$40:$AM$170,ROW()-39))*100,"")</f>
        <v/>
      </c>
      <c r="E63" s="55">
        <f>IFERROR((INDEX($AQ$40:$AQ$170,ROW()-39)-INDEX($AU$40:$AU$170,ROW()-39))*100,"")</f>
        <v/>
      </c>
      <c r="F63" s="55">
        <f>IFERROR((INDEX($AY$40:$AY$170,ROW()-39)-INDEX($BC$40:$BC$170,ROW()-39))*100,"")</f>
        <v/>
      </c>
    </row>
    <row r="64">
      <c r="A64" s="43">
        <f>IFERROR(INDEX($R$40:$R$170,ROW()-39),"")</f>
        <v/>
      </c>
      <c r="B64" s="55">
        <f>IFERROR((INDEX($S$40:$S$170,ROW()-39)-INDEX($W$40:$W$170,ROW()-39))*100,"")</f>
        <v/>
      </c>
      <c r="C64" s="55">
        <f>IFERROR((INDEX($AA$40:$AA$170,ROW()-39)-INDEX($AE$40:$AE$170,ROW()-39))*100,"")</f>
        <v/>
      </c>
      <c r="D64" s="55">
        <f>IFERROR((INDEX($AI$40:$AI$170,ROW()-39)-INDEX($AM$40:$AM$170,ROW()-39))*100,"")</f>
        <v/>
      </c>
      <c r="E64" s="55">
        <f>IFERROR((INDEX($AQ$40:$AQ$170,ROW()-39)-INDEX($AU$40:$AU$170,ROW()-39))*100,"")</f>
        <v/>
      </c>
      <c r="F64" s="55">
        <f>IFERROR((INDEX($AY$40:$AY$170,ROW()-39)-INDEX($BC$40:$BC$170,ROW()-39))*100,"")</f>
        <v/>
      </c>
    </row>
    <row r="65">
      <c r="A65" s="43">
        <f>IFERROR(INDEX($R$40:$R$170,ROW()-39),"")</f>
        <v/>
      </c>
      <c r="B65" s="55">
        <f>IFERROR((INDEX($S$40:$S$170,ROW()-39)-INDEX($W$40:$W$170,ROW()-39))*100,"")</f>
        <v/>
      </c>
      <c r="C65" s="55">
        <f>IFERROR((INDEX($AA$40:$AA$170,ROW()-39)-INDEX($AE$40:$AE$170,ROW()-39))*100,"")</f>
        <v/>
      </c>
      <c r="D65" s="55">
        <f>IFERROR((INDEX($AI$40:$AI$170,ROW()-39)-INDEX($AM$40:$AM$170,ROW()-39))*100,"")</f>
        <v/>
      </c>
      <c r="E65" s="55">
        <f>IFERROR((INDEX($AQ$40:$AQ$170,ROW()-39)-INDEX($AU$40:$AU$170,ROW()-39))*100,"")</f>
        <v/>
      </c>
      <c r="F65" s="55">
        <f>IFERROR((INDEX($AY$40:$AY$170,ROW()-39)-INDEX($BC$40:$BC$170,ROW()-39))*100,"")</f>
        <v/>
      </c>
    </row>
    <row r="66">
      <c r="A66" s="43">
        <f>IFERROR(INDEX($R$40:$R$170,ROW()-39),"")</f>
        <v/>
      </c>
      <c r="B66" s="55">
        <f>IFERROR((INDEX($S$40:$S$170,ROW()-39)-INDEX($W$40:$W$170,ROW()-39))*100,"")</f>
        <v/>
      </c>
      <c r="C66" s="55">
        <f>IFERROR((INDEX($AA$40:$AA$170,ROW()-39)-INDEX($AE$40:$AE$170,ROW()-39))*100,"")</f>
        <v/>
      </c>
      <c r="D66" s="55">
        <f>IFERROR((INDEX($AI$40:$AI$170,ROW()-39)-INDEX($AM$40:$AM$170,ROW()-39))*100,"")</f>
        <v/>
      </c>
      <c r="E66" s="55">
        <f>IFERROR((INDEX($AQ$40:$AQ$170,ROW()-39)-INDEX($AU$40:$AU$170,ROW()-39))*100,"")</f>
        <v/>
      </c>
      <c r="F66" s="55">
        <f>IFERROR((INDEX($AY$40:$AY$170,ROW()-39)-INDEX($BC$40:$BC$170,ROW()-39))*100,"")</f>
        <v/>
      </c>
    </row>
    <row r="67">
      <c r="A67" s="43">
        <f>IFERROR(INDEX($R$40:$R$170,ROW()-39),"")</f>
        <v/>
      </c>
      <c r="B67" s="55">
        <f>IFERROR((INDEX($S$40:$S$170,ROW()-39)-INDEX($W$40:$W$170,ROW()-39))*100,"")</f>
        <v/>
      </c>
      <c r="C67" s="55">
        <f>IFERROR((INDEX($AA$40:$AA$170,ROW()-39)-INDEX($AE$40:$AE$170,ROW()-39))*100,"")</f>
        <v/>
      </c>
      <c r="D67" s="55">
        <f>IFERROR((INDEX($AI$40:$AI$170,ROW()-39)-INDEX($AM$40:$AM$170,ROW()-39))*100,"")</f>
        <v/>
      </c>
      <c r="E67" s="55">
        <f>IFERROR((INDEX($AQ$40:$AQ$170,ROW()-39)-INDEX($AU$40:$AU$170,ROW()-39))*100,"")</f>
        <v/>
      </c>
      <c r="F67" s="55">
        <f>IFERROR((INDEX($AY$40:$AY$170,ROW()-39)-INDEX($BC$40:$BC$170,ROW()-39))*100,"")</f>
        <v/>
      </c>
    </row>
    <row r="68">
      <c r="A68" s="43">
        <f>IFERROR(INDEX($R$40:$R$170,ROW()-39),"")</f>
        <v/>
      </c>
      <c r="B68" s="55">
        <f>IFERROR((INDEX($S$40:$S$170,ROW()-39)-INDEX($W$40:$W$170,ROW()-39))*100,"")</f>
        <v/>
      </c>
      <c r="C68" s="55">
        <f>IFERROR((INDEX($AA$40:$AA$170,ROW()-39)-INDEX($AE$40:$AE$170,ROW()-39))*100,"")</f>
        <v/>
      </c>
      <c r="D68" s="55">
        <f>IFERROR((INDEX($AI$40:$AI$170,ROW()-39)-INDEX($AM$40:$AM$170,ROW()-39))*100,"")</f>
        <v/>
      </c>
      <c r="E68" s="55">
        <f>IFERROR((INDEX($AQ$40:$AQ$170,ROW()-39)-INDEX($AU$40:$AU$170,ROW()-39))*100,"")</f>
        <v/>
      </c>
      <c r="F68" s="55">
        <f>IFERROR((INDEX($AY$40:$AY$170,ROW()-39)-INDEX($BC$40:$BC$170,ROW()-39))*100,"")</f>
        <v/>
      </c>
    </row>
    <row r="69">
      <c r="A69" s="43">
        <f>IFERROR(INDEX($R$40:$R$170,ROW()-39),"")</f>
        <v/>
      </c>
      <c r="B69" s="55">
        <f>IFERROR((INDEX($S$40:$S$170,ROW()-39)-INDEX($W$40:$W$170,ROW()-39))*100,"")</f>
        <v/>
      </c>
      <c r="C69" s="55">
        <f>IFERROR((INDEX($AA$40:$AA$170,ROW()-39)-INDEX($AE$40:$AE$170,ROW()-39))*100,"")</f>
        <v/>
      </c>
      <c r="D69" s="55">
        <f>IFERROR((INDEX($AI$40:$AI$170,ROW()-39)-INDEX($AM$40:$AM$170,ROW()-39))*100,"")</f>
        <v/>
      </c>
      <c r="E69" s="55">
        <f>IFERROR((INDEX($AQ$40:$AQ$170,ROW()-39)-INDEX($AU$40:$AU$170,ROW()-39))*100,"")</f>
        <v/>
      </c>
      <c r="F69" s="55">
        <f>IFERROR((INDEX($AY$40:$AY$170,ROW()-39)-INDEX($BC$40:$BC$170,ROW()-39))*100,"")</f>
        <v/>
      </c>
    </row>
    <row r="70">
      <c r="A70" s="43">
        <f>IFERROR(INDEX($R$40:$R$170,ROW()-39),"")</f>
        <v/>
      </c>
      <c r="B70" s="55">
        <f>IFERROR((INDEX($S$40:$S$170,ROW()-39)-INDEX($W$40:$W$170,ROW()-39))*100,"")</f>
        <v/>
      </c>
      <c r="C70" s="55">
        <f>IFERROR((INDEX($AA$40:$AA$170,ROW()-39)-INDEX($AE$40:$AE$170,ROW()-39))*100,"")</f>
        <v/>
      </c>
      <c r="D70" s="55">
        <f>IFERROR((INDEX($AI$40:$AI$170,ROW()-39)-INDEX($AM$40:$AM$170,ROW()-39))*100,"")</f>
        <v/>
      </c>
      <c r="E70" s="55">
        <f>IFERROR((INDEX($AQ$40:$AQ$170,ROW()-39)-INDEX($AU$40:$AU$170,ROW()-39))*100,"")</f>
        <v/>
      </c>
      <c r="F70" s="55">
        <f>IFERROR((INDEX($AY$40:$AY$170,ROW()-39)-INDEX($BC$40:$BC$170,ROW()-39))*100,"")</f>
        <v/>
      </c>
    </row>
    <row r="71">
      <c r="A71" s="43">
        <f>IFERROR(INDEX($R$40:$R$170,ROW()-39),"")</f>
        <v/>
      </c>
      <c r="B71" s="55">
        <f>IFERROR((INDEX($S$40:$S$170,ROW()-39)-INDEX($W$40:$W$170,ROW()-39))*100,"")</f>
        <v/>
      </c>
      <c r="C71" s="55">
        <f>IFERROR((INDEX($AA$40:$AA$170,ROW()-39)-INDEX($AE$40:$AE$170,ROW()-39))*100,"")</f>
        <v/>
      </c>
      <c r="D71" s="55">
        <f>IFERROR((INDEX($AI$40:$AI$170,ROW()-39)-INDEX($AM$40:$AM$170,ROW()-39))*100,"")</f>
        <v/>
      </c>
      <c r="E71" s="55">
        <f>IFERROR((INDEX($AQ$40:$AQ$170,ROW()-39)-INDEX($AU$40:$AU$170,ROW()-39))*100,"")</f>
        <v/>
      </c>
      <c r="F71" s="55">
        <f>IFERROR((INDEX($AY$40:$AY$170,ROW()-39)-INDEX($BC$40:$BC$170,ROW()-39))*100,"")</f>
        <v/>
      </c>
    </row>
    <row r="72">
      <c r="A72" s="43">
        <f>IFERROR(INDEX($R$40:$R$170,ROW()-39),"")</f>
        <v/>
      </c>
      <c r="B72" s="55">
        <f>IFERROR((INDEX($S$40:$S$170,ROW()-39)-INDEX($W$40:$W$170,ROW()-39))*100,"")</f>
        <v/>
      </c>
      <c r="C72" s="55">
        <f>IFERROR((INDEX($AA$40:$AA$170,ROW()-39)-INDEX($AE$40:$AE$170,ROW()-39))*100,"")</f>
        <v/>
      </c>
      <c r="D72" s="55">
        <f>IFERROR((INDEX($AI$40:$AI$170,ROW()-39)-INDEX($AM$40:$AM$170,ROW()-39))*100,"")</f>
        <v/>
      </c>
      <c r="E72" s="55">
        <f>IFERROR((INDEX($AQ$40:$AQ$170,ROW()-39)-INDEX($AU$40:$AU$170,ROW()-39))*100,"")</f>
        <v/>
      </c>
      <c r="F72" s="55">
        <f>IFERROR((INDEX($AY$40:$AY$170,ROW()-39)-INDEX($BC$40:$BC$170,ROW()-39))*100,"")</f>
        <v/>
      </c>
    </row>
    <row r="73">
      <c r="A73" s="43">
        <f>IFERROR(INDEX($R$40:$R$170,ROW()-39),"")</f>
        <v/>
      </c>
      <c r="B73" s="55">
        <f>IFERROR((INDEX($S$40:$S$170,ROW()-39)-INDEX($W$40:$W$170,ROW()-39))*100,"")</f>
        <v/>
      </c>
      <c r="C73" s="55">
        <f>IFERROR((INDEX($AA$40:$AA$170,ROW()-39)-INDEX($AE$40:$AE$170,ROW()-39))*100,"")</f>
        <v/>
      </c>
      <c r="D73" s="55">
        <f>IFERROR((INDEX($AI$40:$AI$170,ROW()-39)-INDEX($AM$40:$AM$170,ROW()-39))*100,"")</f>
        <v/>
      </c>
      <c r="E73" s="55">
        <f>IFERROR((INDEX($AQ$40:$AQ$170,ROW()-39)-INDEX($AU$40:$AU$170,ROW()-39))*100,"")</f>
        <v/>
      </c>
      <c r="F73" s="55">
        <f>IFERROR((INDEX($AY$40:$AY$170,ROW()-39)-INDEX($BC$40:$BC$170,ROW()-39))*100,"")</f>
        <v/>
      </c>
    </row>
    <row r="74">
      <c r="A74" s="43">
        <f>IFERROR(INDEX($R$40:$R$170,ROW()-39),"")</f>
        <v/>
      </c>
      <c r="B74" s="55">
        <f>IFERROR((INDEX($S$40:$S$170,ROW()-39)-INDEX($W$40:$W$170,ROW()-39))*100,"")</f>
        <v/>
      </c>
      <c r="C74" s="55">
        <f>IFERROR((INDEX($AA$40:$AA$170,ROW()-39)-INDEX($AE$40:$AE$170,ROW()-39))*100,"")</f>
        <v/>
      </c>
      <c r="D74" s="55">
        <f>IFERROR((INDEX($AI$40:$AI$170,ROW()-39)-INDEX($AM$40:$AM$170,ROW()-39))*100,"")</f>
        <v/>
      </c>
      <c r="E74" s="55">
        <f>IFERROR((INDEX($AQ$40:$AQ$170,ROW()-39)-INDEX($AU$40:$AU$170,ROW()-39))*100,"")</f>
        <v/>
      </c>
      <c r="F74" s="55">
        <f>IFERROR((INDEX($AY$40:$AY$170,ROW()-39)-INDEX($BC$40:$BC$170,ROW()-39))*100,"")</f>
        <v/>
      </c>
    </row>
    <row r="75">
      <c r="A75" s="43">
        <f>IFERROR(INDEX($R$40:$R$170,ROW()-39),"")</f>
        <v/>
      </c>
      <c r="B75" s="55">
        <f>IFERROR((INDEX($S$40:$S$170,ROW()-39)-INDEX($W$40:$W$170,ROW()-39))*100,"")</f>
        <v/>
      </c>
      <c r="C75" s="55">
        <f>IFERROR((INDEX($AA$40:$AA$170,ROW()-39)-INDEX($AE$40:$AE$170,ROW()-39))*100,"")</f>
        <v/>
      </c>
      <c r="D75" s="55">
        <f>IFERROR((INDEX($AI$40:$AI$170,ROW()-39)-INDEX($AM$40:$AM$170,ROW()-39))*100,"")</f>
        <v/>
      </c>
      <c r="E75" s="55">
        <f>IFERROR((INDEX($AQ$40:$AQ$170,ROW()-39)-INDEX($AU$40:$AU$170,ROW()-39))*100,"")</f>
        <v/>
      </c>
      <c r="F75" s="55">
        <f>IFERROR((INDEX($AY$40:$AY$170,ROW()-39)-INDEX($BC$40:$BC$170,ROW()-39))*100,"")</f>
        <v/>
      </c>
    </row>
    <row r="76">
      <c r="A76" s="43">
        <f>IFERROR(INDEX($R$40:$R$170,ROW()-39),"")</f>
        <v/>
      </c>
      <c r="B76" s="55">
        <f>IFERROR((INDEX($S$40:$S$170,ROW()-39)-INDEX($W$40:$W$170,ROW()-39))*100,"")</f>
        <v/>
      </c>
      <c r="C76" s="55">
        <f>IFERROR((INDEX($AA$40:$AA$170,ROW()-39)-INDEX($AE$40:$AE$170,ROW()-39))*100,"")</f>
        <v/>
      </c>
      <c r="D76" s="55">
        <f>IFERROR((INDEX($AI$40:$AI$170,ROW()-39)-INDEX($AM$40:$AM$170,ROW()-39))*100,"")</f>
        <v/>
      </c>
      <c r="E76" s="55">
        <f>IFERROR((INDEX($AQ$40:$AQ$170,ROW()-39)-INDEX($AU$40:$AU$170,ROW()-39))*100,"")</f>
        <v/>
      </c>
      <c r="F76" s="55">
        <f>IFERROR((INDEX($AY$40:$AY$170,ROW()-39)-INDEX($BC$40:$BC$170,ROW()-39))*100,"")</f>
        <v/>
      </c>
    </row>
    <row r="77">
      <c r="A77" s="43">
        <f>IFERROR(INDEX($R$40:$R$170,ROW()-39),"")</f>
        <v/>
      </c>
      <c r="B77" s="55">
        <f>IFERROR((INDEX($S$40:$S$170,ROW()-39)-INDEX($W$40:$W$170,ROW()-39))*100,"")</f>
        <v/>
      </c>
      <c r="C77" s="55">
        <f>IFERROR((INDEX($AA$40:$AA$170,ROW()-39)-INDEX($AE$40:$AE$170,ROW()-39))*100,"")</f>
        <v/>
      </c>
      <c r="D77" s="55">
        <f>IFERROR((INDEX($AI$40:$AI$170,ROW()-39)-INDEX($AM$40:$AM$170,ROW()-39))*100,"")</f>
        <v/>
      </c>
      <c r="E77" s="55">
        <f>IFERROR((INDEX($AQ$40:$AQ$170,ROW()-39)-INDEX($AU$40:$AU$170,ROW()-39))*100,"")</f>
        <v/>
      </c>
      <c r="F77" s="55">
        <f>IFERROR((INDEX($AY$40:$AY$170,ROW()-39)-INDEX($BC$40:$BC$170,ROW()-39))*100,"")</f>
        <v/>
      </c>
    </row>
    <row r="78">
      <c r="A78" s="43">
        <f>IFERROR(INDEX($R$40:$R$170,ROW()-39),"")</f>
        <v/>
      </c>
      <c r="B78" s="55">
        <f>IFERROR((INDEX($S$40:$S$170,ROW()-39)-INDEX($W$40:$W$170,ROW()-39))*100,"")</f>
        <v/>
      </c>
      <c r="C78" s="55">
        <f>IFERROR((INDEX($AA$40:$AA$170,ROW()-39)-INDEX($AE$40:$AE$170,ROW()-39))*100,"")</f>
        <v/>
      </c>
      <c r="D78" s="55">
        <f>IFERROR((INDEX($AI$40:$AI$170,ROW()-39)-INDEX($AM$40:$AM$170,ROW()-39))*100,"")</f>
        <v/>
      </c>
      <c r="E78" s="55">
        <f>IFERROR((INDEX($AQ$40:$AQ$170,ROW()-39)-INDEX($AU$40:$AU$170,ROW()-39))*100,"")</f>
        <v/>
      </c>
      <c r="F78" s="55">
        <f>IFERROR((INDEX($AY$40:$AY$170,ROW()-39)-INDEX($BC$40:$BC$170,ROW()-39))*100,"")</f>
        <v/>
      </c>
    </row>
    <row r="79">
      <c r="A79" s="43">
        <f>IFERROR(INDEX($R$40:$R$170,ROW()-39),"")</f>
        <v/>
      </c>
      <c r="B79" s="55">
        <f>IFERROR((INDEX($S$40:$S$170,ROW()-39)-INDEX($W$40:$W$170,ROW()-39))*100,"")</f>
        <v/>
      </c>
      <c r="C79" s="55">
        <f>IFERROR((INDEX($AA$40:$AA$170,ROW()-39)-INDEX($AE$40:$AE$170,ROW()-39))*100,"")</f>
        <v/>
      </c>
      <c r="D79" s="55">
        <f>IFERROR((INDEX($AI$40:$AI$170,ROW()-39)-INDEX($AM$40:$AM$170,ROW()-39))*100,"")</f>
        <v/>
      </c>
      <c r="E79" s="55">
        <f>IFERROR((INDEX($AQ$40:$AQ$170,ROW()-39)-INDEX($AU$40:$AU$170,ROW()-39))*100,"")</f>
        <v/>
      </c>
      <c r="F79" s="55">
        <f>IFERROR((INDEX($AY$40:$AY$170,ROW()-39)-INDEX($BC$40:$BC$170,ROW()-39))*100,"")</f>
        <v/>
      </c>
    </row>
    <row r="80">
      <c r="A80" s="43">
        <f>IFERROR(INDEX($R$40:$R$170,ROW()-39),"")</f>
        <v/>
      </c>
      <c r="B80" s="55">
        <f>IFERROR((INDEX($S$40:$S$170,ROW()-39)-INDEX($W$40:$W$170,ROW()-39))*100,"")</f>
        <v/>
      </c>
      <c r="C80" s="55">
        <f>IFERROR((INDEX($AA$40:$AA$170,ROW()-39)-INDEX($AE$40:$AE$170,ROW()-39))*100,"")</f>
        <v/>
      </c>
      <c r="D80" s="55">
        <f>IFERROR((INDEX($AI$40:$AI$170,ROW()-39)-INDEX($AM$40:$AM$170,ROW()-39))*100,"")</f>
        <v/>
      </c>
      <c r="E80" s="55">
        <f>IFERROR((INDEX($AQ$40:$AQ$170,ROW()-39)-INDEX($AU$40:$AU$170,ROW()-39))*100,"")</f>
        <v/>
      </c>
      <c r="F80" s="55">
        <f>IFERROR((INDEX($AY$40:$AY$170,ROW()-39)-INDEX($BC$40:$BC$170,ROW()-39))*100,"")</f>
        <v/>
      </c>
    </row>
    <row r="81">
      <c r="A81" s="43">
        <f>IFERROR(INDEX($R$40:$R$170,ROW()-39),"")</f>
        <v/>
      </c>
      <c r="B81" s="55">
        <f>IFERROR((INDEX($S$40:$S$170,ROW()-39)-INDEX($W$40:$W$170,ROW()-39))*100,"")</f>
        <v/>
      </c>
      <c r="C81" s="55">
        <f>IFERROR((INDEX($AA$40:$AA$170,ROW()-39)-INDEX($AE$40:$AE$170,ROW()-39))*100,"")</f>
        <v/>
      </c>
      <c r="D81" s="55">
        <f>IFERROR((INDEX($AI$40:$AI$170,ROW()-39)-INDEX($AM$40:$AM$170,ROW()-39))*100,"")</f>
        <v/>
      </c>
      <c r="E81" s="55">
        <f>IFERROR((INDEX($AQ$40:$AQ$170,ROW()-39)-INDEX($AU$40:$AU$170,ROW()-39))*100,"")</f>
        <v/>
      </c>
      <c r="F81" s="55">
        <f>IFERROR((INDEX($AY$40:$AY$170,ROW()-39)-INDEX($BC$40:$BC$170,ROW()-39))*100,"")</f>
        <v/>
      </c>
    </row>
    <row r="82">
      <c r="A82" s="43">
        <f>IFERROR(INDEX($R$40:$R$170,ROW()-39),"")</f>
        <v/>
      </c>
      <c r="B82" s="55">
        <f>IFERROR((INDEX($S$40:$S$170,ROW()-39)-INDEX($W$40:$W$170,ROW()-39))*100,"")</f>
        <v/>
      </c>
      <c r="C82" s="55">
        <f>IFERROR((INDEX($AA$40:$AA$170,ROW()-39)-INDEX($AE$40:$AE$170,ROW()-39))*100,"")</f>
        <v/>
      </c>
      <c r="D82" s="55">
        <f>IFERROR((INDEX($AI$40:$AI$170,ROW()-39)-INDEX($AM$40:$AM$170,ROW()-39))*100,"")</f>
        <v/>
      </c>
      <c r="E82" s="55">
        <f>IFERROR((INDEX($AQ$40:$AQ$170,ROW()-39)-INDEX($AU$40:$AU$170,ROW()-39))*100,"")</f>
        <v/>
      </c>
      <c r="F82" s="55">
        <f>IFERROR((INDEX($AY$40:$AY$170,ROW()-39)-INDEX($BC$40:$BC$170,ROW()-39))*100,"")</f>
        <v/>
      </c>
    </row>
    <row r="83">
      <c r="A83" s="43">
        <f>IFERROR(INDEX($R$40:$R$170,ROW()-39),"")</f>
        <v/>
      </c>
      <c r="B83" s="55">
        <f>IFERROR((INDEX($S$40:$S$170,ROW()-39)-INDEX($W$40:$W$170,ROW()-39))*100,"")</f>
        <v/>
      </c>
      <c r="C83" s="55">
        <f>IFERROR((INDEX($AA$40:$AA$170,ROW()-39)-INDEX($AE$40:$AE$170,ROW()-39))*100,"")</f>
        <v/>
      </c>
      <c r="D83" s="55">
        <f>IFERROR((INDEX($AI$40:$AI$170,ROW()-39)-INDEX($AM$40:$AM$170,ROW()-39))*100,"")</f>
        <v/>
      </c>
      <c r="E83" s="55">
        <f>IFERROR((INDEX($AQ$40:$AQ$170,ROW()-39)-INDEX($AU$40:$AU$170,ROW()-39))*100,"")</f>
        <v/>
      </c>
      <c r="F83" s="55">
        <f>IFERROR((INDEX($AY$40:$AY$170,ROW()-39)-INDEX($BC$40:$BC$170,ROW()-39))*100,"")</f>
        <v/>
      </c>
    </row>
    <row r="84">
      <c r="A84" s="43">
        <f>IFERROR(INDEX($R$40:$R$170,ROW()-39),"")</f>
        <v/>
      </c>
      <c r="B84" s="55">
        <f>IFERROR((INDEX($S$40:$S$170,ROW()-39)-INDEX($W$40:$W$170,ROW()-39))*100,"")</f>
        <v/>
      </c>
      <c r="C84" s="55">
        <f>IFERROR((INDEX($AA$40:$AA$170,ROW()-39)-INDEX($AE$40:$AE$170,ROW()-39))*100,"")</f>
        <v/>
      </c>
      <c r="D84" s="55">
        <f>IFERROR((INDEX($AI$40:$AI$170,ROW()-39)-INDEX($AM$40:$AM$170,ROW()-39))*100,"")</f>
        <v/>
      </c>
      <c r="E84" s="55">
        <f>IFERROR((INDEX($AQ$40:$AQ$170,ROW()-39)-INDEX($AU$40:$AU$170,ROW()-39))*100,"")</f>
        <v/>
      </c>
      <c r="F84" s="55">
        <f>IFERROR((INDEX($AY$40:$AY$170,ROW()-39)-INDEX($BC$40:$BC$170,ROW()-39))*100,"")</f>
        <v/>
      </c>
    </row>
    <row r="85">
      <c r="A85" s="43">
        <f>IFERROR(INDEX($R$40:$R$170,ROW()-39),"")</f>
        <v/>
      </c>
      <c r="B85" s="55">
        <f>IFERROR((INDEX($S$40:$S$170,ROW()-39)-INDEX($W$40:$W$170,ROW()-39))*100,"")</f>
        <v/>
      </c>
      <c r="C85" s="55">
        <f>IFERROR((INDEX($AA$40:$AA$170,ROW()-39)-INDEX($AE$40:$AE$170,ROW()-39))*100,"")</f>
        <v/>
      </c>
      <c r="D85" s="55">
        <f>IFERROR((INDEX($AI$40:$AI$170,ROW()-39)-INDEX($AM$40:$AM$170,ROW()-39))*100,"")</f>
        <v/>
      </c>
      <c r="E85" s="55">
        <f>IFERROR((INDEX($AQ$40:$AQ$170,ROW()-39)-INDEX($AU$40:$AU$170,ROW()-39))*100,"")</f>
        <v/>
      </c>
      <c r="F85" s="55">
        <f>IFERROR((INDEX($AY$40:$AY$170,ROW()-39)-INDEX($BC$40:$BC$170,ROW()-39))*100,"")</f>
        <v/>
      </c>
    </row>
    <row r="86">
      <c r="A86" s="43">
        <f>IFERROR(INDEX($R$40:$R$170,ROW()-39),"")</f>
        <v/>
      </c>
      <c r="B86" s="55">
        <f>IFERROR((INDEX($S$40:$S$170,ROW()-39)-INDEX($W$40:$W$170,ROW()-39))*100,"")</f>
        <v/>
      </c>
      <c r="C86" s="55">
        <f>IFERROR((INDEX($AA$40:$AA$170,ROW()-39)-INDEX($AE$40:$AE$170,ROW()-39))*100,"")</f>
        <v/>
      </c>
      <c r="D86" s="55">
        <f>IFERROR((INDEX($AI$40:$AI$170,ROW()-39)-INDEX($AM$40:$AM$170,ROW()-39))*100,"")</f>
        <v/>
      </c>
      <c r="E86" s="55">
        <f>IFERROR((INDEX($AQ$40:$AQ$170,ROW()-39)-INDEX($AU$40:$AU$170,ROW()-39))*100,"")</f>
        <v/>
      </c>
      <c r="F86" s="55">
        <f>IFERROR((INDEX($AY$40:$AY$170,ROW()-39)-INDEX($BC$40:$BC$170,ROW()-39))*100,"")</f>
        <v/>
      </c>
    </row>
    <row r="87">
      <c r="A87" s="43">
        <f>IFERROR(INDEX($R$40:$R$170,ROW()-39),"")</f>
        <v/>
      </c>
      <c r="B87" s="55">
        <f>IFERROR((INDEX($S$40:$S$170,ROW()-39)-INDEX($W$40:$W$170,ROW()-39))*100,"")</f>
        <v/>
      </c>
      <c r="C87" s="55">
        <f>IFERROR((INDEX($AA$40:$AA$170,ROW()-39)-INDEX($AE$40:$AE$170,ROW()-39))*100,"")</f>
        <v/>
      </c>
      <c r="D87" s="55">
        <f>IFERROR((INDEX($AI$40:$AI$170,ROW()-39)-INDEX($AM$40:$AM$170,ROW()-39))*100,"")</f>
        <v/>
      </c>
      <c r="E87" s="55">
        <f>IFERROR((INDEX($AQ$40:$AQ$170,ROW()-39)-INDEX($AU$40:$AU$170,ROW()-39))*100,"")</f>
        <v/>
      </c>
      <c r="F87" s="55">
        <f>IFERROR((INDEX($AY$40:$AY$170,ROW()-39)-INDEX($BC$40:$BC$170,ROW()-39))*100,"")</f>
        <v/>
      </c>
    </row>
    <row r="88">
      <c r="A88" s="43">
        <f>IFERROR(INDEX($R$40:$R$170,ROW()-39),"")</f>
        <v/>
      </c>
      <c r="B88" s="55">
        <f>IFERROR((INDEX($S$40:$S$170,ROW()-39)-INDEX($W$40:$W$170,ROW()-39))*100,"")</f>
        <v/>
      </c>
      <c r="C88" s="55">
        <f>IFERROR((INDEX($AA$40:$AA$170,ROW()-39)-INDEX($AE$40:$AE$170,ROW()-39))*100,"")</f>
        <v/>
      </c>
      <c r="D88" s="55">
        <f>IFERROR((INDEX($AI$40:$AI$170,ROW()-39)-INDEX($AM$40:$AM$170,ROW()-39))*100,"")</f>
        <v/>
      </c>
      <c r="E88" s="55">
        <f>IFERROR((INDEX($AQ$40:$AQ$170,ROW()-39)-INDEX($AU$40:$AU$170,ROW()-39))*100,"")</f>
        <v/>
      </c>
      <c r="F88" s="55">
        <f>IFERROR((INDEX($AY$40:$AY$170,ROW()-39)-INDEX($BC$40:$BC$170,ROW()-39))*100,"")</f>
        <v/>
      </c>
    </row>
    <row r="89">
      <c r="A89" s="43">
        <f>IFERROR(INDEX($R$40:$R$170,ROW()-39),"")</f>
        <v/>
      </c>
      <c r="B89" s="55">
        <f>IFERROR((INDEX($S$40:$S$170,ROW()-39)-INDEX($W$40:$W$170,ROW()-39))*100,"")</f>
        <v/>
      </c>
      <c r="C89" s="55">
        <f>IFERROR((INDEX($AA$40:$AA$170,ROW()-39)-INDEX($AE$40:$AE$170,ROW()-39))*100,"")</f>
        <v/>
      </c>
      <c r="D89" s="55">
        <f>IFERROR((INDEX($AI$40:$AI$170,ROW()-39)-INDEX($AM$40:$AM$170,ROW()-39))*100,"")</f>
        <v/>
      </c>
      <c r="E89" s="55">
        <f>IFERROR((INDEX($AQ$40:$AQ$170,ROW()-39)-INDEX($AU$40:$AU$170,ROW()-39))*100,"")</f>
        <v/>
      </c>
      <c r="F89" s="55">
        <f>IFERROR((INDEX($AY$40:$AY$170,ROW()-39)-INDEX($BC$40:$BC$170,ROW()-39))*100,"")</f>
        <v/>
      </c>
    </row>
    <row r="90">
      <c r="A90" s="43">
        <f>IFERROR(INDEX($R$40:$R$170,ROW()-39),"")</f>
        <v/>
      </c>
      <c r="B90" s="55">
        <f>IFERROR((INDEX($S$40:$S$170,ROW()-39)-INDEX($W$40:$W$170,ROW()-39))*100,"")</f>
        <v/>
      </c>
      <c r="C90" s="55">
        <f>IFERROR((INDEX($AA$40:$AA$170,ROW()-39)-INDEX($AE$40:$AE$170,ROW()-39))*100,"")</f>
        <v/>
      </c>
      <c r="D90" s="55">
        <f>IFERROR((INDEX($AI$40:$AI$170,ROW()-39)-INDEX($AM$40:$AM$170,ROW()-39))*100,"")</f>
        <v/>
      </c>
      <c r="E90" s="55">
        <f>IFERROR((INDEX($AQ$40:$AQ$170,ROW()-39)-INDEX($AU$40:$AU$170,ROW()-39))*100,"")</f>
        <v/>
      </c>
      <c r="F90" s="55">
        <f>IFERROR((INDEX($AY$40:$AY$170,ROW()-39)-INDEX($BC$40:$BC$170,ROW()-39))*100,"")</f>
        <v/>
      </c>
    </row>
    <row r="91">
      <c r="A91" s="43">
        <f>IFERROR(INDEX($R$40:$R$170,ROW()-39),"")</f>
        <v/>
      </c>
      <c r="B91" s="55">
        <f>IFERROR((INDEX($S$40:$S$170,ROW()-39)-INDEX($W$40:$W$170,ROW()-39))*100,"")</f>
        <v/>
      </c>
      <c r="C91" s="55">
        <f>IFERROR((INDEX($AA$40:$AA$170,ROW()-39)-INDEX($AE$40:$AE$170,ROW()-39))*100,"")</f>
        <v/>
      </c>
      <c r="D91" s="55">
        <f>IFERROR((INDEX($AI$40:$AI$170,ROW()-39)-INDEX($AM$40:$AM$170,ROW()-39))*100,"")</f>
        <v/>
      </c>
      <c r="E91" s="55">
        <f>IFERROR((INDEX($AQ$40:$AQ$170,ROW()-39)-INDEX($AU$40:$AU$170,ROW()-39))*100,"")</f>
        <v/>
      </c>
      <c r="F91" s="55">
        <f>IFERROR((INDEX($AY$40:$AY$170,ROW()-39)-INDEX($BC$40:$BC$170,ROW()-39))*100,"")</f>
        <v/>
      </c>
    </row>
    <row r="92">
      <c r="A92" s="43">
        <f>IFERROR(INDEX($R$40:$R$170,ROW()-39),"")</f>
        <v/>
      </c>
      <c r="B92" s="55">
        <f>IFERROR((INDEX($S$40:$S$170,ROW()-39)-INDEX($W$40:$W$170,ROW()-39))*100,"")</f>
        <v/>
      </c>
      <c r="C92" s="55">
        <f>IFERROR((INDEX($AA$40:$AA$170,ROW()-39)-INDEX($AE$40:$AE$170,ROW()-39))*100,"")</f>
        <v/>
      </c>
      <c r="D92" s="55">
        <f>IFERROR((INDEX($AI$40:$AI$170,ROW()-39)-INDEX($AM$40:$AM$170,ROW()-39))*100,"")</f>
        <v/>
      </c>
      <c r="E92" s="55">
        <f>IFERROR((INDEX($AQ$40:$AQ$170,ROW()-39)-INDEX($AU$40:$AU$170,ROW()-39))*100,"")</f>
        <v/>
      </c>
      <c r="F92" s="55">
        <f>IFERROR((INDEX($AY$40:$AY$170,ROW()-39)-INDEX($BC$40:$BC$170,ROW()-39))*100,"")</f>
        <v/>
      </c>
    </row>
    <row r="93">
      <c r="A93" s="43">
        <f>IFERROR(INDEX($R$40:$R$170,ROW()-39),"")</f>
        <v/>
      </c>
      <c r="B93" s="55">
        <f>IFERROR((INDEX($S$40:$S$170,ROW()-39)-INDEX($W$40:$W$170,ROW()-39))*100,"")</f>
        <v/>
      </c>
      <c r="C93" s="55">
        <f>IFERROR((INDEX($AA$40:$AA$170,ROW()-39)-INDEX($AE$40:$AE$170,ROW()-39))*100,"")</f>
        <v/>
      </c>
      <c r="D93" s="55">
        <f>IFERROR((INDEX($AI$40:$AI$170,ROW()-39)-INDEX($AM$40:$AM$170,ROW()-39))*100,"")</f>
        <v/>
      </c>
      <c r="E93" s="55">
        <f>IFERROR((INDEX($AQ$40:$AQ$170,ROW()-39)-INDEX($AU$40:$AU$170,ROW()-39))*100,"")</f>
        <v/>
      </c>
      <c r="F93" s="55">
        <f>IFERROR((INDEX($AY$40:$AY$170,ROW()-39)-INDEX($BC$40:$BC$170,ROW()-39))*100,"")</f>
        <v/>
      </c>
    </row>
    <row r="94">
      <c r="A94" s="43">
        <f>IFERROR(INDEX($R$40:$R$170,ROW()-39),"")</f>
        <v/>
      </c>
      <c r="B94" s="55">
        <f>IFERROR((INDEX($S$40:$S$170,ROW()-39)-INDEX($W$40:$W$170,ROW()-39))*100,"")</f>
        <v/>
      </c>
      <c r="C94" s="55">
        <f>IFERROR((INDEX($AA$40:$AA$170,ROW()-39)-INDEX($AE$40:$AE$170,ROW()-39))*100,"")</f>
        <v/>
      </c>
      <c r="D94" s="55">
        <f>IFERROR((INDEX($AI$40:$AI$170,ROW()-39)-INDEX($AM$40:$AM$170,ROW()-39))*100,"")</f>
        <v/>
      </c>
      <c r="E94" s="55">
        <f>IFERROR((INDEX($AQ$40:$AQ$170,ROW()-39)-INDEX($AU$40:$AU$170,ROW()-39))*100,"")</f>
        <v/>
      </c>
      <c r="F94" s="55">
        <f>IFERROR((INDEX($AY$40:$AY$170,ROW()-39)-INDEX($BC$40:$BC$170,ROW()-39))*100,"")</f>
        <v/>
      </c>
    </row>
    <row r="95">
      <c r="A95" s="43">
        <f>IFERROR(INDEX($R$40:$R$170,ROW()-39),"")</f>
        <v/>
      </c>
      <c r="B95" s="55">
        <f>IFERROR((INDEX($S$40:$S$170,ROW()-39)-INDEX($W$40:$W$170,ROW()-39))*100,"")</f>
        <v/>
      </c>
      <c r="C95" s="55">
        <f>IFERROR((INDEX($AA$40:$AA$170,ROW()-39)-INDEX($AE$40:$AE$170,ROW()-39))*100,"")</f>
        <v/>
      </c>
      <c r="D95" s="55">
        <f>IFERROR((INDEX($AI$40:$AI$170,ROW()-39)-INDEX($AM$40:$AM$170,ROW()-39))*100,"")</f>
        <v/>
      </c>
      <c r="E95" s="55">
        <f>IFERROR((INDEX($AQ$40:$AQ$170,ROW()-39)-INDEX($AU$40:$AU$170,ROW()-39))*100,"")</f>
        <v/>
      </c>
      <c r="F95" s="55">
        <f>IFERROR((INDEX($AY$40:$AY$170,ROW()-39)-INDEX($BC$40:$BC$170,ROW()-39))*100,"")</f>
        <v/>
      </c>
    </row>
    <row r="96">
      <c r="A96" s="43">
        <f>IFERROR(INDEX($R$40:$R$170,ROW()-39),"")</f>
        <v/>
      </c>
      <c r="B96" s="55">
        <f>IFERROR((INDEX($S$40:$S$170,ROW()-39)-INDEX($W$40:$W$170,ROW()-39))*100,"")</f>
        <v/>
      </c>
      <c r="C96" s="55">
        <f>IFERROR((INDEX($AA$40:$AA$170,ROW()-39)-INDEX($AE$40:$AE$170,ROW()-39))*100,"")</f>
        <v/>
      </c>
      <c r="D96" s="55">
        <f>IFERROR((INDEX($AI$40:$AI$170,ROW()-39)-INDEX($AM$40:$AM$170,ROW()-39))*100,"")</f>
        <v/>
      </c>
      <c r="E96" s="55">
        <f>IFERROR((INDEX($AQ$40:$AQ$170,ROW()-39)-INDEX($AU$40:$AU$170,ROW()-39))*100,"")</f>
        <v/>
      </c>
      <c r="F96" s="55">
        <f>IFERROR((INDEX($AY$40:$AY$170,ROW()-39)-INDEX($BC$40:$BC$170,ROW()-39))*100,"")</f>
        <v/>
      </c>
    </row>
    <row r="97">
      <c r="A97" s="43">
        <f>IFERROR(INDEX($R$40:$R$170,ROW()-39),"")</f>
        <v/>
      </c>
      <c r="B97" s="55">
        <f>IFERROR((INDEX($S$40:$S$170,ROW()-39)-INDEX($W$40:$W$170,ROW()-39))*100,"")</f>
        <v/>
      </c>
      <c r="C97" s="55">
        <f>IFERROR((INDEX($AA$40:$AA$170,ROW()-39)-INDEX($AE$40:$AE$170,ROW()-39))*100,"")</f>
        <v/>
      </c>
      <c r="D97" s="55">
        <f>IFERROR((INDEX($AI$40:$AI$170,ROW()-39)-INDEX($AM$40:$AM$170,ROW()-39))*100,"")</f>
        <v/>
      </c>
      <c r="E97" s="55">
        <f>IFERROR((INDEX($AQ$40:$AQ$170,ROW()-39)-INDEX($AU$40:$AU$170,ROW()-39))*100,"")</f>
        <v/>
      </c>
      <c r="F97" s="55">
        <f>IFERROR((INDEX($AY$40:$AY$170,ROW()-39)-INDEX($BC$40:$BC$170,ROW()-39))*100,"")</f>
        <v/>
      </c>
    </row>
    <row r="98">
      <c r="A98" s="43">
        <f>IFERROR(INDEX($R$40:$R$170,ROW()-39),"")</f>
        <v/>
      </c>
      <c r="B98" s="55">
        <f>IFERROR((INDEX($S$40:$S$170,ROW()-39)-INDEX($W$40:$W$170,ROW()-39))*100,"")</f>
        <v/>
      </c>
      <c r="C98" s="55">
        <f>IFERROR((INDEX($AA$40:$AA$170,ROW()-39)-INDEX($AE$40:$AE$170,ROW()-39))*100,"")</f>
        <v/>
      </c>
      <c r="D98" s="55">
        <f>IFERROR((INDEX($AI$40:$AI$170,ROW()-39)-INDEX($AM$40:$AM$170,ROW()-39))*100,"")</f>
        <v/>
      </c>
      <c r="E98" s="55">
        <f>IFERROR((INDEX($AQ$40:$AQ$170,ROW()-39)-INDEX($AU$40:$AU$170,ROW()-39))*100,"")</f>
        <v/>
      </c>
      <c r="F98" s="55">
        <f>IFERROR((INDEX($AY$40:$AY$170,ROW()-39)-INDEX($BC$40:$BC$170,ROW()-39))*100,"")</f>
        <v/>
      </c>
    </row>
    <row r="99">
      <c r="A99" s="43">
        <f>IFERROR(INDEX($R$40:$R$170,ROW()-39),"")</f>
        <v/>
      </c>
      <c r="B99" s="55">
        <f>IFERROR((INDEX($S$40:$S$170,ROW()-39)-INDEX($W$40:$W$170,ROW()-39))*100,"")</f>
        <v/>
      </c>
      <c r="C99" s="55">
        <f>IFERROR((INDEX($AA$40:$AA$170,ROW()-39)-INDEX($AE$40:$AE$170,ROW()-39))*100,"")</f>
        <v/>
      </c>
      <c r="D99" s="55">
        <f>IFERROR((INDEX($AI$40:$AI$170,ROW()-39)-INDEX($AM$40:$AM$170,ROW()-39))*100,"")</f>
        <v/>
      </c>
      <c r="E99" s="55">
        <f>IFERROR((INDEX($AQ$40:$AQ$170,ROW()-39)-INDEX($AU$40:$AU$170,ROW()-39))*100,"")</f>
        <v/>
      </c>
      <c r="F99" s="55">
        <f>IFERROR((INDEX($AY$40:$AY$170,ROW()-39)-INDEX($BC$40:$BC$170,ROW()-39))*100,"")</f>
        <v/>
      </c>
    </row>
    <row r="100">
      <c r="A100" s="43">
        <f>IFERROR(INDEX($R$40:$R$170,ROW()-39),"")</f>
        <v/>
      </c>
      <c r="B100" s="55">
        <f>IFERROR((INDEX($S$40:$S$170,ROW()-39)-INDEX($W$40:$W$170,ROW()-39))*100,"")</f>
        <v/>
      </c>
      <c r="C100" s="55">
        <f>IFERROR((INDEX($AA$40:$AA$170,ROW()-39)-INDEX($AE$40:$AE$170,ROW()-39))*100,"")</f>
        <v/>
      </c>
      <c r="D100" s="55">
        <f>IFERROR((INDEX($AI$40:$AI$170,ROW()-39)-INDEX($AM$40:$AM$170,ROW()-39))*100,"")</f>
        <v/>
      </c>
      <c r="E100" s="55">
        <f>IFERROR((INDEX($AQ$40:$AQ$170,ROW()-39)-INDEX($AU$40:$AU$170,ROW()-39))*100,"")</f>
        <v/>
      </c>
      <c r="F100" s="55">
        <f>IFERROR((INDEX($AY$40:$AY$170,ROW()-39)-INDEX($BC$40:$BC$170,ROW()-39))*100,"")</f>
        <v/>
      </c>
    </row>
    <row r="101">
      <c r="A101" s="43">
        <f>IFERROR(INDEX($R$40:$R$170,ROW()-39),"")</f>
        <v/>
      </c>
      <c r="B101" s="55">
        <f>IFERROR((INDEX($S$40:$S$170,ROW()-39)-INDEX($W$40:$W$170,ROW()-39))*100,"")</f>
        <v/>
      </c>
      <c r="C101" s="55">
        <f>IFERROR((INDEX($AA$40:$AA$170,ROW()-39)-INDEX($AE$40:$AE$170,ROW()-39))*100,"")</f>
        <v/>
      </c>
      <c r="D101" s="55">
        <f>IFERROR((INDEX($AI$40:$AI$170,ROW()-39)-INDEX($AM$40:$AM$170,ROW()-39))*100,"")</f>
        <v/>
      </c>
      <c r="E101" s="55">
        <f>IFERROR((INDEX($AQ$40:$AQ$170,ROW()-39)-INDEX($AU$40:$AU$170,ROW()-39))*100,"")</f>
        <v/>
      </c>
      <c r="F101" s="55">
        <f>IFERROR((INDEX($AY$40:$AY$170,ROW()-39)-INDEX($BC$40:$BC$170,ROW()-39))*100,"")</f>
        <v/>
      </c>
    </row>
    <row r="102">
      <c r="A102" s="43">
        <f>IFERROR(INDEX($R$40:$R$170,ROW()-39),"")</f>
        <v/>
      </c>
      <c r="B102" s="55">
        <f>IFERROR((INDEX($S$40:$S$170,ROW()-39)-INDEX($W$40:$W$170,ROW()-39))*100,"")</f>
        <v/>
      </c>
      <c r="C102" s="55">
        <f>IFERROR((INDEX($AA$40:$AA$170,ROW()-39)-INDEX($AE$40:$AE$170,ROW()-39))*100,"")</f>
        <v/>
      </c>
      <c r="D102" s="55">
        <f>IFERROR((INDEX($AI$40:$AI$170,ROW()-39)-INDEX($AM$40:$AM$170,ROW()-39))*100,"")</f>
        <v/>
      </c>
      <c r="E102" s="55">
        <f>IFERROR((INDEX($AQ$40:$AQ$170,ROW()-39)-INDEX($AU$40:$AU$170,ROW()-39))*100,"")</f>
        <v/>
      </c>
      <c r="F102" s="55">
        <f>IFERROR((INDEX($AY$40:$AY$170,ROW()-39)-INDEX($BC$40:$BC$170,ROW()-39))*100,"")</f>
        <v/>
      </c>
    </row>
    <row r="103">
      <c r="A103" s="43">
        <f>IFERROR(INDEX($R$40:$R$170,ROW()-39),"")</f>
        <v/>
      </c>
      <c r="B103" s="55">
        <f>IFERROR((INDEX($S$40:$S$170,ROW()-39)-INDEX($W$40:$W$170,ROW()-39))*100,"")</f>
        <v/>
      </c>
      <c r="C103" s="55">
        <f>IFERROR((INDEX($AA$40:$AA$170,ROW()-39)-INDEX($AE$40:$AE$170,ROW()-39))*100,"")</f>
        <v/>
      </c>
      <c r="D103" s="55">
        <f>IFERROR((INDEX($AI$40:$AI$170,ROW()-39)-INDEX($AM$40:$AM$170,ROW()-39))*100,"")</f>
        <v/>
      </c>
      <c r="E103" s="55">
        <f>IFERROR((INDEX($AQ$40:$AQ$170,ROW()-39)-INDEX($AU$40:$AU$170,ROW()-39))*100,"")</f>
        <v/>
      </c>
      <c r="F103" s="55">
        <f>IFERROR((INDEX($AY$40:$AY$170,ROW()-39)-INDEX($BC$40:$BC$170,ROW()-39))*100,"")</f>
        <v/>
      </c>
    </row>
    <row r="104">
      <c r="A104" s="43">
        <f>IFERROR(INDEX($R$40:$R$170,ROW()-39),"")</f>
        <v/>
      </c>
      <c r="B104" s="55">
        <f>IFERROR((INDEX($S$40:$S$170,ROW()-39)-INDEX($W$40:$W$170,ROW()-39))*100,"")</f>
        <v/>
      </c>
      <c r="C104" s="55">
        <f>IFERROR((INDEX($AA$40:$AA$170,ROW()-39)-INDEX($AE$40:$AE$170,ROW()-39))*100,"")</f>
        <v/>
      </c>
      <c r="D104" s="55">
        <f>IFERROR((INDEX($AI$40:$AI$170,ROW()-39)-INDEX($AM$40:$AM$170,ROW()-39))*100,"")</f>
        <v/>
      </c>
      <c r="E104" s="55">
        <f>IFERROR((INDEX($AQ$40:$AQ$170,ROW()-39)-INDEX($AU$40:$AU$170,ROW()-39))*100,"")</f>
        <v/>
      </c>
      <c r="F104" s="55">
        <f>IFERROR((INDEX($AY$40:$AY$170,ROW()-39)-INDEX($BC$40:$BC$170,ROW()-39))*100,"")</f>
        <v/>
      </c>
    </row>
    <row r="105">
      <c r="A105" s="43">
        <f>IFERROR(INDEX($R$40:$R$170,ROW()-39),"")</f>
        <v/>
      </c>
      <c r="B105" s="55">
        <f>IFERROR((INDEX($S$40:$S$170,ROW()-39)-INDEX($W$40:$W$170,ROW()-39))*100,"")</f>
        <v/>
      </c>
      <c r="C105" s="55">
        <f>IFERROR((INDEX($AA$40:$AA$170,ROW()-39)-INDEX($AE$40:$AE$170,ROW()-39))*100,"")</f>
        <v/>
      </c>
      <c r="D105" s="55">
        <f>IFERROR((INDEX($AI$40:$AI$170,ROW()-39)-INDEX($AM$40:$AM$170,ROW()-39))*100,"")</f>
        <v/>
      </c>
      <c r="E105" s="55">
        <f>IFERROR((INDEX($AQ$40:$AQ$170,ROW()-39)-INDEX($AU$40:$AU$170,ROW()-39))*100,"")</f>
        <v/>
      </c>
      <c r="F105" s="55">
        <f>IFERROR((INDEX($AY$40:$AY$170,ROW()-39)-INDEX($BC$40:$BC$170,ROW()-39))*100,"")</f>
        <v/>
      </c>
    </row>
    <row r="106">
      <c r="A106" s="43">
        <f>IFERROR(INDEX($R$40:$R$170,ROW()-39),"")</f>
        <v/>
      </c>
      <c r="B106" s="55">
        <f>IFERROR((INDEX($S$40:$S$170,ROW()-39)-INDEX($W$40:$W$170,ROW()-39))*100,"")</f>
        <v/>
      </c>
      <c r="C106" s="55">
        <f>IFERROR((INDEX($AA$40:$AA$170,ROW()-39)-INDEX($AE$40:$AE$170,ROW()-39))*100,"")</f>
        <v/>
      </c>
      <c r="D106" s="55">
        <f>IFERROR((INDEX($AI$40:$AI$170,ROW()-39)-INDEX($AM$40:$AM$170,ROW()-39))*100,"")</f>
        <v/>
      </c>
      <c r="E106" s="55">
        <f>IFERROR((INDEX($AQ$40:$AQ$170,ROW()-39)-INDEX($AU$40:$AU$170,ROW()-39))*100,"")</f>
        <v/>
      </c>
      <c r="F106" s="55">
        <f>IFERROR((INDEX($AY$40:$AY$170,ROW()-39)-INDEX($BC$40:$BC$170,ROW()-39))*100,"")</f>
        <v/>
      </c>
    </row>
    <row r="107">
      <c r="A107" s="43">
        <f>IFERROR(INDEX($R$40:$R$170,ROW()-39),"")</f>
        <v/>
      </c>
      <c r="B107" s="55">
        <f>IFERROR((INDEX($S$40:$S$170,ROW()-39)-INDEX($W$40:$W$170,ROW()-39))*100,"")</f>
        <v/>
      </c>
      <c r="C107" s="55">
        <f>IFERROR((INDEX($AA$40:$AA$170,ROW()-39)-INDEX($AE$40:$AE$170,ROW()-39))*100,"")</f>
        <v/>
      </c>
      <c r="D107" s="55">
        <f>IFERROR((INDEX($AI$40:$AI$170,ROW()-39)-INDEX($AM$40:$AM$170,ROW()-39))*100,"")</f>
        <v/>
      </c>
      <c r="E107" s="55">
        <f>IFERROR((INDEX($AQ$40:$AQ$170,ROW()-39)-INDEX($AU$40:$AU$170,ROW()-39))*100,"")</f>
        <v/>
      </c>
      <c r="F107" s="55">
        <f>IFERROR((INDEX($AY$40:$AY$170,ROW()-39)-INDEX($BC$40:$BC$170,ROW()-39))*100,"")</f>
        <v/>
      </c>
    </row>
    <row r="108">
      <c r="A108" s="43">
        <f>IFERROR(INDEX($R$40:$R$170,ROW()-39),"")</f>
        <v/>
      </c>
      <c r="B108" s="55">
        <f>IFERROR((INDEX($S$40:$S$170,ROW()-39)-INDEX($W$40:$W$170,ROW()-39))*100,"")</f>
        <v/>
      </c>
      <c r="C108" s="55">
        <f>IFERROR((INDEX($AA$40:$AA$170,ROW()-39)-INDEX($AE$40:$AE$170,ROW()-39))*100,"")</f>
        <v/>
      </c>
      <c r="D108" s="55">
        <f>IFERROR((INDEX($AI$40:$AI$170,ROW()-39)-INDEX($AM$40:$AM$170,ROW()-39))*100,"")</f>
        <v/>
      </c>
      <c r="E108" s="55">
        <f>IFERROR((INDEX($AQ$40:$AQ$170,ROW()-39)-INDEX($AU$40:$AU$170,ROW()-39))*100,"")</f>
        <v/>
      </c>
      <c r="F108" s="55">
        <f>IFERROR((INDEX($AY$40:$AY$170,ROW()-39)-INDEX($BC$40:$BC$170,ROW()-39))*100,"")</f>
        <v/>
      </c>
    </row>
    <row r="109">
      <c r="A109" s="43">
        <f>IFERROR(INDEX($R$40:$R$170,ROW()-39),"")</f>
        <v/>
      </c>
      <c r="B109" s="55">
        <f>IFERROR((INDEX($S$40:$S$170,ROW()-39)-INDEX($W$40:$W$170,ROW()-39))*100,"")</f>
        <v/>
      </c>
      <c r="C109" s="55">
        <f>IFERROR((INDEX($AA$40:$AA$170,ROW()-39)-INDEX($AE$40:$AE$170,ROW()-39))*100,"")</f>
        <v/>
      </c>
      <c r="D109" s="55">
        <f>IFERROR((INDEX($AI$40:$AI$170,ROW()-39)-INDEX($AM$40:$AM$170,ROW()-39))*100,"")</f>
        <v/>
      </c>
      <c r="E109" s="55">
        <f>IFERROR((INDEX($AQ$40:$AQ$170,ROW()-39)-INDEX($AU$40:$AU$170,ROW()-39))*100,"")</f>
        <v/>
      </c>
      <c r="F109" s="55">
        <f>IFERROR((INDEX($AY$40:$AY$170,ROW()-39)-INDEX($BC$40:$BC$170,ROW()-39))*100,"")</f>
        <v/>
      </c>
    </row>
    <row r="110">
      <c r="A110" s="43">
        <f>IFERROR(INDEX($R$40:$R$170,ROW()-39),"")</f>
        <v/>
      </c>
      <c r="B110" s="55">
        <f>IFERROR((INDEX($S$40:$S$170,ROW()-39)-INDEX($W$40:$W$170,ROW()-39))*100,"")</f>
        <v/>
      </c>
      <c r="C110" s="55">
        <f>IFERROR((INDEX($AA$40:$AA$170,ROW()-39)-INDEX($AE$40:$AE$170,ROW()-39))*100,"")</f>
        <v/>
      </c>
      <c r="D110" s="55">
        <f>IFERROR((INDEX($AI$40:$AI$170,ROW()-39)-INDEX($AM$40:$AM$170,ROW()-39))*100,"")</f>
        <v/>
      </c>
      <c r="E110" s="55">
        <f>IFERROR((INDEX($AQ$40:$AQ$170,ROW()-39)-INDEX($AU$40:$AU$170,ROW()-39))*100,"")</f>
        <v/>
      </c>
      <c r="F110" s="55">
        <f>IFERROR((INDEX($AY$40:$AY$170,ROW()-39)-INDEX($BC$40:$BC$170,ROW()-39))*100,"")</f>
        <v/>
      </c>
    </row>
    <row r="111">
      <c r="A111" s="43">
        <f>IFERROR(INDEX($R$40:$R$170,ROW()-39),"")</f>
        <v/>
      </c>
      <c r="B111" s="55">
        <f>IFERROR((INDEX($S$40:$S$170,ROW()-39)-INDEX($W$40:$W$170,ROW()-39))*100,"")</f>
        <v/>
      </c>
      <c r="C111" s="55">
        <f>IFERROR((INDEX($AA$40:$AA$170,ROW()-39)-INDEX($AE$40:$AE$170,ROW()-39))*100,"")</f>
        <v/>
      </c>
      <c r="D111" s="55">
        <f>IFERROR((INDEX($AI$40:$AI$170,ROW()-39)-INDEX($AM$40:$AM$170,ROW()-39))*100,"")</f>
        <v/>
      </c>
      <c r="E111" s="55">
        <f>IFERROR((INDEX($AQ$40:$AQ$170,ROW()-39)-INDEX($AU$40:$AU$170,ROW()-39))*100,"")</f>
        <v/>
      </c>
      <c r="F111" s="55">
        <f>IFERROR((INDEX($AY$40:$AY$170,ROW()-39)-INDEX($BC$40:$BC$170,ROW()-39))*100,"")</f>
        <v/>
      </c>
    </row>
    <row r="112">
      <c r="A112" s="43">
        <f>IFERROR(INDEX($R$40:$R$170,ROW()-39),"")</f>
        <v/>
      </c>
      <c r="B112" s="55">
        <f>IFERROR((INDEX($S$40:$S$170,ROW()-39)-INDEX($W$40:$W$170,ROW()-39))*100,"")</f>
        <v/>
      </c>
      <c r="C112" s="55">
        <f>IFERROR((INDEX($AA$40:$AA$170,ROW()-39)-INDEX($AE$40:$AE$170,ROW()-39))*100,"")</f>
        <v/>
      </c>
      <c r="D112" s="55">
        <f>IFERROR((INDEX($AI$40:$AI$170,ROW()-39)-INDEX($AM$40:$AM$170,ROW()-39))*100,"")</f>
        <v/>
      </c>
      <c r="E112" s="55">
        <f>IFERROR((INDEX($AQ$40:$AQ$170,ROW()-39)-INDEX($AU$40:$AU$170,ROW()-39))*100,"")</f>
        <v/>
      </c>
      <c r="F112" s="55">
        <f>IFERROR((INDEX($AY$40:$AY$170,ROW()-39)-INDEX($BC$40:$BC$170,ROW()-39))*100,"")</f>
        <v/>
      </c>
    </row>
    <row r="113">
      <c r="A113" s="43">
        <f>IFERROR(INDEX($R$40:$R$170,ROW()-39),"")</f>
        <v/>
      </c>
      <c r="B113" s="55">
        <f>IFERROR((INDEX($S$40:$S$170,ROW()-39)-INDEX($W$40:$W$170,ROW()-39))*100,"")</f>
        <v/>
      </c>
      <c r="C113" s="55">
        <f>IFERROR((INDEX($AA$40:$AA$170,ROW()-39)-INDEX($AE$40:$AE$170,ROW()-39))*100,"")</f>
        <v/>
      </c>
      <c r="D113" s="55">
        <f>IFERROR((INDEX($AI$40:$AI$170,ROW()-39)-INDEX($AM$40:$AM$170,ROW()-39))*100,"")</f>
        <v/>
      </c>
      <c r="E113" s="55">
        <f>IFERROR((INDEX($AQ$40:$AQ$170,ROW()-39)-INDEX($AU$40:$AU$170,ROW()-39))*100,"")</f>
        <v/>
      </c>
      <c r="F113" s="55">
        <f>IFERROR((INDEX($AY$40:$AY$170,ROW()-39)-INDEX($BC$40:$BC$170,ROW()-39))*100,"")</f>
        <v/>
      </c>
    </row>
    <row r="114">
      <c r="A114" s="43">
        <f>IFERROR(INDEX($R$40:$R$170,ROW()-39),"")</f>
        <v/>
      </c>
      <c r="B114" s="55">
        <f>IFERROR((INDEX($S$40:$S$170,ROW()-39)-INDEX($W$40:$W$170,ROW()-39))*100,"")</f>
        <v/>
      </c>
      <c r="C114" s="55">
        <f>IFERROR((INDEX($AA$40:$AA$170,ROW()-39)-INDEX($AE$40:$AE$170,ROW()-39))*100,"")</f>
        <v/>
      </c>
      <c r="D114" s="55">
        <f>IFERROR((INDEX($AI$40:$AI$170,ROW()-39)-INDEX($AM$40:$AM$170,ROW()-39))*100,"")</f>
        <v/>
      </c>
      <c r="E114" s="55">
        <f>IFERROR((INDEX($AQ$40:$AQ$170,ROW()-39)-INDEX($AU$40:$AU$170,ROW()-39))*100,"")</f>
        <v/>
      </c>
      <c r="F114" s="55">
        <f>IFERROR((INDEX($AY$40:$AY$170,ROW()-39)-INDEX($BC$40:$BC$170,ROW()-39))*100,"")</f>
        <v/>
      </c>
    </row>
    <row r="115">
      <c r="A115" s="43">
        <f>IFERROR(INDEX($R$40:$R$170,ROW()-39),"")</f>
        <v/>
      </c>
      <c r="B115" s="55">
        <f>IFERROR((INDEX($S$40:$S$170,ROW()-39)-INDEX($W$40:$W$170,ROW()-39))*100,"")</f>
        <v/>
      </c>
      <c r="C115" s="55">
        <f>IFERROR((INDEX($AA$40:$AA$170,ROW()-39)-INDEX($AE$40:$AE$170,ROW()-39))*100,"")</f>
        <v/>
      </c>
      <c r="D115" s="55">
        <f>IFERROR((INDEX($AI$40:$AI$170,ROW()-39)-INDEX($AM$40:$AM$170,ROW()-39))*100,"")</f>
        <v/>
      </c>
      <c r="E115" s="55">
        <f>IFERROR((INDEX($AQ$40:$AQ$170,ROW()-39)-INDEX($AU$40:$AU$170,ROW()-39))*100,"")</f>
        <v/>
      </c>
      <c r="F115" s="55">
        <f>IFERROR((INDEX($AY$40:$AY$170,ROW()-39)-INDEX($BC$40:$BC$170,ROW()-39))*100,"")</f>
        <v/>
      </c>
    </row>
    <row r="116">
      <c r="A116" s="43">
        <f>IFERROR(INDEX($R$40:$R$170,ROW()-39),"")</f>
        <v/>
      </c>
      <c r="B116" s="55">
        <f>IFERROR((INDEX($S$40:$S$170,ROW()-39)-INDEX($W$40:$W$170,ROW()-39))*100,"")</f>
        <v/>
      </c>
      <c r="C116" s="55">
        <f>IFERROR((INDEX($AA$40:$AA$170,ROW()-39)-INDEX($AE$40:$AE$170,ROW()-39))*100,"")</f>
        <v/>
      </c>
      <c r="D116" s="55">
        <f>IFERROR((INDEX($AI$40:$AI$170,ROW()-39)-INDEX($AM$40:$AM$170,ROW()-39))*100,"")</f>
        <v/>
      </c>
      <c r="E116" s="55">
        <f>IFERROR((INDEX($AQ$40:$AQ$170,ROW()-39)-INDEX($AU$40:$AU$170,ROW()-39))*100,"")</f>
        <v/>
      </c>
      <c r="F116" s="55">
        <f>IFERROR((INDEX($AY$40:$AY$170,ROW()-39)-INDEX($BC$40:$BC$170,ROW()-39))*100,"")</f>
        <v/>
      </c>
    </row>
    <row r="117">
      <c r="A117" s="43">
        <f>IFERROR(INDEX($R$40:$R$170,ROW()-39),"")</f>
        <v/>
      </c>
      <c r="B117" s="55">
        <f>IFERROR((INDEX($S$40:$S$170,ROW()-39)-INDEX($W$40:$W$170,ROW()-39))*100,"")</f>
        <v/>
      </c>
      <c r="C117" s="55">
        <f>IFERROR((INDEX($AA$40:$AA$170,ROW()-39)-INDEX($AE$40:$AE$170,ROW()-39))*100,"")</f>
        <v/>
      </c>
      <c r="D117" s="55">
        <f>IFERROR((INDEX($AI$40:$AI$170,ROW()-39)-INDEX($AM$40:$AM$170,ROW()-39))*100,"")</f>
        <v/>
      </c>
      <c r="E117" s="55">
        <f>IFERROR((INDEX($AQ$40:$AQ$170,ROW()-39)-INDEX($AU$40:$AU$170,ROW()-39))*100,"")</f>
        <v/>
      </c>
      <c r="F117" s="55">
        <f>IFERROR((INDEX($AY$40:$AY$170,ROW()-39)-INDEX($BC$40:$BC$170,ROW()-39))*100,"")</f>
        <v/>
      </c>
    </row>
    <row r="118">
      <c r="A118" s="43">
        <f>IFERROR(INDEX($R$40:$R$170,ROW()-39),"")</f>
        <v/>
      </c>
      <c r="B118" s="55">
        <f>IFERROR((INDEX($S$40:$S$170,ROW()-39)-INDEX($W$40:$W$170,ROW()-39))*100,"")</f>
        <v/>
      </c>
      <c r="C118" s="55">
        <f>IFERROR((INDEX($AA$40:$AA$170,ROW()-39)-INDEX($AE$40:$AE$170,ROW()-39))*100,"")</f>
        <v/>
      </c>
      <c r="D118" s="55">
        <f>IFERROR((INDEX($AI$40:$AI$170,ROW()-39)-INDEX($AM$40:$AM$170,ROW()-39))*100,"")</f>
        <v/>
      </c>
      <c r="E118" s="55">
        <f>IFERROR((INDEX($AQ$40:$AQ$170,ROW()-39)-INDEX($AU$40:$AU$170,ROW()-39))*100,"")</f>
        <v/>
      </c>
      <c r="F118" s="55">
        <f>IFERROR((INDEX($AY$40:$AY$170,ROW()-39)-INDEX($BC$40:$BC$170,ROW()-39))*100,"")</f>
        <v/>
      </c>
    </row>
    <row r="119">
      <c r="A119" s="43">
        <f>IFERROR(INDEX($R$40:$R$170,ROW()-39),"")</f>
        <v/>
      </c>
      <c r="B119" s="55">
        <f>IFERROR((INDEX($S$40:$S$170,ROW()-39)-INDEX($W$40:$W$170,ROW()-39))*100,"")</f>
        <v/>
      </c>
      <c r="C119" s="55">
        <f>IFERROR((INDEX($AA$40:$AA$170,ROW()-39)-INDEX($AE$40:$AE$170,ROW()-39))*100,"")</f>
        <v/>
      </c>
      <c r="D119" s="55">
        <f>IFERROR((INDEX($AI$40:$AI$170,ROW()-39)-INDEX($AM$40:$AM$170,ROW()-39))*100,"")</f>
        <v/>
      </c>
      <c r="E119" s="55">
        <f>IFERROR((INDEX($AQ$40:$AQ$170,ROW()-39)-INDEX($AU$40:$AU$170,ROW()-39))*100,"")</f>
        <v/>
      </c>
      <c r="F119" s="55">
        <f>IFERROR((INDEX($AY$40:$AY$170,ROW()-39)-INDEX($BC$40:$BC$170,ROW()-39))*100,"")</f>
        <v/>
      </c>
    </row>
    <row r="120">
      <c r="A120" s="43">
        <f>IFERROR(INDEX($R$40:$R$170,ROW()-39),"")</f>
        <v/>
      </c>
      <c r="B120" s="55">
        <f>IFERROR((INDEX($S$40:$S$170,ROW()-39)-INDEX($W$40:$W$170,ROW()-39))*100,"")</f>
        <v/>
      </c>
      <c r="C120" s="55">
        <f>IFERROR((INDEX($AA$40:$AA$170,ROW()-39)-INDEX($AE$40:$AE$170,ROW()-39))*100,"")</f>
        <v/>
      </c>
      <c r="D120" s="55">
        <f>IFERROR((INDEX($AI$40:$AI$170,ROW()-39)-INDEX($AM$40:$AM$170,ROW()-39))*100,"")</f>
        <v/>
      </c>
      <c r="E120" s="55">
        <f>IFERROR((INDEX($AQ$40:$AQ$170,ROW()-39)-INDEX($AU$40:$AU$170,ROW()-39))*100,"")</f>
        <v/>
      </c>
      <c r="F120" s="55">
        <f>IFERROR((INDEX($AY$40:$AY$170,ROW()-39)-INDEX($BC$40:$BC$170,ROW()-39))*100,"")</f>
        <v/>
      </c>
    </row>
    <row r="121">
      <c r="A121" s="43">
        <f>IFERROR(INDEX($R$40:$R$170,ROW()-39),"")</f>
        <v/>
      </c>
      <c r="B121" s="55">
        <f>IFERROR((INDEX($S$40:$S$170,ROW()-39)-INDEX($W$40:$W$170,ROW()-39))*100,"")</f>
        <v/>
      </c>
      <c r="C121" s="55">
        <f>IFERROR((INDEX($AA$40:$AA$170,ROW()-39)-INDEX($AE$40:$AE$170,ROW()-39))*100,"")</f>
        <v/>
      </c>
      <c r="D121" s="55">
        <f>IFERROR((INDEX($AI$40:$AI$170,ROW()-39)-INDEX($AM$40:$AM$170,ROW()-39))*100,"")</f>
        <v/>
      </c>
      <c r="E121" s="55">
        <f>IFERROR((INDEX($AQ$40:$AQ$170,ROW()-39)-INDEX($AU$40:$AU$170,ROW()-39))*100,"")</f>
        <v/>
      </c>
      <c r="F121" s="55">
        <f>IFERROR((INDEX($AY$40:$AY$170,ROW()-39)-INDEX($BC$40:$BC$170,ROW()-39))*100,"")</f>
        <v/>
      </c>
    </row>
    <row r="122">
      <c r="A122" s="43">
        <f>IFERROR(INDEX($R$40:$R$170,ROW()-39),"")</f>
        <v/>
      </c>
      <c r="B122" s="55">
        <f>IFERROR((INDEX($S$40:$S$170,ROW()-39)-INDEX($W$40:$W$170,ROW()-39))*100,"")</f>
        <v/>
      </c>
      <c r="C122" s="55">
        <f>IFERROR((INDEX($AA$40:$AA$170,ROW()-39)-INDEX($AE$40:$AE$170,ROW()-39))*100,"")</f>
        <v/>
      </c>
      <c r="D122" s="55">
        <f>IFERROR((INDEX($AI$40:$AI$170,ROW()-39)-INDEX($AM$40:$AM$170,ROW()-39))*100,"")</f>
        <v/>
      </c>
      <c r="E122" s="55">
        <f>IFERROR((INDEX($AQ$40:$AQ$170,ROW()-39)-INDEX($AU$40:$AU$170,ROW()-39))*100,"")</f>
        <v/>
      </c>
      <c r="F122" s="55">
        <f>IFERROR((INDEX($AY$40:$AY$170,ROW()-39)-INDEX($BC$40:$BC$170,ROW()-39))*100,"")</f>
        <v/>
      </c>
    </row>
    <row r="123">
      <c r="A123" s="43">
        <f>IFERROR(INDEX($R$40:$R$170,ROW()-39),"")</f>
        <v/>
      </c>
      <c r="B123" s="55">
        <f>IFERROR((INDEX($S$40:$S$170,ROW()-39)-INDEX($W$40:$W$170,ROW()-39))*100,"")</f>
        <v/>
      </c>
      <c r="C123" s="55">
        <f>IFERROR((INDEX($AA$40:$AA$170,ROW()-39)-INDEX($AE$40:$AE$170,ROW()-39))*100,"")</f>
        <v/>
      </c>
      <c r="D123" s="55">
        <f>IFERROR((INDEX($AI$40:$AI$170,ROW()-39)-INDEX($AM$40:$AM$170,ROW()-39))*100,"")</f>
        <v/>
      </c>
      <c r="E123" s="55">
        <f>IFERROR((INDEX($AQ$40:$AQ$170,ROW()-39)-INDEX($AU$40:$AU$170,ROW()-39))*100,"")</f>
        <v/>
      </c>
      <c r="F123" s="55">
        <f>IFERROR((INDEX($AY$40:$AY$170,ROW()-39)-INDEX($BC$40:$BC$170,ROW()-39))*100,"")</f>
        <v/>
      </c>
    </row>
    <row r="124">
      <c r="A124" s="43">
        <f>IFERROR(INDEX($R$40:$R$170,ROW()-39),"")</f>
        <v/>
      </c>
      <c r="B124" s="55">
        <f>IFERROR((INDEX($S$40:$S$170,ROW()-39)-INDEX($W$40:$W$170,ROW()-39))*100,"")</f>
        <v/>
      </c>
      <c r="C124" s="55">
        <f>IFERROR((INDEX($AA$40:$AA$170,ROW()-39)-INDEX($AE$40:$AE$170,ROW()-39))*100,"")</f>
        <v/>
      </c>
      <c r="D124" s="55">
        <f>IFERROR((INDEX($AI$40:$AI$170,ROW()-39)-INDEX($AM$40:$AM$170,ROW()-39))*100,"")</f>
        <v/>
      </c>
      <c r="E124" s="55">
        <f>IFERROR((INDEX($AQ$40:$AQ$170,ROW()-39)-INDEX($AU$40:$AU$170,ROW()-39))*100,"")</f>
        <v/>
      </c>
      <c r="F124" s="55">
        <f>IFERROR((INDEX($AY$40:$AY$170,ROW()-39)-INDEX($BC$40:$BC$170,ROW()-39))*100,"")</f>
        <v/>
      </c>
    </row>
    <row r="125">
      <c r="A125" s="43">
        <f>IFERROR(INDEX($R$40:$R$170,ROW()-39),"")</f>
        <v/>
      </c>
      <c r="B125" s="55">
        <f>IFERROR((INDEX($S$40:$S$170,ROW()-39)-INDEX($W$40:$W$170,ROW()-39))*100,"")</f>
        <v/>
      </c>
      <c r="C125" s="55">
        <f>IFERROR((INDEX($AA$40:$AA$170,ROW()-39)-INDEX($AE$40:$AE$170,ROW()-39))*100,"")</f>
        <v/>
      </c>
      <c r="D125" s="55">
        <f>IFERROR((INDEX($AI$40:$AI$170,ROW()-39)-INDEX($AM$40:$AM$170,ROW()-39))*100,"")</f>
        <v/>
      </c>
      <c r="E125" s="55">
        <f>IFERROR((INDEX($AQ$40:$AQ$170,ROW()-39)-INDEX($AU$40:$AU$170,ROW()-39))*100,"")</f>
        <v/>
      </c>
      <c r="F125" s="55">
        <f>IFERROR((INDEX($AY$40:$AY$170,ROW()-39)-INDEX($BC$40:$BC$170,ROW()-39))*100,"")</f>
        <v/>
      </c>
    </row>
    <row r="126">
      <c r="A126" s="43">
        <f>IFERROR(INDEX($R$40:$R$170,ROW()-39),"")</f>
        <v/>
      </c>
      <c r="B126" s="55">
        <f>IFERROR((INDEX($S$40:$S$170,ROW()-39)-INDEX($W$40:$W$170,ROW()-39))*100,"")</f>
        <v/>
      </c>
      <c r="C126" s="55">
        <f>IFERROR((INDEX($AA$40:$AA$170,ROW()-39)-INDEX($AE$40:$AE$170,ROW()-39))*100,"")</f>
        <v/>
      </c>
      <c r="D126" s="55">
        <f>IFERROR((INDEX($AI$40:$AI$170,ROW()-39)-INDEX($AM$40:$AM$170,ROW()-39))*100,"")</f>
        <v/>
      </c>
      <c r="E126" s="55">
        <f>IFERROR((INDEX($AQ$40:$AQ$170,ROW()-39)-INDEX($AU$40:$AU$170,ROW()-39))*100,"")</f>
        <v/>
      </c>
      <c r="F126" s="55">
        <f>IFERROR((INDEX($AY$40:$AY$170,ROW()-39)-INDEX($BC$40:$BC$170,ROW()-39))*100,"")</f>
        <v/>
      </c>
    </row>
    <row r="127">
      <c r="A127" s="43">
        <f>IFERROR(INDEX($R$40:$R$170,ROW()-39),"")</f>
        <v/>
      </c>
      <c r="B127" s="55">
        <f>IFERROR((INDEX($S$40:$S$170,ROW()-39)-INDEX($W$40:$W$170,ROW()-39))*100,"")</f>
        <v/>
      </c>
      <c r="C127" s="55">
        <f>IFERROR((INDEX($AA$40:$AA$170,ROW()-39)-INDEX($AE$40:$AE$170,ROW()-39))*100,"")</f>
        <v/>
      </c>
      <c r="D127" s="55">
        <f>IFERROR((INDEX($AI$40:$AI$170,ROW()-39)-INDEX($AM$40:$AM$170,ROW()-39))*100,"")</f>
        <v/>
      </c>
      <c r="E127" s="55">
        <f>IFERROR((INDEX($AQ$40:$AQ$170,ROW()-39)-INDEX($AU$40:$AU$170,ROW()-39))*100,"")</f>
        <v/>
      </c>
      <c r="F127" s="55">
        <f>IFERROR((INDEX($AY$40:$AY$170,ROW()-39)-INDEX($BC$40:$BC$170,ROW()-39))*100,"")</f>
        <v/>
      </c>
    </row>
    <row r="128">
      <c r="A128" s="43">
        <f>IFERROR(INDEX($R$40:$R$170,ROW()-39),"")</f>
        <v/>
      </c>
      <c r="B128" s="55">
        <f>IFERROR((INDEX($S$40:$S$170,ROW()-39)-INDEX($W$40:$W$170,ROW()-39))*100,"")</f>
        <v/>
      </c>
      <c r="C128" s="55">
        <f>IFERROR((INDEX($AA$40:$AA$170,ROW()-39)-INDEX($AE$40:$AE$170,ROW()-39))*100,"")</f>
        <v/>
      </c>
      <c r="D128" s="55">
        <f>IFERROR((INDEX($AI$40:$AI$170,ROW()-39)-INDEX($AM$40:$AM$170,ROW()-39))*100,"")</f>
        <v/>
      </c>
      <c r="E128" s="55">
        <f>IFERROR((INDEX($AQ$40:$AQ$170,ROW()-39)-INDEX($AU$40:$AU$170,ROW()-39))*100,"")</f>
        <v/>
      </c>
      <c r="F128" s="55">
        <f>IFERROR((INDEX($AY$40:$AY$170,ROW()-39)-INDEX($BC$40:$BC$170,ROW()-39))*100,"")</f>
        <v/>
      </c>
    </row>
    <row r="129">
      <c r="A129" s="43">
        <f>IFERROR(INDEX($R$40:$R$170,ROW()-39),"")</f>
        <v/>
      </c>
      <c r="B129" s="55">
        <f>IFERROR((INDEX($S$40:$S$170,ROW()-39)-INDEX($W$40:$W$170,ROW()-39))*100,"")</f>
        <v/>
      </c>
      <c r="C129" s="55">
        <f>IFERROR((INDEX($AA$40:$AA$170,ROW()-39)-INDEX($AE$40:$AE$170,ROW()-39))*100,"")</f>
        <v/>
      </c>
      <c r="D129" s="55">
        <f>IFERROR((INDEX($AI$40:$AI$170,ROW()-39)-INDEX($AM$40:$AM$170,ROW()-39))*100,"")</f>
        <v/>
      </c>
      <c r="E129" s="55">
        <f>IFERROR((INDEX($AQ$40:$AQ$170,ROW()-39)-INDEX($AU$40:$AU$170,ROW()-39))*100,"")</f>
        <v/>
      </c>
      <c r="F129" s="55">
        <f>IFERROR((INDEX($AY$40:$AY$170,ROW()-39)-INDEX($BC$40:$BC$170,ROW()-39))*100,"")</f>
        <v/>
      </c>
    </row>
    <row r="130">
      <c r="A130" s="43">
        <f>IFERROR(INDEX($R$40:$R$170,ROW()-39),"")</f>
        <v/>
      </c>
      <c r="B130" s="55">
        <f>IFERROR((INDEX($S$40:$S$170,ROW()-39)-INDEX($W$40:$W$170,ROW()-39))*100,"")</f>
        <v/>
      </c>
      <c r="C130" s="55">
        <f>IFERROR((INDEX($AA$40:$AA$170,ROW()-39)-INDEX($AE$40:$AE$170,ROW()-39))*100,"")</f>
        <v/>
      </c>
      <c r="D130" s="55">
        <f>IFERROR((INDEX($AI$40:$AI$170,ROW()-39)-INDEX($AM$40:$AM$170,ROW()-39))*100,"")</f>
        <v/>
      </c>
      <c r="E130" s="55">
        <f>IFERROR((INDEX($AQ$40:$AQ$170,ROW()-39)-INDEX($AU$40:$AU$170,ROW()-39))*100,"")</f>
        <v/>
      </c>
      <c r="F130" s="55">
        <f>IFERROR((INDEX($AY$40:$AY$170,ROW()-39)-INDEX($BC$40:$BC$170,ROW()-39))*100,"")</f>
        <v/>
      </c>
    </row>
    <row r="131">
      <c r="A131" s="43">
        <f>IFERROR(INDEX($R$40:$R$170,ROW()-39),"")</f>
        <v/>
      </c>
      <c r="B131" s="55">
        <f>IFERROR((INDEX($S$40:$S$170,ROW()-39)-INDEX($W$40:$W$170,ROW()-39))*100,"")</f>
        <v/>
      </c>
      <c r="C131" s="55">
        <f>IFERROR((INDEX($AA$40:$AA$170,ROW()-39)-INDEX($AE$40:$AE$170,ROW()-39))*100,"")</f>
        <v/>
      </c>
      <c r="D131" s="55">
        <f>IFERROR((INDEX($AI$40:$AI$170,ROW()-39)-INDEX($AM$40:$AM$170,ROW()-39))*100,"")</f>
        <v/>
      </c>
      <c r="E131" s="55">
        <f>IFERROR((INDEX($AQ$40:$AQ$170,ROW()-39)-INDEX($AU$40:$AU$170,ROW()-39))*100,"")</f>
        <v/>
      </c>
      <c r="F131" s="55">
        <f>IFERROR((INDEX($AY$40:$AY$170,ROW()-39)-INDEX($BC$40:$BC$170,ROW()-39))*100,"")</f>
        <v/>
      </c>
    </row>
    <row r="132">
      <c r="A132" s="43">
        <f>IFERROR(INDEX($R$40:$R$170,ROW()-39),"")</f>
        <v/>
      </c>
      <c r="B132" s="55">
        <f>IFERROR((INDEX($S$40:$S$170,ROW()-39)-INDEX($W$40:$W$170,ROW()-39))*100,"")</f>
        <v/>
      </c>
      <c r="C132" s="55">
        <f>IFERROR((INDEX($AA$40:$AA$170,ROW()-39)-INDEX($AE$40:$AE$170,ROW()-39))*100,"")</f>
        <v/>
      </c>
      <c r="D132" s="55">
        <f>IFERROR((INDEX($AI$40:$AI$170,ROW()-39)-INDEX($AM$40:$AM$170,ROW()-39))*100,"")</f>
        <v/>
      </c>
      <c r="E132" s="55">
        <f>IFERROR((INDEX($AQ$40:$AQ$170,ROW()-39)-INDEX($AU$40:$AU$170,ROW()-39))*100,"")</f>
        <v/>
      </c>
      <c r="F132" s="55">
        <f>IFERROR((INDEX($AY$40:$AY$170,ROW()-39)-INDEX($BC$40:$BC$170,ROW()-39))*100,"")</f>
        <v/>
      </c>
    </row>
    <row r="133">
      <c r="A133" s="43">
        <f>IFERROR(INDEX($R$40:$R$170,ROW()-39),"")</f>
        <v/>
      </c>
      <c r="B133" s="55">
        <f>IFERROR((INDEX($S$40:$S$170,ROW()-39)-INDEX($W$40:$W$170,ROW()-39))*100,"")</f>
        <v/>
      </c>
      <c r="C133" s="55">
        <f>IFERROR((INDEX($AA$40:$AA$170,ROW()-39)-INDEX($AE$40:$AE$170,ROW()-39))*100,"")</f>
        <v/>
      </c>
      <c r="D133" s="55">
        <f>IFERROR((INDEX($AI$40:$AI$170,ROW()-39)-INDEX($AM$40:$AM$170,ROW()-39))*100,"")</f>
        <v/>
      </c>
      <c r="E133" s="55">
        <f>IFERROR((INDEX($AQ$40:$AQ$170,ROW()-39)-INDEX($AU$40:$AU$170,ROW()-39))*100,"")</f>
        <v/>
      </c>
      <c r="F133" s="55">
        <f>IFERROR((INDEX($AY$40:$AY$170,ROW()-39)-INDEX($BC$40:$BC$170,ROW()-39))*100,"")</f>
        <v/>
      </c>
    </row>
    <row r="134">
      <c r="A134" s="43">
        <f>IFERROR(INDEX($R$40:$R$170,ROW()-39),"")</f>
        <v/>
      </c>
      <c r="B134" s="55">
        <f>IFERROR((INDEX($S$40:$S$170,ROW()-39)-INDEX($W$40:$W$170,ROW()-39))*100,"")</f>
        <v/>
      </c>
      <c r="C134" s="55">
        <f>IFERROR((INDEX($AA$40:$AA$170,ROW()-39)-INDEX($AE$40:$AE$170,ROW()-39))*100,"")</f>
        <v/>
      </c>
      <c r="D134" s="55">
        <f>IFERROR((INDEX($AI$40:$AI$170,ROW()-39)-INDEX($AM$40:$AM$170,ROW()-39))*100,"")</f>
        <v/>
      </c>
      <c r="E134" s="55">
        <f>IFERROR((INDEX($AQ$40:$AQ$170,ROW()-39)-INDEX($AU$40:$AU$170,ROW()-39))*100,"")</f>
        <v/>
      </c>
      <c r="F134" s="55">
        <f>IFERROR((INDEX($AY$40:$AY$170,ROW()-39)-INDEX($BC$40:$BC$170,ROW()-39))*100,"")</f>
        <v/>
      </c>
    </row>
    <row r="135">
      <c r="A135" s="43">
        <f>IFERROR(INDEX($R$40:$R$170,ROW()-39),"")</f>
        <v/>
      </c>
      <c r="B135" s="55">
        <f>IFERROR((INDEX($S$40:$S$170,ROW()-39)-INDEX($W$40:$W$170,ROW()-39))*100,"")</f>
        <v/>
      </c>
      <c r="C135" s="55">
        <f>IFERROR((INDEX($AA$40:$AA$170,ROW()-39)-INDEX($AE$40:$AE$170,ROW()-39))*100,"")</f>
        <v/>
      </c>
      <c r="D135" s="55">
        <f>IFERROR((INDEX($AI$40:$AI$170,ROW()-39)-INDEX($AM$40:$AM$170,ROW()-39))*100,"")</f>
        <v/>
      </c>
      <c r="E135" s="55">
        <f>IFERROR((INDEX($AQ$40:$AQ$170,ROW()-39)-INDEX($AU$40:$AU$170,ROW()-39))*100,"")</f>
        <v/>
      </c>
      <c r="F135" s="55">
        <f>IFERROR((INDEX($AY$40:$AY$170,ROW()-39)-INDEX($BC$40:$BC$170,ROW()-39))*100,"")</f>
        <v/>
      </c>
    </row>
    <row r="136">
      <c r="A136" s="43">
        <f>IFERROR(INDEX($R$40:$R$170,ROW()-39),"")</f>
        <v/>
      </c>
      <c r="B136" s="55">
        <f>IFERROR((INDEX($S$40:$S$170,ROW()-39)-INDEX($W$40:$W$170,ROW()-39))*100,"")</f>
        <v/>
      </c>
      <c r="C136" s="55">
        <f>IFERROR((INDEX($AA$40:$AA$170,ROW()-39)-INDEX($AE$40:$AE$170,ROW()-39))*100,"")</f>
        <v/>
      </c>
      <c r="D136" s="55">
        <f>IFERROR((INDEX($AI$40:$AI$170,ROW()-39)-INDEX($AM$40:$AM$170,ROW()-39))*100,"")</f>
        <v/>
      </c>
      <c r="E136" s="55">
        <f>IFERROR((INDEX($AQ$40:$AQ$170,ROW()-39)-INDEX($AU$40:$AU$170,ROW()-39))*100,"")</f>
        <v/>
      </c>
      <c r="F136" s="55">
        <f>IFERROR((INDEX($AY$40:$AY$170,ROW()-39)-INDEX($BC$40:$BC$170,ROW()-39))*100,"")</f>
        <v/>
      </c>
    </row>
    <row r="137">
      <c r="A137" s="43">
        <f>IFERROR(INDEX($R$40:$R$170,ROW()-39),"")</f>
        <v/>
      </c>
      <c r="B137" s="55">
        <f>IFERROR((INDEX($S$40:$S$170,ROW()-39)-INDEX($W$40:$W$170,ROW()-39))*100,"")</f>
        <v/>
      </c>
      <c r="C137" s="55">
        <f>IFERROR((INDEX($AA$40:$AA$170,ROW()-39)-INDEX($AE$40:$AE$170,ROW()-39))*100,"")</f>
        <v/>
      </c>
      <c r="D137" s="55">
        <f>IFERROR((INDEX($AI$40:$AI$170,ROW()-39)-INDEX($AM$40:$AM$170,ROW()-39))*100,"")</f>
        <v/>
      </c>
      <c r="E137" s="55">
        <f>IFERROR((INDEX($AQ$40:$AQ$170,ROW()-39)-INDEX($AU$40:$AU$170,ROW()-39))*100,"")</f>
        <v/>
      </c>
      <c r="F137" s="55">
        <f>IFERROR((INDEX($AY$40:$AY$170,ROW()-39)-INDEX($BC$40:$BC$170,ROW()-39))*100,"")</f>
        <v/>
      </c>
    </row>
    <row r="138">
      <c r="A138" s="43">
        <f>IFERROR(INDEX($R$40:$R$170,ROW()-39),"")</f>
        <v/>
      </c>
      <c r="B138" s="55">
        <f>IFERROR((INDEX($S$40:$S$170,ROW()-39)-INDEX($W$40:$W$170,ROW()-39))*100,"")</f>
        <v/>
      </c>
      <c r="C138" s="55">
        <f>IFERROR((INDEX($AA$40:$AA$170,ROW()-39)-INDEX($AE$40:$AE$170,ROW()-39))*100,"")</f>
        <v/>
      </c>
      <c r="D138" s="55">
        <f>IFERROR((INDEX($AI$40:$AI$170,ROW()-39)-INDEX($AM$40:$AM$170,ROW()-39))*100,"")</f>
        <v/>
      </c>
      <c r="E138" s="55">
        <f>IFERROR((INDEX($AQ$40:$AQ$170,ROW()-39)-INDEX($AU$40:$AU$170,ROW()-39))*100,"")</f>
        <v/>
      </c>
      <c r="F138" s="55">
        <f>IFERROR((INDEX($AY$40:$AY$170,ROW()-39)-INDEX($BC$40:$BC$170,ROW()-39))*100,"")</f>
        <v/>
      </c>
    </row>
    <row r="139">
      <c r="A139" s="43">
        <f>IFERROR(INDEX($R$40:$R$170,ROW()-39),"")</f>
        <v/>
      </c>
      <c r="B139" s="55">
        <f>IFERROR((INDEX($S$40:$S$170,ROW()-39)-INDEX($W$40:$W$170,ROW()-39))*100,"")</f>
        <v/>
      </c>
      <c r="C139" s="55">
        <f>IFERROR((INDEX($AA$40:$AA$170,ROW()-39)-INDEX($AE$40:$AE$170,ROW()-39))*100,"")</f>
        <v/>
      </c>
      <c r="D139" s="55">
        <f>IFERROR((INDEX($AI$40:$AI$170,ROW()-39)-INDEX($AM$40:$AM$170,ROW()-39))*100,"")</f>
        <v/>
      </c>
      <c r="E139" s="55">
        <f>IFERROR((INDEX($AQ$40:$AQ$170,ROW()-39)-INDEX($AU$40:$AU$170,ROW()-39))*100,"")</f>
        <v/>
      </c>
      <c r="F139" s="55">
        <f>IFERROR((INDEX($AY$40:$AY$170,ROW()-39)-INDEX($BC$40:$BC$170,ROW()-39))*100,"")</f>
        <v/>
      </c>
    </row>
    <row r="140">
      <c r="A140" s="43">
        <f>IFERROR(INDEX($R$40:$R$170,ROW()-39),"")</f>
        <v/>
      </c>
      <c r="B140" s="55">
        <f>IFERROR((INDEX($S$40:$S$170,ROW()-39)-INDEX($W$40:$W$170,ROW()-39))*100,"")</f>
        <v/>
      </c>
      <c r="C140" s="55">
        <f>IFERROR((INDEX($AA$40:$AA$170,ROW()-39)-INDEX($AE$40:$AE$170,ROW()-39))*100,"")</f>
        <v/>
      </c>
      <c r="D140" s="55">
        <f>IFERROR((INDEX($AI$40:$AI$170,ROW()-39)-INDEX($AM$40:$AM$170,ROW()-39))*100,"")</f>
        <v/>
      </c>
      <c r="E140" s="55">
        <f>IFERROR((INDEX($AQ$40:$AQ$170,ROW()-39)-INDEX($AU$40:$AU$170,ROW()-39))*100,"")</f>
        <v/>
      </c>
      <c r="F140" s="55">
        <f>IFERROR((INDEX($AY$40:$AY$170,ROW()-39)-INDEX($BC$40:$BC$170,ROW()-39))*100,"")</f>
        <v/>
      </c>
    </row>
    <row r="141">
      <c r="A141" s="43">
        <f>IFERROR(INDEX($R$40:$R$170,ROW()-39),"")</f>
        <v/>
      </c>
      <c r="B141" s="55">
        <f>IFERROR((INDEX($S$40:$S$170,ROW()-39)-INDEX($W$40:$W$170,ROW()-39))*100,"")</f>
        <v/>
      </c>
      <c r="C141" s="55">
        <f>IFERROR((INDEX($AA$40:$AA$170,ROW()-39)-INDEX($AE$40:$AE$170,ROW()-39))*100,"")</f>
        <v/>
      </c>
      <c r="D141" s="55">
        <f>IFERROR((INDEX($AI$40:$AI$170,ROW()-39)-INDEX($AM$40:$AM$170,ROW()-39))*100,"")</f>
        <v/>
      </c>
      <c r="E141" s="55">
        <f>IFERROR((INDEX($AQ$40:$AQ$170,ROW()-39)-INDEX($AU$40:$AU$170,ROW()-39))*100,"")</f>
        <v/>
      </c>
      <c r="F141" s="55">
        <f>IFERROR((INDEX($AY$40:$AY$170,ROW()-39)-INDEX($BC$40:$BC$170,ROW()-39))*100,"")</f>
        <v/>
      </c>
    </row>
    <row r="142">
      <c r="A142" s="43">
        <f>IFERROR(INDEX($R$40:$R$170,ROW()-39),"")</f>
        <v/>
      </c>
      <c r="B142" s="55">
        <f>IFERROR((INDEX($S$40:$S$170,ROW()-39)-INDEX($W$40:$W$170,ROW()-39))*100,"")</f>
        <v/>
      </c>
      <c r="C142" s="55">
        <f>IFERROR((INDEX($AA$40:$AA$170,ROW()-39)-INDEX($AE$40:$AE$170,ROW()-39))*100,"")</f>
        <v/>
      </c>
      <c r="D142" s="55">
        <f>IFERROR((INDEX($AI$40:$AI$170,ROW()-39)-INDEX($AM$40:$AM$170,ROW()-39))*100,"")</f>
        <v/>
      </c>
      <c r="E142" s="55">
        <f>IFERROR((INDEX($AQ$40:$AQ$170,ROW()-39)-INDEX($AU$40:$AU$170,ROW()-39))*100,"")</f>
        <v/>
      </c>
      <c r="F142" s="55">
        <f>IFERROR((INDEX($AY$40:$AY$170,ROW()-39)-INDEX($BC$40:$BC$170,ROW()-39))*100,"")</f>
        <v/>
      </c>
    </row>
    <row r="143">
      <c r="A143" s="43">
        <f>IFERROR(INDEX($R$40:$R$170,ROW()-39),"")</f>
        <v/>
      </c>
      <c r="B143" s="55">
        <f>IFERROR((INDEX($S$40:$S$170,ROW()-39)-INDEX($W$40:$W$170,ROW()-39))*100,"")</f>
        <v/>
      </c>
      <c r="C143" s="55">
        <f>IFERROR((INDEX($AA$40:$AA$170,ROW()-39)-INDEX($AE$40:$AE$170,ROW()-39))*100,"")</f>
        <v/>
      </c>
      <c r="D143" s="55">
        <f>IFERROR((INDEX($AI$40:$AI$170,ROW()-39)-INDEX($AM$40:$AM$170,ROW()-39))*100,"")</f>
        <v/>
      </c>
      <c r="E143" s="55">
        <f>IFERROR((INDEX($AQ$40:$AQ$170,ROW()-39)-INDEX($AU$40:$AU$170,ROW()-39))*100,"")</f>
        <v/>
      </c>
      <c r="F143" s="55">
        <f>IFERROR((INDEX($AY$40:$AY$170,ROW()-39)-INDEX($BC$40:$BC$170,ROW()-39))*100,"")</f>
        <v/>
      </c>
    </row>
    <row r="144">
      <c r="A144" s="43">
        <f>IFERROR(INDEX($R$40:$R$170,ROW()-39),"")</f>
        <v/>
      </c>
      <c r="B144" s="55">
        <f>IFERROR((INDEX($S$40:$S$170,ROW()-39)-INDEX($W$40:$W$170,ROW()-39))*100,"")</f>
        <v/>
      </c>
      <c r="C144" s="55">
        <f>IFERROR((INDEX($AA$40:$AA$170,ROW()-39)-INDEX($AE$40:$AE$170,ROW()-39))*100,"")</f>
        <v/>
      </c>
      <c r="D144" s="55">
        <f>IFERROR((INDEX($AI$40:$AI$170,ROW()-39)-INDEX($AM$40:$AM$170,ROW()-39))*100,"")</f>
        <v/>
      </c>
      <c r="E144" s="55">
        <f>IFERROR((INDEX($AQ$40:$AQ$170,ROW()-39)-INDEX($AU$40:$AU$170,ROW()-39))*100,"")</f>
        <v/>
      </c>
      <c r="F144" s="55">
        <f>IFERROR((INDEX($AY$40:$AY$170,ROW()-39)-INDEX($BC$40:$BC$170,ROW()-39))*100,"")</f>
        <v/>
      </c>
    </row>
    <row r="145">
      <c r="A145" s="43">
        <f>IFERROR(INDEX($R$40:$R$170,ROW()-39),"")</f>
        <v/>
      </c>
      <c r="B145" s="55">
        <f>IFERROR((INDEX($S$40:$S$170,ROW()-39)-INDEX($W$40:$W$170,ROW()-39))*100,"")</f>
        <v/>
      </c>
      <c r="C145" s="55">
        <f>IFERROR((INDEX($AA$40:$AA$170,ROW()-39)-INDEX($AE$40:$AE$170,ROW()-39))*100,"")</f>
        <v/>
      </c>
      <c r="D145" s="55">
        <f>IFERROR((INDEX($AI$40:$AI$170,ROW()-39)-INDEX($AM$40:$AM$170,ROW()-39))*100,"")</f>
        <v/>
      </c>
      <c r="E145" s="55">
        <f>IFERROR((INDEX($AQ$40:$AQ$170,ROW()-39)-INDEX($AU$40:$AU$170,ROW()-39))*100,"")</f>
        <v/>
      </c>
      <c r="F145" s="55">
        <f>IFERROR((INDEX($AY$40:$AY$170,ROW()-39)-INDEX($BC$40:$BC$170,ROW()-39))*100,"")</f>
        <v/>
      </c>
    </row>
    <row r="146">
      <c r="A146" s="43">
        <f>IFERROR(INDEX($R$40:$R$170,ROW()-39),"")</f>
        <v/>
      </c>
      <c r="B146" s="55">
        <f>IFERROR((INDEX($S$40:$S$170,ROW()-39)-INDEX($W$40:$W$170,ROW()-39))*100,"")</f>
        <v/>
      </c>
      <c r="C146" s="55">
        <f>IFERROR((INDEX($AA$40:$AA$170,ROW()-39)-INDEX($AE$40:$AE$170,ROW()-39))*100,"")</f>
        <v/>
      </c>
      <c r="D146" s="55">
        <f>IFERROR((INDEX($AI$40:$AI$170,ROW()-39)-INDEX($AM$40:$AM$170,ROW()-39))*100,"")</f>
        <v/>
      </c>
      <c r="E146" s="55">
        <f>IFERROR((INDEX($AQ$40:$AQ$170,ROW()-39)-INDEX($AU$40:$AU$170,ROW()-39))*100,"")</f>
        <v/>
      </c>
      <c r="F146" s="55">
        <f>IFERROR((INDEX($AY$40:$AY$170,ROW()-39)-INDEX($BC$40:$BC$170,ROW()-39))*100,"")</f>
        <v/>
      </c>
    </row>
    <row r="147">
      <c r="A147" s="43">
        <f>IFERROR(INDEX($R$40:$R$170,ROW()-39),"")</f>
        <v/>
      </c>
      <c r="B147" s="55">
        <f>IFERROR((INDEX($S$40:$S$170,ROW()-39)-INDEX($W$40:$W$170,ROW()-39))*100,"")</f>
        <v/>
      </c>
      <c r="C147" s="55">
        <f>IFERROR((INDEX($AA$40:$AA$170,ROW()-39)-INDEX($AE$40:$AE$170,ROW()-39))*100,"")</f>
        <v/>
      </c>
      <c r="D147" s="55">
        <f>IFERROR((INDEX($AI$40:$AI$170,ROW()-39)-INDEX($AM$40:$AM$170,ROW()-39))*100,"")</f>
        <v/>
      </c>
      <c r="E147" s="55">
        <f>IFERROR((INDEX($AQ$40:$AQ$170,ROW()-39)-INDEX($AU$40:$AU$170,ROW()-39))*100,"")</f>
        <v/>
      </c>
      <c r="F147" s="55">
        <f>IFERROR((INDEX($AY$40:$AY$170,ROW()-39)-INDEX($BC$40:$BC$170,ROW()-39))*100,"")</f>
        <v/>
      </c>
    </row>
    <row r="148">
      <c r="A148" s="43">
        <f>IFERROR(INDEX($R$40:$R$170,ROW()-39),"")</f>
        <v/>
      </c>
      <c r="B148" s="55">
        <f>IFERROR((INDEX($S$40:$S$170,ROW()-39)-INDEX($W$40:$W$170,ROW()-39))*100,"")</f>
        <v/>
      </c>
      <c r="C148" s="55">
        <f>IFERROR((INDEX($AA$40:$AA$170,ROW()-39)-INDEX($AE$40:$AE$170,ROW()-39))*100,"")</f>
        <v/>
      </c>
      <c r="D148" s="55">
        <f>IFERROR((INDEX($AI$40:$AI$170,ROW()-39)-INDEX($AM$40:$AM$170,ROW()-39))*100,"")</f>
        <v/>
      </c>
      <c r="E148" s="55">
        <f>IFERROR((INDEX($AQ$40:$AQ$170,ROW()-39)-INDEX($AU$40:$AU$170,ROW()-39))*100,"")</f>
        <v/>
      </c>
      <c r="F148" s="55">
        <f>IFERROR((INDEX($AY$40:$AY$170,ROW()-39)-INDEX($BC$40:$BC$170,ROW()-39))*100,"")</f>
        <v/>
      </c>
    </row>
    <row r="149">
      <c r="A149" s="43">
        <f>IFERROR(INDEX($R$40:$R$170,ROW()-39),"")</f>
        <v/>
      </c>
      <c r="B149" s="55">
        <f>IFERROR((INDEX($S$40:$S$170,ROW()-39)-INDEX($W$40:$W$170,ROW()-39))*100,"")</f>
        <v/>
      </c>
      <c r="C149" s="55">
        <f>IFERROR((INDEX($AA$40:$AA$170,ROW()-39)-INDEX($AE$40:$AE$170,ROW()-39))*100,"")</f>
        <v/>
      </c>
      <c r="D149" s="55">
        <f>IFERROR((INDEX($AI$40:$AI$170,ROW()-39)-INDEX($AM$40:$AM$170,ROW()-39))*100,"")</f>
        <v/>
      </c>
      <c r="E149" s="55">
        <f>IFERROR((INDEX($AQ$40:$AQ$170,ROW()-39)-INDEX($AU$40:$AU$170,ROW()-39))*100,"")</f>
        <v/>
      </c>
      <c r="F149" s="55">
        <f>IFERROR((INDEX($AY$40:$AY$170,ROW()-39)-INDEX($BC$40:$BC$170,ROW()-39))*100,"")</f>
        <v/>
      </c>
    </row>
    <row r="150">
      <c r="A150" s="43">
        <f>IFERROR(INDEX($R$40:$R$170,ROW()-39),"")</f>
        <v/>
      </c>
      <c r="B150" s="55">
        <f>IFERROR((INDEX($S$40:$S$170,ROW()-39)-INDEX($W$40:$W$170,ROW()-39))*100,"")</f>
        <v/>
      </c>
      <c r="C150" s="55">
        <f>IFERROR((INDEX($AA$40:$AA$170,ROW()-39)-INDEX($AE$40:$AE$170,ROW()-39))*100,"")</f>
        <v/>
      </c>
      <c r="D150" s="55">
        <f>IFERROR((INDEX($AI$40:$AI$170,ROW()-39)-INDEX($AM$40:$AM$170,ROW()-39))*100,"")</f>
        <v/>
      </c>
      <c r="E150" s="55">
        <f>IFERROR((INDEX($AQ$40:$AQ$170,ROW()-39)-INDEX($AU$40:$AU$170,ROW()-39))*100,"")</f>
        <v/>
      </c>
      <c r="F150" s="55">
        <f>IFERROR((INDEX($AY$40:$AY$170,ROW()-39)-INDEX($BC$40:$BC$170,ROW()-39))*100,"")</f>
        <v/>
      </c>
    </row>
    <row r="151">
      <c r="A151" s="43">
        <f>IFERROR(INDEX($R$40:$R$170,ROW()-39),"")</f>
        <v/>
      </c>
      <c r="B151" s="55">
        <f>IFERROR((INDEX($S$40:$S$170,ROW()-39)-INDEX($W$40:$W$170,ROW()-39))*100,"")</f>
        <v/>
      </c>
      <c r="C151" s="55">
        <f>IFERROR((INDEX($AA$40:$AA$170,ROW()-39)-INDEX($AE$40:$AE$170,ROW()-39))*100,"")</f>
        <v/>
      </c>
      <c r="D151" s="55">
        <f>IFERROR((INDEX($AI$40:$AI$170,ROW()-39)-INDEX($AM$40:$AM$170,ROW()-39))*100,"")</f>
        <v/>
      </c>
      <c r="E151" s="55">
        <f>IFERROR((INDEX($AQ$40:$AQ$170,ROW()-39)-INDEX($AU$40:$AU$170,ROW()-39))*100,"")</f>
        <v/>
      </c>
      <c r="F151" s="55">
        <f>IFERROR((INDEX($AY$40:$AY$170,ROW()-39)-INDEX($BC$40:$BC$170,ROW()-39))*100,"")</f>
        <v/>
      </c>
    </row>
    <row r="152">
      <c r="A152" s="43">
        <f>IFERROR(INDEX($R$40:$R$170,ROW()-39),"")</f>
        <v/>
      </c>
      <c r="B152" s="55">
        <f>IFERROR((INDEX($S$40:$S$170,ROW()-39)-INDEX($W$40:$W$170,ROW()-39))*100,"")</f>
        <v/>
      </c>
      <c r="C152" s="55">
        <f>IFERROR((INDEX($AA$40:$AA$170,ROW()-39)-INDEX($AE$40:$AE$170,ROW()-39))*100,"")</f>
        <v/>
      </c>
      <c r="D152" s="55">
        <f>IFERROR((INDEX($AI$40:$AI$170,ROW()-39)-INDEX($AM$40:$AM$170,ROW()-39))*100,"")</f>
        <v/>
      </c>
      <c r="E152" s="55">
        <f>IFERROR((INDEX($AQ$40:$AQ$170,ROW()-39)-INDEX($AU$40:$AU$170,ROW()-39))*100,"")</f>
        <v/>
      </c>
      <c r="F152" s="55">
        <f>IFERROR((INDEX($AY$40:$AY$170,ROW()-39)-INDEX($BC$40:$BC$170,ROW()-39))*100,"")</f>
        <v/>
      </c>
    </row>
    <row r="153">
      <c r="A153" s="43">
        <f>IFERROR(INDEX($R$40:$R$170,ROW()-39),"")</f>
        <v/>
      </c>
      <c r="B153" s="55">
        <f>IFERROR((INDEX($S$40:$S$170,ROW()-39)-INDEX($W$40:$W$170,ROW()-39))*100,"")</f>
        <v/>
      </c>
      <c r="C153" s="55">
        <f>IFERROR((INDEX($AA$40:$AA$170,ROW()-39)-INDEX($AE$40:$AE$170,ROW()-39))*100,"")</f>
        <v/>
      </c>
      <c r="D153" s="55">
        <f>IFERROR((INDEX($AI$40:$AI$170,ROW()-39)-INDEX($AM$40:$AM$170,ROW()-39))*100,"")</f>
        <v/>
      </c>
      <c r="E153" s="55">
        <f>IFERROR((INDEX($AQ$40:$AQ$170,ROW()-39)-INDEX($AU$40:$AU$170,ROW()-39))*100,"")</f>
        <v/>
      </c>
      <c r="F153" s="55">
        <f>IFERROR((INDEX($AY$40:$AY$170,ROW()-39)-INDEX($BC$40:$BC$170,ROW()-39))*100,"")</f>
        <v/>
      </c>
    </row>
    <row r="154">
      <c r="A154" s="43">
        <f>IFERROR(INDEX($R$40:$R$170,ROW()-39),"")</f>
        <v/>
      </c>
      <c r="B154" s="55">
        <f>IFERROR((INDEX($S$40:$S$170,ROW()-39)-INDEX($W$40:$W$170,ROW()-39))*100,"")</f>
        <v/>
      </c>
      <c r="C154" s="55">
        <f>IFERROR((INDEX($AA$40:$AA$170,ROW()-39)-INDEX($AE$40:$AE$170,ROW()-39))*100,"")</f>
        <v/>
      </c>
      <c r="D154" s="55">
        <f>IFERROR((INDEX($AI$40:$AI$170,ROW()-39)-INDEX($AM$40:$AM$170,ROW()-39))*100,"")</f>
        <v/>
      </c>
      <c r="E154" s="55">
        <f>IFERROR((INDEX($AQ$40:$AQ$170,ROW()-39)-INDEX($AU$40:$AU$170,ROW()-39))*100,"")</f>
        <v/>
      </c>
      <c r="F154" s="55">
        <f>IFERROR((INDEX($AY$40:$AY$170,ROW()-39)-INDEX($BC$40:$BC$170,ROW()-39))*100,"")</f>
        <v/>
      </c>
    </row>
    <row r="155">
      <c r="A155" s="43">
        <f>IFERROR(INDEX($R$40:$R$170,ROW()-39),"")</f>
        <v/>
      </c>
      <c r="B155" s="55">
        <f>IFERROR((INDEX($S$40:$S$170,ROW()-39)-INDEX($W$40:$W$170,ROW()-39))*100,"")</f>
        <v/>
      </c>
      <c r="C155" s="55">
        <f>IFERROR((INDEX($AA$40:$AA$170,ROW()-39)-INDEX($AE$40:$AE$170,ROW()-39))*100,"")</f>
        <v/>
      </c>
      <c r="D155" s="55">
        <f>IFERROR((INDEX($AI$40:$AI$170,ROW()-39)-INDEX($AM$40:$AM$170,ROW()-39))*100,"")</f>
        <v/>
      </c>
      <c r="E155" s="55">
        <f>IFERROR((INDEX($AQ$40:$AQ$170,ROW()-39)-INDEX($AU$40:$AU$170,ROW()-39))*100,"")</f>
        <v/>
      </c>
      <c r="F155" s="55">
        <f>IFERROR((INDEX($AY$40:$AY$170,ROW()-39)-INDEX($BC$40:$BC$170,ROW()-39))*100,"")</f>
        <v/>
      </c>
    </row>
    <row r="156">
      <c r="A156" s="43">
        <f>IFERROR(INDEX($R$40:$R$170,ROW()-39),"")</f>
        <v/>
      </c>
      <c r="B156" s="55">
        <f>IFERROR((INDEX($S$40:$S$170,ROW()-39)-INDEX($W$40:$W$170,ROW()-39))*100,"")</f>
        <v/>
      </c>
      <c r="C156" s="55">
        <f>IFERROR((INDEX($AA$40:$AA$170,ROW()-39)-INDEX($AE$40:$AE$170,ROW()-39))*100,"")</f>
        <v/>
      </c>
      <c r="D156" s="55">
        <f>IFERROR((INDEX($AI$40:$AI$170,ROW()-39)-INDEX($AM$40:$AM$170,ROW()-39))*100,"")</f>
        <v/>
      </c>
      <c r="E156" s="55">
        <f>IFERROR((INDEX($AQ$40:$AQ$170,ROW()-39)-INDEX($AU$40:$AU$170,ROW()-39))*100,"")</f>
        <v/>
      </c>
      <c r="F156" s="55">
        <f>IFERROR((INDEX($AY$40:$AY$170,ROW()-39)-INDEX($BC$40:$BC$170,ROW()-39))*100,"")</f>
        <v/>
      </c>
    </row>
    <row r="157">
      <c r="A157" s="43">
        <f>IFERROR(INDEX($R$40:$R$170,ROW()-39),"")</f>
        <v/>
      </c>
      <c r="B157" s="55">
        <f>IFERROR((INDEX($S$40:$S$170,ROW()-39)-INDEX($W$40:$W$170,ROW()-39))*100,"")</f>
        <v/>
      </c>
      <c r="C157" s="55">
        <f>IFERROR((INDEX($AA$40:$AA$170,ROW()-39)-INDEX($AE$40:$AE$170,ROW()-39))*100,"")</f>
        <v/>
      </c>
      <c r="D157" s="55">
        <f>IFERROR((INDEX($AI$40:$AI$170,ROW()-39)-INDEX($AM$40:$AM$170,ROW()-39))*100,"")</f>
        <v/>
      </c>
      <c r="E157" s="55">
        <f>IFERROR((INDEX($AQ$40:$AQ$170,ROW()-39)-INDEX($AU$40:$AU$170,ROW()-39))*100,"")</f>
        <v/>
      </c>
      <c r="F157" s="55">
        <f>IFERROR((INDEX($AY$40:$AY$170,ROW()-39)-INDEX($BC$40:$BC$170,ROW()-39))*100,"")</f>
        <v/>
      </c>
    </row>
    <row r="158">
      <c r="A158" s="43">
        <f>IFERROR(INDEX($R$40:$R$170,ROW()-39),"")</f>
        <v/>
      </c>
      <c r="B158" s="55">
        <f>IFERROR((INDEX($S$40:$S$170,ROW()-39)-INDEX($W$40:$W$170,ROW()-39))*100,"")</f>
        <v/>
      </c>
      <c r="C158" s="55">
        <f>IFERROR((INDEX($AA$40:$AA$170,ROW()-39)-INDEX($AE$40:$AE$170,ROW()-39))*100,"")</f>
        <v/>
      </c>
      <c r="D158" s="55">
        <f>IFERROR((INDEX($AI$40:$AI$170,ROW()-39)-INDEX($AM$40:$AM$170,ROW()-39))*100,"")</f>
        <v/>
      </c>
      <c r="E158" s="55">
        <f>IFERROR((INDEX($AQ$40:$AQ$170,ROW()-39)-INDEX($AU$40:$AU$170,ROW()-39))*100,"")</f>
        <v/>
      </c>
      <c r="F158" s="55">
        <f>IFERROR((INDEX($AY$40:$AY$170,ROW()-39)-INDEX($BC$40:$BC$170,ROW()-39))*100,"")</f>
        <v/>
      </c>
    </row>
    <row r="159">
      <c r="A159" s="43">
        <f>IFERROR(INDEX($R$40:$R$170,ROW()-39),"")</f>
        <v/>
      </c>
      <c r="B159" s="55">
        <f>IFERROR((INDEX($S$40:$S$170,ROW()-39)-INDEX($W$40:$W$170,ROW()-39))*100,"")</f>
        <v/>
      </c>
      <c r="C159" s="55">
        <f>IFERROR((INDEX($AA$40:$AA$170,ROW()-39)-INDEX($AE$40:$AE$170,ROW()-39))*100,"")</f>
        <v/>
      </c>
      <c r="D159" s="55">
        <f>IFERROR((INDEX($AI$40:$AI$170,ROW()-39)-INDEX($AM$40:$AM$170,ROW()-39))*100,"")</f>
        <v/>
      </c>
      <c r="E159" s="55">
        <f>IFERROR((INDEX($AQ$40:$AQ$170,ROW()-39)-INDEX($AU$40:$AU$170,ROW()-39))*100,"")</f>
        <v/>
      </c>
      <c r="F159" s="55">
        <f>IFERROR((INDEX($AY$40:$AY$170,ROW()-39)-INDEX($BC$40:$BC$170,ROW()-39))*100,"")</f>
        <v/>
      </c>
    </row>
    <row r="160">
      <c r="A160" s="43">
        <f>IFERROR(INDEX($R$40:$R$170,ROW()-39),"")</f>
        <v/>
      </c>
      <c r="B160" s="55">
        <f>IFERROR((INDEX($S$40:$S$170,ROW()-39)-INDEX($W$40:$W$170,ROW()-39))*100,"")</f>
        <v/>
      </c>
      <c r="C160" s="55">
        <f>IFERROR((INDEX($AA$40:$AA$170,ROW()-39)-INDEX($AE$40:$AE$170,ROW()-39))*100,"")</f>
        <v/>
      </c>
      <c r="D160" s="55">
        <f>IFERROR((INDEX($AI$40:$AI$170,ROW()-39)-INDEX($AM$40:$AM$170,ROW()-39))*100,"")</f>
        <v/>
      </c>
      <c r="E160" s="55">
        <f>IFERROR((INDEX($AQ$40:$AQ$170,ROW()-39)-INDEX($AU$40:$AU$170,ROW()-39))*100,"")</f>
        <v/>
      </c>
      <c r="F160" s="55">
        <f>IFERROR((INDEX($AY$40:$AY$170,ROW()-39)-INDEX($BC$40:$BC$170,ROW()-39))*100,"")</f>
        <v/>
      </c>
    </row>
    <row r="161">
      <c r="A161" s="43">
        <f>IFERROR(INDEX($R$40:$R$170,ROW()-39),"")</f>
        <v/>
      </c>
      <c r="B161" s="55">
        <f>IFERROR((INDEX($S$40:$S$170,ROW()-39)-INDEX($W$40:$W$170,ROW()-39))*100,"")</f>
        <v/>
      </c>
      <c r="C161" s="55">
        <f>IFERROR((INDEX($AA$40:$AA$170,ROW()-39)-INDEX($AE$40:$AE$170,ROW()-39))*100,"")</f>
        <v/>
      </c>
      <c r="D161" s="55">
        <f>IFERROR((INDEX($AI$40:$AI$170,ROW()-39)-INDEX($AM$40:$AM$170,ROW()-39))*100,"")</f>
        <v/>
      </c>
      <c r="E161" s="55">
        <f>IFERROR((INDEX($AQ$40:$AQ$170,ROW()-39)-INDEX($AU$40:$AU$170,ROW()-39))*100,"")</f>
        <v/>
      </c>
      <c r="F161" s="55">
        <f>IFERROR((INDEX($AY$40:$AY$170,ROW()-39)-INDEX($BC$40:$BC$170,ROW()-39))*100,"")</f>
        <v/>
      </c>
    </row>
    <row r="162">
      <c r="A162" s="43">
        <f>IFERROR(INDEX($R$40:$R$170,ROW()-39),"")</f>
        <v/>
      </c>
      <c r="B162" s="55">
        <f>IFERROR((INDEX($S$40:$S$170,ROW()-39)-INDEX($W$40:$W$170,ROW()-39))*100,"")</f>
        <v/>
      </c>
      <c r="C162" s="55">
        <f>IFERROR((INDEX($AA$40:$AA$170,ROW()-39)-INDEX($AE$40:$AE$170,ROW()-39))*100,"")</f>
        <v/>
      </c>
      <c r="D162" s="55">
        <f>IFERROR((INDEX($AI$40:$AI$170,ROW()-39)-INDEX($AM$40:$AM$170,ROW()-39))*100,"")</f>
        <v/>
      </c>
      <c r="E162" s="55">
        <f>IFERROR((INDEX($AQ$40:$AQ$170,ROW()-39)-INDEX($AU$40:$AU$170,ROW()-39))*100,"")</f>
        <v/>
      </c>
      <c r="F162" s="55">
        <f>IFERROR((INDEX($AY$40:$AY$170,ROW()-39)-INDEX($BC$40:$BC$170,ROW()-39))*100,"")</f>
        <v/>
      </c>
    </row>
    <row r="163">
      <c r="A163" s="43">
        <f>IFERROR(INDEX($R$40:$R$170,ROW()-39),"")</f>
        <v/>
      </c>
      <c r="B163" s="55">
        <f>IFERROR((INDEX($S$40:$S$170,ROW()-39)-INDEX($W$40:$W$170,ROW()-39))*100,"")</f>
        <v/>
      </c>
      <c r="C163" s="55">
        <f>IFERROR((INDEX($AA$40:$AA$170,ROW()-39)-INDEX($AE$40:$AE$170,ROW()-39))*100,"")</f>
        <v/>
      </c>
      <c r="D163" s="55">
        <f>IFERROR((INDEX($AI$40:$AI$170,ROW()-39)-INDEX($AM$40:$AM$170,ROW()-39))*100,"")</f>
        <v/>
      </c>
      <c r="E163" s="55">
        <f>IFERROR((INDEX($AQ$40:$AQ$170,ROW()-39)-INDEX($AU$40:$AU$170,ROW()-39))*100,"")</f>
        <v/>
      </c>
      <c r="F163" s="55">
        <f>IFERROR((INDEX($AY$40:$AY$170,ROW()-39)-INDEX($BC$40:$BC$170,ROW()-39))*100,"")</f>
        <v/>
      </c>
    </row>
    <row r="164">
      <c r="A164" s="43">
        <f>IFERROR(INDEX($R$40:$R$170,ROW()-39),"")</f>
        <v/>
      </c>
      <c r="B164" s="55">
        <f>IFERROR((INDEX($S$40:$S$170,ROW()-39)-INDEX($W$40:$W$170,ROW()-39))*100,"")</f>
        <v/>
      </c>
      <c r="C164" s="55">
        <f>IFERROR((INDEX($AA$40:$AA$170,ROW()-39)-INDEX($AE$40:$AE$170,ROW()-39))*100,"")</f>
        <v/>
      </c>
      <c r="D164" s="55">
        <f>IFERROR((INDEX($AI$40:$AI$170,ROW()-39)-INDEX($AM$40:$AM$170,ROW()-39))*100,"")</f>
        <v/>
      </c>
      <c r="E164" s="55">
        <f>IFERROR((INDEX($AQ$40:$AQ$170,ROW()-39)-INDEX($AU$40:$AU$170,ROW()-39))*100,"")</f>
        <v/>
      </c>
      <c r="F164" s="55">
        <f>IFERROR((INDEX($AY$40:$AY$170,ROW()-39)-INDEX($BC$40:$BC$170,ROW()-39))*100,"")</f>
        <v/>
      </c>
    </row>
    <row r="165">
      <c r="A165" s="43">
        <f>IFERROR(INDEX($R$40:$R$170,ROW()-39),"")</f>
        <v/>
      </c>
      <c r="B165" s="55">
        <f>IFERROR((INDEX($S$40:$S$170,ROW()-39)-INDEX($W$40:$W$170,ROW()-39))*100,"")</f>
        <v/>
      </c>
      <c r="C165" s="55">
        <f>IFERROR((INDEX($AA$40:$AA$170,ROW()-39)-INDEX($AE$40:$AE$170,ROW()-39))*100,"")</f>
        <v/>
      </c>
      <c r="D165" s="55">
        <f>IFERROR((INDEX($AI$40:$AI$170,ROW()-39)-INDEX($AM$40:$AM$170,ROW()-39))*100,"")</f>
        <v/>
      </c>
      <c r="E165" s="55">
        <f>IFERROR((INDEX($AQ$40:$AQ$170,ROW()-39)-INDEX($AU$40:$AU$170,ROW()-39))*100,"")</f>
        <v/>
      </c>
      <c r="F165" s="55">
        <f>IFERROR((INDEX($AY$40:$AY$170,ROW()-39)-INDEX($BC$40:$BC$170,ROW()-39))*100,"")</f>
        <v/>
      </c>
    </row>
    <row r="166">
      <c r="A166" s="43">
        <f>IFERROR(INDEX($R$40:$R$170,ROW()-39),"")</f>
        <v/>
      </c>
      <c r="B166" s="55">
        <f>IFERROR((INDEX($S$40:$S$170,ROW()-39)-INDEX($W$40:$W$170,ROW()-39))*100,"")</f>
        <v/>
      </c>
      <c r="C166" s="55">
        <f>IFERROR((INDEX($AA$40:$AA$170,ROW()-39)-INDEX($AE$40:$AE$170,ROW()-39))*100,"")</f>
        <v/>
      </c>
      <c r="D166" s="55">
        <f>IFERROR((INDEX($AI$40:$AI$170,ROW()-39)-INDEX($AM$40:$AM$170,ROW()-39))*100,"")</f>
        <v/>
      </c>
      <c r="E166" s="55">
        <f>IFERROR((INDEX($AQ$40:$AQ$170,ROW()-39)-INDEX($AU$40:$AU$170,ROW()-39))*100,"")</f>
        <v/>
      </c>
      <c r="F166" s="55">
        <f>IFERROR((INDEX($AY$40:$AY$170,ROW()-39)-INDEX($BC$40:$BC$170,ROW()-39))*100,"")</f>
        <v/>
      </c>
    </row>
    <row r="167">
      <c r="A167" s="43">
        <f>IFERROR(INDEX($R$40:$R$170,ROW()-39),"")</f>
        <v/>
      </c>
      <c r="B167" s="55">
        <f>IFERROR((INDEX($S$40:$S$170,ROW()-39)-INDEX($W$40:$W$170,ROW()-39))*100,"")</f>
        <v/>
      </c>
      <c r="C167" s="55">
        <f>IFERROR((INDEX($AA$40:$AA$170,ROW()-39)-INDEX($AE$40:$AE$170,ROW()-39))*100,"")</f>
        <v/>
      </c>
      <c r="D167" s="55">
        <f>IFERROR((INDEX($AI$40:$AI$170,ROW()-39)-INDEX($AM$40:$AM$170,ROW()-39))*100,"")</f>
        <v/>
      </c>
      <c r="E167" s="55">
        <f>IFERROR((INDEX($AQ$40:$AQ$170,ROW()-39)-INDEX($AU$40:$AU$170,ROW()-39))*100,"")</f>
        <v/>
      </c>
      <c r="F167" s="55">
        <f>IFERROR((INDEX($AY$40:$AY$170,ROW()-39)-INDEX($BC$40:$BC$170,ROW()-39))*100,"")</f>
        <v/>
      </c>
    </row>
    <row r="168">
      <c r="A168" s="43">
        <f>IFERROR(INDEX($R$40:$R$170,ROW()-39),"")</f>
        <v/>
      </c>
      <c r="B168" s="55">
        <f>IFERROR((INDEX($S$40:$S$170,ROW()-39)-INDEX($W$40:$W$170,ROW()-39))*100,"")</f>
        <v/>
      </c>
      <c r="C168" s="55">
        <f>IFERROR((INDEX($AA$40:$AA$170,ROW()-39)-INDEX($AE$40:$AE$170,ROW()-39))*100,"")</f>
        <v/>
      </c>
      <c r="D168" s="55">
        <f>IFERROR((INDEX($AI$40:$AI$170,ROW()-39)-INDEX($AM$40:$AM$170,ROW()-39))*100,"")</f>
        <v/>
      </c>
      <c r="E168" s="55">
        <f>IFERROR((INDEX($AQ$40:$AQ$170,ROW()-39)-INDEX($AU$40:$AU$170,ROW()-39))*100,"")</f>
        <v/>
      </c>
      <c r="F168" s="55">
        <f>IFERROR((INDEX($AY$40:$AY$170,ROW()-39)-INDEX($BC$40:$BC$170,ROW()-39))*100,"")</f>
        <v/>
      </c>
    </row>
    <row r="169">
      <c r="A169" s="43">
        <f>IFERROR(INDEX($R$40:$R$170,ROW()-39),"")</f>
        <v/>
      </c>
      <c r="B169" s="55">
        <f>IFERROR((INDEX($S$40:$S$170,ROW()-39)-INDEX($W$40:$W$170,ROW()-39))*100,"")</f>
        <v/>
      </c>
      <c r="C169" s="55">
        <f>IFERROR((INDEX($AA$40:$AA$170,ROW()-39)-INDEX($AE$40:$AE$170,ROW()-39))*100,"")</f>
        <v/>
      </c>
      <c r="D169" s="55">
        <f>IFERROR((INDEX($AI$40:$AI$170,ROW()-39)-INDEX($AM$40:$AM$170,ROW()-39))*100,"")</f>
        <v/>
      </c>
      <c r="E169" s="55">
        <f>IFERROR((INDEX($AQ$40:$AQ$170,ROW()-39)-INDEX($AU$40:$AU$170,ROW()-39))*100,"")</f>
        <v/>
      </c>
      <c r="F169" s="55">
        <f>IFERROR((INDEX($AY$40:$AY$170,ROW()-39)-INDEX($BC$40:$BC$170,ROW()-39))*100,"")</f>
        <v/>
      </c>
    </row>
  </sheetData>
  <pageMargins left="0.75" right="0.75" top="1" bottom="1" header="0.5" footer="0.5"/>
  <drawing xmlns:r="http://schemas.openxmlformats.org/officeDocument/2006/relationships" r:id="rId1"/>
</worksheet>
</file>

<file path=xl/worksheets/sheet18.xml><?xml version="1.0" encoding="utf-8"?>
<worksheet xmlns="http://schemas.openxmlformats.org/spreadsheetml/2006/main">
  <sheetPr>
    <outlinePr summaryBelow="1" summaryRight="1"/>
    <pageSetUpPr/>
  </sheetPr>
  <dimension ref="A1:BB155"/>
  <sheetViews>
    <sheetView showGridLines="0" workbookViewId="0">
      <pane ySplit="4" topLeftCell="A5" activePane="bottomLeft" state="frozen"/>
      <selection pane="bottomLeft" activeCell="A1" sqref="A1"/>
    </sheetView>
  </sheetViews>
  <sheetFormatPr baseColWidth="8" defaultRowHeight="15"/>
  <cols>
    <col width="12" customWidth="1" min="1" max="1"/>
    <col width="12" customWidth="1" min="2" max="2"/>
    <col width="12" customWidth="1" min="3" max="3"/>
    <col width="12" customWidth="1" min="4" max="4"/>
    <col width="12" customWidth="1" min="5" max="5"/>
    <col width="12" customWidth="1" min="6" max="6"/>
    <col width="12" customWidth="1" min="7" max="7"/>
    <col width="14" customWidth="1" min="8" max="8"/>
    <col width="24" customWidth="1" min="9" max="9"/>
  </cols>
  <sheetData>
    <row r="1">
      <c r="A1" s="1" t="inlineStr">
        <is>
          <t>Asia equity risk premium — and where it sits in 10 years of itself</t>
        </is>
      </c>
    </row>
    <row r="2">
      <c r="A2" s="2" t="inlineStr">
        <is>
          <t>Slide 3, exhibit 1. The ERP tab computes the level; this one computes the rank. A level answers 'what am I paid'; a percentile answers 'have I ever been paid less'.</t>
        </is>
      </c>
    </row>
    <row r="3" ht="4" customHeight="1">
      <c r="A3" s="3" t="n"/>
      <c r="B3" s="3" t="n"/>
      <c r="C3" s="3" t="n"/>
      <c r="D3" s="3" t="n"/>
      <c r="E3" s="3" t="n"/>
      <c r="F3" s="3" t="n"/>
      <c r="G3" s="3" t="n"/>
      <c r="H3" s="3" t="n"/>
      <c r="I3" s="3" t="n"/>
      <c r="J3" s="3" t="n"/>
      <c r="K3" s="3" t="n"/>
    </row>
    <row r="5" ht="18" customHeight="1">
      <c r="A5" s="4" t="inlineStr">
        <is>
          <t>Market</t>
        </is>
      </c>
      <c r="B5" s="4" t="inlineStr">
        <is>
          <t>Index</t>
        </is>
      </c>
      <c r="C5" s="4" t="inlineStr">
        <is>
          <t>Fwd P/E</t>
        </is>
      </c>
      <c r="D5" s="4" t="inlineStr">
        <is>
          <t>Earnings yield</t>
        </is>
      </c>
      <c r="E5" s="4" t="inlineStr">
        <is>
          <t>Local 10y</t>
        </is>
      </c>
      <c r="F5" s="4" t="inlineStr">
        <is>
          <t>10y yield</t>
        </is>
      </c>
      <c r="G5" s="4" t="inlineStr">
        <is>
          <t>ERP, bp</t>
        </is>
      </c>
      <c r="H5" s="4" t="inlineStr">
        <is>
          <t>10y percentile</t>
        </is>
      </c>
      <c r="I5" s="4" t="inlineStr">
        <is>
          <t>Read</t>
        </is>
      </c>
    </row>
    <row r="6">
      <c r="A6" s="5" t="inlineStr">
        <is>
          <t>China A</t>
        </is>
      </c>
      <c r="B6" s="14" t="inlineStr">
        <is>
          <t>SHSZ300 Index</t>
        </is>
      </c>
      <c r="C6" s="19">
        <f>BDP($B6,"BEST_PE_RATIO","BEST_FPERIOD_OVERRIDE","1BF")</f>
        <v/>
      </c>
      <c r="D6" s="20">
        <f>IFERROR(1/C6,"")</f>
        <v/>
      </c>
      <c r="E6" s="14" t="inlineStr">
        <is>
          <t>GTCNY10Y Govt</t>
        </is>
      </c>
      <c r="F6" s="21">
        <f>BDP($E6,"PX_LAST")</f>
        <v/>
      </c>
      <c r="G6" s="22">
        <f>IFERROR((D6-F6/100)*10000,"")</f>
        <v/>
      </c>
      <c r="H6" s="54">
        <f>IFERROR(PERCENTRANK.INC(B$26:B$155,G6),"")</f>
        <v/>
      </c>
      <c r="I6" s="7">
        <f>IF(H6="","",IF(H6&lt;0.2,"Thin — bottom quintile of 10y",IF(H6&gt;0.8,"Wide — top quintile of 10y","Mid-range")))</f>
        <v/>
      </c>
    </row>
    <row r="7">
      <c r="A7" s="5" t="inlineStr">
        <is>
          <t>China H</t>
        </is>
      </c>
      <c r="B7" s="14" t="inlineStr">
        <is>
          <t>HSCEI Index</t>
        </is>
      </c>
      <c r="C7" s="19">
        <f>BDP($B7,"BEST_PE_RATIO","BEST_FPERIOD_OVERRIDE","1BF")</f>
        <v/>
      </c>
      <c r="D7" s="20">
        <f>IFERROR(1/C7,"")</f>
        <v/>
      </c>
      <c r="E7" s="14" t="inlineStr">
        <is>
          <t>GTHKD10Y Govt</t>
        </is>
      </c>
      <c r="F7" s="21">
        <f>BDP($E7,"PX_LAST")</f>
        <v/>
      </c>
      <c r="G7" s="22">
        <f>IFERROR((D7-F7/100)*10000,"")</f>
        <v/>
      </c>
      <c r="H7" s="54">
        <f>IFERROR(PERCENTRANK.INC(C$26:C$155,G7),"")</f>
        <v/>
      </c>
      <c r="I7" s="7">
        <f>IF(H7="","",IF(H7&lt;0.2,"Thin — bottom quintile of 10y",IF(H7&gt;0.8,"Wide — top quintile of 10y","Mid-range")))</f>
        <v/>
      </c>
    </row>
    <row r="8">
      <c r="A8" s="5" t="inlineStr">
        <is>
          <t>Korea</t>
        </is>
      </c>
      <c r="B8" s="14" t="inlineStr">
        <is>
          <t>KOSPI2 Index</t>
        </is>
      </c>
      <c r="C8" s="19">
        <f>BDP($B8,"BEST_PE_RATIO","BEST_FPERIOD_OVERRIDE","1BF")</f>
        <v/>
      </c>
      <c r="D8" s="20">
        <f>IFERROR(1/C8,"")</f>
        <v/>
      </c>
      <c r="E8" s="14" t="inlineStr">
        <is>
          <t>GTKRW10Y Govt</t>
        </is>
      </c>
      <c r="F8" s="21">
        <f>BDP($E8,"PX_LAST")</f>
        <v/>
      </c>
      <c r="G8" s="22">
        <f>IFERROR((D8-F8/100)*10000,"")</f>
        <v/>
      </c>
      <c r="H8" s="54">
        <f>IFERROR(PERCENTRANK.INC(D$26:D$155,G8),"")</f>
        <v/>
      </c>
      <c r="I8" s="7">
        <f>IF(H8="","",IF(H8&lt;0.2,"Thin — bottom quintile of 10y",IF(H8&gt;0.8,"Wide — top quintile of 10y","Mid-range")))</f>
        <v/>
      </c>
    </row>
    <row r="9">
      <c r="A9" s="5" t="inlineStr">
        <is>
          <t>Japan</t>
        </is>
      </c>
      <c r="B9" s="14" t="inlineStr">
        <is>
          <t>TPX Index</t>
        </is>
      </c>
      <c r="C9" s="19">
        <f>BDP($B9,"BEST_PE_RATIO","BEST_FPERIOD_OVERRIDE","1BF")</f>
        <v/>
      </c>
      <c r="D9" s="20">
        <f>IFERROR(1/C9,"")</f>
        <v/>
      </c>
      <c r="E9" s="14" t="inlineStr">
        <is>
          <t>GTJPY10Y Govt</t>
        </is>
      </c>
      <c r="F9" s="21">
        <f>BDP($E9,"PX_LAST")</f>
        <v/>
      </c>
      <c r="G9" s="22">
        <f>IFERROR((D9-F9/100)*10000,"")</f>
        <v/>
      </c>
      <c r="H9" s="54">
        <f>IFERROR(PERCENTRANK.INC(E$26:E$155,G9),"")</f>
        <v/>
      </c>
      <c r="I9" s="7">
        <f>IF(H9="","",IF(H9&lt;0.2,"Thin — bottom quintile of 10y",IF(H9&gt;0.8,"Wide — top quintile of 10y","Mid-range")))</f>
        <v/>
      </c>
    </row>
    <row r="10">
      <c r="A10" s="5" t="inlineStr">
        <is>
          <t>Taiwan</t>
        </is>
      </c>
      <c r="B10" s="14" t="inlineStr">
        <is>
          <t>TWSE Index</t>
        </is>
      </c>
      <c r="C10" s="19">
        <f>BDP($B10,"BEST_PE_RATIO","BEST_FPERIOD_OVERRIDE","1BF")</f>
        <v/>
      </c>
      <c r="D10" s="20">
        <f>IFERROR(1/C10,"")</f>
        <v/>
      </c>
      <c r="E10" s="14" t="inlineStr">
        <is>
          <t>GTTWD10Y Govt</t>
        </is>
      </c>
      <c r="F10" s="21">
        <f>BDP($E10,"PX_LAST")</f>
        <v/>
      </c>
      <c r="G10" s="22">
        <f>IFERROR((D10-F10/100)*10000,"")</f>
        <v/>
      </c>
      <c r="H10" s="54">
        <f>IFERROR(PERCENTRANK.INC(F$26:F$155,G10),"")</f>
        <v/>
      </c>
      <c r="I10" s="7">
        <f>IF(H10="","",IF(H10&lt;0.2,"Thin — bottom quintile of 10y",IF(H10&gt;0.8,"Wide — top quintile of 10y","Mid-range")))</f>
        <v/>
      </c>
    </row>
    <row r="13">
      <c r="A13" s="12" t="inlineStr">
        <is>
          <t>The percentile is the exhibit, not the level. Cross-market ERP levels are not comparable across markets with different payout ratios, index compositions and accounting — a 300bp Chinese premium and a 300bp Japanese one are not the same claim. Each market against its own decade is comparable, and it is also the harder test.</t>
        </is>
      </c>
    </row>
    <row r="17">
      <c r="A17" s="12" t="inlineStr">
        <is>
          <t>Ten years of monthly forward P/E and monthly 10y yields, two BQL calls per market. The history columns compute the ERP the same way the summary row does, so the percentile ranks like against like.</t>
        </is>
      </c>
    </row>
    <row r="19">
      <c r="A19" s="9" t="inlineStr">
        <is>
          <t>Date alignment check</t>
        </is>
      </c>
      <c r="C19" s="9">
        <f>IFERROR(SUMPRODUCT(--($R$26:$R$156&lt;&gt;"")*($V$26:$V$156&lt;&gt;"")*($R$26:$R$156&lt;&gt;$V$26:$V$156))+SUMPRODUCT(--($R$26:$R$156&lt;&gt;"")*($Z$26:$Z$156&lt;&gt;"")*($R$26:$R$156&lt;&gt;$Z$26:$Z$156))+SUMPRODUCT(--($R$26:$R$156&lt;&gt;"")*($AD$26:$AD$156&lt;&gt;"")*($R$26:$R$156&lt;&gt;$AD$26:$AD$156))+SUMPRODUCT(--($R$26:$R$156&lt;&gt;"")*($AH$26:$AH$156&lt;&gt;"")*($R$26:$R$156&lt;&gt;$AH$26:$AH$156))+SUMPRODUCT(--($R$26:$R$156&lt;&gt;"")*($AL$26:$AL$156&lt;&gt;"")*($R$26:$R$156&lt;&gt;$AL$26:$AL$156))+SUMPRODUCT(--($R$26:$R$156&lt;&gt;"")*($AP$26:$AP$156&lt;&gt;"")*($R$26:$R$156&lt;&gt;$AP$26:$AP$156))+SUMPRODUCT(--($R$26:$R$156&lt;&gt;"")*($AT$26:$AT$156&lt;&gt;"")*($R$26:$R$156&lt;&gt;$AT$26:$AT$156))+SUMPRODUCT(--($R$26:$R$156&lt;&gt;"")*($AX$26:$AX$156&lt;&gt;"")*($R$26:$R$156&lt;&gt;$AX$26:$AX$156))+SUMPRODUCT(--($R$26:$R$156&lt;&gt;"")*($BB$26:$BB$156&lt;&gt;"")*($R$26:$R$156&lt;&gt;$BB$26:$BB$156)),"")</f>
        <v/>
      </c>
      <c r="D19" s="2">
        <f>IF(C19="","",IF(C19=0,"OK — blocks are row-aligned","MISALIGNED: "&amp;C19&amp;" rows differ. Do not use these numbers; switch the value columns to INDEX/MATCH on the date."))</f>
        <v/>
      </c>
    </row>
    <row r="22">
      <c r="R22" s="12" t="inlineStr">
        <is>
          <t>Staging — one BQL call per security. Each spills DATE and value; the working columns on the left look them up by date. Blocks: R = China A fwd P/E · V = China A 10y · Z = China H fwd P/E · AD = China H 10y · AH = Korea fwd P/E · AL = Korea 10y · AP = Japan fwd P/E · AT = Japan 10y · AX = Taiwan fwd P/E · BB = Taiwan 10y.  If a block comes back with an extra ID column, shift that block's value column by one — nothing else needs to change.</t>
        </is>
      </c>
    </row>
    <row r="24">
      <c r="A24" s="9" t="inlineStr">
        <is>
          <t>ERP history, monthly — 10 years, bp</t>
        </is>
      </c>
      <c r="R24" s="10">
        <f>BQL("SHSZ300 Index","best_pe_ratio(fpo='1BF', frq=M, dates=range("&amp;TEXT(Start10Y,"yyyy-mm-dd")&amp;","&amp;TEXT(AsOf,"yyyy-mm-dd")&amp;"), fill=prev)")</f>
        <v/>
      </c>
      <c r="V24" s="10">
        <f>BQL("GTCNY10Y Govt","px_last(frq=M, dates=range("&amp;TEXT(Start10Y,"yyyy-mm-dd")&amp;","&amp;TEXT(AsOf,"yyyy-mm-dd")&amp;"), fill=prev)")</f>
        <v/>
      </c>
      <c r="Z24" s="10">
        <f>BQL("HSCEI Index","best_pe_ratio(fpo='1BF', frq=M, dates=range("&amp;TEXT(Start10Y,"yyyy-mm-dd")&amp;","&amp;TEXT(AsOf,"yyyy-mm-dd")&amp;"), fill=prev)")</f>
        <v/>
      </c>
      <c r="AD24" s="10">
        <f>BQL("GTHKD10Y Govt","px_last(frq=M, dates=range("&amp;TEXT(Start10Y,"yyyy-mm-dd")&amp;","&amp;TEXT(AsOf,"yyyy-mm-dd")&amp;"), fill=prev)")</f>
        <v/>
      </c>
      <c r="AH24" s="10">
        <f>BQL("KOSPI2 Index","best_pe_ratio(fpo='1BF', frq=M, dates=range("&amp;TEXT(Start10Y,"yyyy-mm-dd")&amp;","&amp;TEXT(AsOf,"yyyy-mm-dd")&amp;"), fill=prev)")</f>
        <v/>
      </c>
      <c r="AL24" s="10">
        <f>BQL("GTKRW10Y Govt","px_last(frq=M, dates=range("&amp;TEXT(Start10Y,"yyyy-mm-dd")&amp;","&amp;TEXT(AsOf,"yyyy-mm-dd")&amp;"), fill=prev)")</f>
        <v/>
      </c>
      <c r="AP24" s="10">
        <f>BQL("TPX Index","best_pe_ratio(fpo='1BF', frq=M, dates=range("&amp;TEXT(Start10Y,"yyyy-mm-dd")&amp;","&amp;TEXT(AsOf,"yyyy-mm-dd")&amp;"), fill=prev)")</f>
        <v/>
      </c>
      <c r="AT24" s="10">
        <f>BQL("GTJPY10Y Govt","px_last(frq=M, dates=range("&amp;TEXT(Start10Y,"yyyy-mm-dd")&amp;","&amp;TEXT(AsOf,"yyyy-mm-dd")&amp;"), fill=prev)")</f>
        <v/>
      </c>
      <c r="AX24" s="10">
        <f>BQL("TWSE Index","best_pe_ratio(fpo='1BF', frq=M, dates=range("&amp;TEXT(Start10Y,"yyyy-mm-dd")&amp;","&amp;TEXT(AsOf,"yyyy-mm-dd")&amp;"), fill=prev)")</f>
        <v/>
      </c>
      <c r="BB24" s="10">
        <f>BQL("GTTWD10Y Govt","px_last(frq=M, dates=range("&amp;TEXT(Start10Y,"yyyy-mm-dd")&amp;","&amp;TEXT(AsOf,"yyyy-mm-dd")&amp;"), fill=prev)")</f>
        <v/>
      </c>
    </row>
    <row r="25" ht="18" customHeight="1">
      <c r="A25" s="4" t="inlineStr">
        <is>
          <t>Date</t>
        </is>
      </c>
      <c r="B25" s="4" t="inlineStr">
        <is>
          <t>China A</t>
        </is>
      </c>
      <c r="C25" s="4" t="inlineStr">
        <is>
          <t>China H</t>
        </is>
      </c>
      <c r="D25" s="4" t="inlineStr">
        <is>
          <t>Korea</t>
        </is>
      </c>
      <c r="E25" s="4" t="inlineStr">
        <is>
          <t>Japan</t>
        </is>
      </c>
      <c r="F25" s="4" t="inlineStr">
        <is>
          <t>Taiwan</t>
        </is>
      </c>
    </row>
    <row r="26">
      <c r="A26" s="43">
        <f>IFERROR(INDEX($R$26:$R$156,ROW()-25),"")</f>
        <v/>
      </c>
      <c r="B26" s="25">
        <f>IFERROR((1/INDEX($S$26:$S$156,ROW()-25)-INDEX($W$26:$W$156,ROW()-25)/100)*10000,"")</f>
        <v/>
      </c>
      <c r="C26" s="25">
        <f>IFERROR((1/INDEX($AA$26:$AA$156,ROW()-25)-INDEX($AE$26:$AE$156,ROW()-25)/100)*10000,"")</f>
        <v/>
      </c>
      <c r="D26" s="25">
        <f>IFERROR((1/INDEX($AI$26:$AI$156,ROW()-25)-INDEX($AM$26:$AM$156,ROW()-25)/100)*10000,"")</f>
        <v/>
      </c>
      <c r="E26" s="25">
        <f>IFERROR((1/INDEX($AQ$26:$AQ$156,ROW()-25)-INDEX($AU$26:$AU$156,ROW()-25)/100)*10000,"")</f>
        <v/>
      </c>
      <c r="F26" s="25">
        <f>IFERROR((1/INDEX($AY$26:$AY$156,ROW()-25)-INDEX($BC$26:$BC$156,ROW()-25)/100)*10000,"")</f>
        <v/>
      </c>
    </row>
    <row r="27">
      <c r="A27" s="43">
        <f>IFERROR(INDEX($R$26:$R$156,ROW()-25),"")</f>
        <v/>
      </c>
      <c r="B27" s="25">
        <f>IFERROR((1/INDEX($S$26:$S$156,ROW()-25)-INDEX($W$26:$W$156,ROW()-25)/100)*10000,"")</f>
        <v/>
      </c>
      <c r="C27" s="25">
        <f>IFERROR((1/INDEX($AA$26:$AA$156,ROW()-25)-INDEX($AE$26:$AE$156,ROW()-25)/100)*10000,"")</f>
        <v/>
      </c>
      <c r="D27" s="25">
        <f>IFERROR((1/INDEX($AI$26:$AI$156,ROW()-25)-INDEX($AM$26:$AM$156,ROW()-25)/100)*10000,"")</f>
        <v/>
      </c>
      <c r="E27" s="25">
        <f>IFERROR((1/INDEX($AQ$26:$AQ$156,ROW()-25)-INDEX($AU$26:$AU$156,ROW()-25)/100)*10000,"")</f>
        <v/>
      </c>
      <c r="F27" s="25">
        <f>IFERROR((1/INDEX($AY$26:$AY$156,ROW()-25)-INDEX($BC$26:$BC$156,ROW()-25)/100)*10000,"")</f>
        <v/>
      </c>
    </row>
    <row r="28">
      <c r="A28" s="43">
        <f>IFERROR(INDEX($R$26:$R$156,ROW()-25),"")</f>
        <v/>
      </c>
      <c r="B28" s="25">
        <f>IFERROR((1/INDEX($S$26:$S$156,ROW()-25)-INDEX($W$26:$W$156,ROW()-25)/100)*10000,"")</f>
        <v/>
      </c>
      <c r="C28" s="25">
        <f>IFERROR((1/INDEX($AA$26:$AA$156,ROW()-25)-INDEX($AE$26:$AE$156,ROW()-25)/100)*10000,"")</f>
        <v/>
      </c>
      <c r="D28" s="25">
        <f>IFERROR((1/INDEX($AI$26:$AI$156,ROW()-25)-INDEX($AM$26:$AM$156,ROW()-25)/100)*10000,"")</f>
        <v/>
      </c>
      <c r="E28" s="25">
        <f>IFERROR((1/INDEX($AQ$26:$AQ$156,ROW()-25)-INDEX($AU$26:$AU$156,ROW()-25)/100)*10000,"")</f>
        <v/>
      </c>
      <c r="F28" s="25">
        <f>IFERROR((1/INDEX($AY$26:$AY$156,ROW()-25)-INDEX($BC$26:$BC$156,ROW()-25)/100)*10000,"")</f>
        <v/>
      </c>
    </row>
    <row r="29">
      <c r="A29" s="43">
        <f>IFERROR(INDEX($R$26:$R$156,ROW()-25),"")</f>
        <v/>
      </c>
      <c r="B29" s="25">
        <f>IFERROR((1/INDEX($S$26:$S$156,ROW()-25)-INDEX($W$26:$W$156,ROW()-25)/100)*10000,"")</f>
        <v/>
      </c>
      <c r="C29" s="25">
        <f>IFERROR((1/INDEX($AA$26:$AA$156,ROW()-25)-INDEX($AE$26:$AE$156,ROW()-25)/100)*10000,"")</f>
        <v/>
      </c>
      <c r="D29" s="25">
        <f>IFERROR((1/INDEX($AI$26:$AI$156,ROW()-25)-INDEX($AM$26:$AM$156,ROW()-25)/100)*10000,"")</f>
        <v/>
      </c>
      <c r="E29" s="25">
        <f>IFERROR((1/INDEX($AQ$26:$AQ$156,ROW()-25)-INDEX($AU$26:$AU$156,ROW()-25)/100)*10000,"")</f>
        <v/>
      </c>
      <c r="F29" s="25">
        <f>IFERROR((1/INDEX($AY$26:$AY$156,ROW()-25)-INDEX($BC$26:$BC$156,ROW()-25)/100)*10000,"")</f>
        <v/>
      </c>
    </row>
    <row r="30">
      <c r="A30" s="43">
        <f>IFERROR(INDEX($R$26:$R$156,ROW()-25),"")</f>
        <v/>
      </c>
      <c r="B30" s="25">
        <f>IFERROR((1/INDEX($S$26:$S$156,ROW()-25)-INDEX($W$26:$W$156,ROW()-25)/100)*10000,"")</f>
        <v/>
      </c>
      <c r="C30" s="25">
        <f>IFERROR((1/INDEX($AA$26:$AA$156,ROW()-25)-INDEX($AE$26:$AE$156,ROW()-25)/100)*10000,"")</f>
        <v/>
      </c>
      <c r="D30" s="25">
        <f>IFERROR((1/INDEX($AI$26:$AI$156,ROW()-25)-INDEX($AM$26:$AM$156,ROW()-25)/100)*10000,"")</f>
        <v/>
      </c>
      <c r="E30" s="25">
        <f>IFERROR((1/INDEX($AQ$26:$AQ$156,ROW()-25)-INDEX($AU$26:$AU$156,ROW()-25)/100)*10000,"")</f>
        <v/>
      </c>
      <c r="F30" s="25">
        <f>IFERROR((1/INDEX($AY$26:$AY$156,ROW()-25)-INDEX($BC$26:$BC$156,ROW()-25)/100)*10000,"")</f>
        <v/>
      </c>
    </row>
    <row r="31">
      <c r="A31" s="43">
        <f>IFERROR(INDEX($R$26:$R$156,ROW()-25),"")</f>
        <v/>
      </c>
      <c r="B31" s="25">
        <f>IFERROR((1/INDEX($S$26:$S$156,ROW()-25)-INDEX($W$26:$W$156,ROW()-25)/100)*10000,"")</f>
        <v/>
      </c>
      <c r="C31" s="25">
        <f>IFERROR((1/INDEX($AA$26:$AA$156,ROW()-25)-INDEX($AE$26:$AE$156,ROW()-25)/100)*10000,"")</f>
        <v/>
      </c>
      <c r="D31" s="25">
        <f>IFERROR((1/INDEX($AI$26:$AI$156,ROW()-25)-INDEX($AM$26:$AM$156,ROW()-25)/100)*10000,"")</f>
        <v/>
      </c>
      <c r="E31" s="25">
        <f>IFERROR((1/INDEX($AQ$26:$AQ$156,ROW()-25)-INDEX($AU$26:$AU$156,ROW()-25)/100)*10000,"")</f>
        <v/>
      </c>
      <c r="F31" s="25">
        <f>IFERROR((1/INDEX($AY$26:$AY$156,ROW()-25)-INDEX($BC$26:$BC$156,ROW()-25)/100)*10000,"")</f>
        <v/>
      </c>
    </row>
    <row r="32">
      <c r="A32" s="43">
        <f>IFERROR(INDEX($R$26:$R$156,ROW()-25),"")</f>
        <v/>
      </c>
      <c r="B32" s="25">
        <f>IFERROR((1/INDEX($S$26:$S$156,ROW()-25)-INDEX($W$26:$W$156,ROW()-25)/100)*10000,"")</f>
        <v/>
      </c>
      <c r="C32" s="25">
        <f>IFERROR((1/INDEX($AA$26:$AA$156,ROW()-25)-INDEX($AE$26:$AE$156,ROW()-25)/100)*10000,"")</f>
        <v/>
      </c>
      <c r="D32" s="25">
        <f>IFERROR((1/INDEX($AI$26:$AI$156,ROW()-25)-INDEX($AM$26:$AM$156,ROW()-25)/100)*10000,"")</f>
        <v/>
      </c>
      <c r="E32" s="25">
        <f>IFERROR((1/INDEX($AQ$26:$AQ$156,ROW()-25)-INDEX($AU$26:$AU$156,ROW()-25)/100)*10000,"")</f>
        <v/>
      </c>
      <c r="F32" s="25">
        <f>IFERROR((1/INDEX($AY$26:$AY$156,ROW()-25)-INDEX($BC$26:$BC$156,ROW()-25)/100)*10000,"")</f>
        <v/>
      </c>
    </row>
    <row r="33">
      <c r="A33" s="43">
        <f>IFERROR(INDEX($R$26:$R$156,ROW()-25),"")</f>
        <v/>
      </c>
      <c r="B33" s="25">
        <f>IFERROR((1/INDEX($S$26:$S$156,ROW()-25)-INDEX($W$26:$W$156,ROW()-25)/100)*10000,"")</f>
        <v/>
      </c>
      <c r="C33" s="25">
        <f>IFERROR((1/INDEX($AA$26:$AA$156,ROW()-25)-INDEX($AE$26:$AE$156,ROW()-25)/100)*10000,"")</f>
        <v/>
      </c>
      <c r="D33" s="25">
        <f>IFERROR((1/INDEX($AI$26:$AI$156,ROW()-25)-INDEX($AM$26:$AM$156,ROW()-25)/100)*10000,"")</f>
        <v/>
      </c>
      <c r="E33" s="25">
        <f>IFERROR((1/INDEX($AQ$26:$AQ$156,ROW()-25)-INDEX($AU$26:$AU$156,ROW()-25)/100)*10000,"")</f>
        <v/>
      </c>
      <c r="F33" s="25">
        <f>IFERROR((1/INDEX($AY$26:$AY$156,ROW()-25)-INDEX($BC$26:$BC$156,ROW()-25)/100)*10000,"")</f>
        <v/>
      </c>
    </row>
    <row r="34">
      <c r="A34" s="43">
        <f>IFERROR(INDEX($R$26:$R$156,ROW()-25),"")</f>
        <v/>
      </c>
      <c r="B34" s="25">
        <f>IFERROR((1/INDEX($S$26:$S$156,ROW()-25)-INDEX($W$26:$W$156,ROW()-25)/100)*10000,"")</f>
        <v/>
      </c>
      <c r="C34" s="25">
        <f>IFERROR((1/INDEX($AA$26:$AA$156,ROW()-25)-INDEX($AE$26:$AE$156,ROW()-25)/100)*10000,"")</f>
        <v/>
      </c>
      <c r="D34" s="25">
        <f>IFERROR((1/INDEX($AI$26:$AI$156,ROW()-25)-INDEX($AM$26:$AM$156,ROW()-25)/100)*10000,"")</f>
        <v/>
      </c>
      <c r="E34" s="25">
        <f>IFERROR((1/INDEX($AQ$26:$AQ$156,ROW()-25)-INDEX($AU$26:$AU$156,ROW()-25)/100)*10000,"")</f>
        <v/>
      </c>
      <c r="F34" s="25">
        <f>IFERROR((1/INDEX($AY$26:$AY$156,ROW()-25)-INDEX($BC$26:$BC$156,ROW()-25)/100)*10000,"")</f>
        <v/>
      </c>
    </row>
    <row r="35">
      <c r="A35" s="43">
        <f>IFERROR(INDEX($R$26:$R$156,ROW()-25),"")</f>
        <v/>
      </c>
      <c r="B35" s="25">
        <f>IFERROR((1/INDEX($S$26:$S$156,ROW()-25)-INDEX($W$26:$W$156,ROW()-25)/100)*10000,"")</f>
        <v/>
      </c>
      <c r="C35" s="25">
        <f>IFERROR((1/INDEX($AA$26:$AA$156,ROW()-25)-INDEX($AE$26:$AE$156,ROW()-25)/100)*10000,"")</f>
        <v/>
      </c>
      <c r="D35" s="25">
        <f>IFERROR((1/INDEX($AI$26:$AI$156,ROW()-25)-INDEX($AM$26:$AM$156,ROW()-25)/100)*10000,"")</f>
        <v/>
      </c>
      <c r="E35" s="25">
        <f>IFERROR((1/INDEX($AQ$26:$AQ$156,ROW()-25)-INDEX($AU$26:$AU$156,ROW()-25)/100)*10000,"")</f>
        <v/>
      </c>
      <c r="F35" s="25">
        <f>IFERROR((1/INDEX($AY$26:$AY$156,ROW()-25)-INDEX($BC$26:$BC$156,ROW()-25)/100)*10000,"")</f>
        <v/>
      </c>
    </row>
    <row r="36">
      <c r="A36" s="43">
        <f>IFERROR(INDEX($R$26:$R$156,ROW()-25),"")</f>
        <v/>
      </c>
      <c r="B36" s="25">
        <f>IFERROR((1/INDEX($S$26:$S$156,ROW()-25)-INDEX($W$26:$W$156,ROW()-25)/100)*10000,"")</f>
        <v/>
      </c>
      <c r="C36" s="25">
        <f>IFERROR((1/INDEX($AA$26:$AA$156,ROW()-25)-INDEX($AE$26:$AE$156,ROW()-25)/100)*10000,"")</f>
        <v/>
      </c>
      <c r="D36" s="25">
        <f>IFERROR((1/INDEX($AI$26:$AI$156,ROW()-25)-INDEX($AM$26:$AM$156,ROW()-25)/100)*10000,"")</f>
        <v/>
      </c>
      <c r="E36" s="25">
        <f>IFERROR((1/INDEX($AQ$26:$AQ$156,ROW()-25)-INDEX($AU$26:$AU$156,ROW()-25)/100)*10000,"")</f>
        <v/>
      </c>
      <c r="F36" s="25">
        <f>IFERROR((1/INDEX($AY$26:$AY$156,ROW()-25)-INDEX($BC$26:$BC$156,ROW()-25)/100)*10000,"")</f>
        <v/>
      </c>
    </row>
    <row r="37">
      <c r="A37" s="43">
        <f>IFERROR(INDEX($R$26:$R$156,ROW()-25),"")</f>
        <v/>
      </c>
      <c r="B37" s="25">
        <f>IFERROR((1/INDEX($S$26:$S$156,ROW()-25)-INDEX($W$26:$W$156,ROW()-25)/100)*10000,"")</f>
        <v/>
      </c>
      <c r="C37" s="25">
        <f>IFERROR((1/INDEX($AA$26:$AA$156,ROW()-25)-INDEX($AE$26:$AE$156,ROW()-25)/100)*10000,"")</f>
        <v/>
      </c>
      <c r="D37" s="25">
        <f>IFERROR((1/INDEX($AI$26:$AI$156,ROW()-25)-INDEX($AM$26:$AM$156,ROW()-25)/100)*10000,"")</f>
        <v/>
      </c>
      <c r="E37" s="25">
        <f>IFERROR((1/INDEX($AQ$26:$AQ$156,ROW()-25)-INDEX($AU$26:$AU$156,ROW()-25)/100)*10000,"")</f>
        <v/>
      </c>
      <c r="F37" s="25">
        <f>IFERROR((1/INDEX($AY$26:$AY$156,ROW()-25)-INDEX($BC$26:$BC$156,ROW()-25)/100)*10000,"")</f>
        <v/>
      </c>
    </row>
    <row r="38">
      <c r="A38" s="43">
        <f>IFERROR(INDEX($R$26:$R$156,ROW()-25),"")</f>
        <v/>
      </c>
      <c r="B38" s="25">
        <f>IFERROR((1/INDEX($S$26:$S$156,ROW()-25)-INDEX($W$26:$W$156,ROW()-25)/100)*10000,"")</f>
        <v/>
      </c>
      <c r="C38" s="25">
        <f>IFERROR((1/INDEX($AA$26:$AA$156,ROW()-25)-INDEX($AE$26:$AE$156,ROW()-25)/100)*10000,"")</f>
        <v/>
      </c>
      <c r="D38" s="25">
        <f>IFERROR((1/INDEX($AI$26:$AI$156,ROW()-25)-INDEX($AM$26:$AM$156,ROW()-25)/100)*10000,"")</f>
        <v/>
      </c>
      <c r="E38" s="25">
        <f>IFERROR((1/INDEX($AQ$26:$AQ$156,ROW()-25)-INDEX($AU$26:$AU$156,ROW()-25)/100)*10000,"")</f>
        <v/>
      </c>
      <c r="F38" s="25">
        <f>IFERROR((1/INDEX($AY$26:$AY$156,ROW()-25)-INDEX($BC$26:$BC$156,ROW()-25)/100)*10000,"")</f>
        <v/>
      </c>
    </row>
    <row r="39">
      <c r="A39" s="43">
        <f>IFERROR(INDEX($R$26:$R$156,ROW()-25),"")</f>
        <v/>
      </c>
      <c r="B39" s="25">
        <f>IFERROR((1/INDEX($S$26:$S$156,ROW()-25)-INDEX($W$26:$W$156,ROW()-25)/100)*10000,"")</f>
        <v/>
      </c>
      <c r="C39" s="25">
        <f>IFERROR((1/INDEX($AA$26:$AA$156,ROW()-25)-INDEX($AE$26:$AE$156,ROW()-25)/100)*10000,"")</f>
        <v/>
      </c>
      <c r="D39" s="25">
        <f>IFERROR((1/INDEX($AI$26:$AI$156,ROW()-25)-INDEX($AM$26:$AM$156,ROW()-25)/100)*10000,"")</f>
        <v/>
      </c>
      <c r="E39" s="25">
        <f>IFERROR((1/INDEX($AQ$26:$AQ$156,ROW()-25)-INDEX($AU$26:$AU$156,ROW()-25)/100)*10000,"")</f>
        <v/>
      </c>
      <c r="F39" s="25">
        <f>IFERROR((1/INDEX($AY$26:$AY$156,ROW()-25)-INDEX($BC$26:$BC$156,ROW()-25)/100)*10000,"")</f>
        <v/>
      </c>
    </row>
    <row r="40">
      <c r="A40" s="43">
        <f>IFERROR(INDEX($R$26:$R$156,ROW()-25),"")</f>
        <v/>
      </c>
      <c r="B40" s="25">
        <f>IFERROR((1/INDEX($S$26:$S$156,ROW()-25)-INDEX($W$26:$W$156,ROW()-25)/100)*10000,"")</f>
        <v/>
      </c>
      <c r="C40" s="25">
        <f>IFERROR((1/INDEX($AA$26:$AA$156,ROW()-25)-INDEX($AE$26:$AE$156,ROW()-25)/100)*10000,"")</f>
        <v/>
      </c>
      <c r="D40" s="25">
        <f>IFERROR((1/INDEX($AI$26:$AI$156,ROW()-25)-INDEX($AM$26:$AM$156,ROW()-25)/100)*10000,"")</f>
        <v/>
      </c>
      <c r="E40" s="25">
        <f>IFERROR((1/INDEX($AQ$26:$AQ$156,ROW()-25)-INDEX($AU$26:$AU$156,ROW()-25)/100)*10000,"")</f>
        <v/>
      </c>
      <c r="F40" s="25">
        <f>IFERROR((1/INDEX($AY$26:$AY$156,ROW()-25)-INDEX($BC$26:$BC$156,ROW()-25)/100)*10000,"")</f>
        <v/>
      </c>
    </row>
    <row r="41">
      <c r="A41" s="43">
        <f>IFERROR(INDEX($R$26:$R$156,ROW()-25),"")</f>
        <v/>
      </c>
      <c r="B41" s="25">
        <f>IFERROR((1/INDEX($S$26:$S$156,ROW()-25)-INDEX($W$26:$W$156,ROW()-25)/100)*10000,"")</f>
        <v/>
      </c>
      <c r="C41" s="25">
        <f>IFERROR((1/INDEX($AA$26:$AA$156,ROW()-25)-INDEX($AE$26:$AE$156,ROW()-25)/100)*10000,"")</f>
        <v/>
      </c>
      <c r="D41" s="25">
        <f>IFERROR((1/INDEX($AI$26:$AI$156,ROW()-25)-INDEX($AM$26:$AM$156,ROW()-25)/100)*10000,"")</f>
        <v/>
      </c>
      <c r="E41" s="25">
        <f>IFERROR((1/INDEX($AQ$26:$AQ$156,ROW()-25)-INDEX($AU$26:$AU$156,ROW()-25)/100)*10000,"")</f>
        <v/>
      </c>
      <c r="F41" s="25">
        <f>IFERROR((1/INDEX($AY$26:$AY$156,ROW()-25)-INDEX($BC$26:$BC$156,ROW()-25)/100)*10000,"")</f>
        <v/>
      </c>
    </row>
    <row r="42">
      <c r="A42" s="43">
        <f>IFERROR(INDEX($R$26:$R$156,ROW()-25),"")</f>
        <v/>
      </c>
      <c r="B42" s="25">
        <f>IFERROR((1/INDEX($S$26:$S$156,ROW()-25)-INDEX($W$26:$W$156,ROW()-25)/100)*10000,"")</f>
        <v/>
      </c>
      <c r="C42" s="25">
        <f>IFERROR((1/INDEX($AA$26:$AA$156,ROW()-25)-INDEX($AE$26:$AE$156,ROW()-25)/100)*10000,"")</f>
        <v/>
      </c>
      <c r="D42" s="25">
        <f>IFERROR((1/INDEX($AI$26:$AI$156,ROW()-25)-INDEX($AM$26:$AM$156,ROW()-25)/100)*10000,"")</f>
        <v/>
      </c>
      <c r="E42" s="25">
        <f>IFERROR((1/INDEX($AQ$26:$AQ$156,ROW()-25)-INDEX($AU$26:$AU$156,ROW()-25)/100)*10000,"")</f>
        <v/>
      </c>
      <c r="F42" s="25">
        <f>IFERROR((1/INDEX($AY$26:$AY$156,ROW()-25)-INDEX($BC$26:$BC$156,ROW()-25)/100)*10000,"")</f>
        <v/>
      </c>
    </row>
    <row r="43">
      <c r="A43" s="43">
        <f>IFERROR(INDEX($R$26:$R$156,ROW()-25),"")</f>
        <v/>
      </c>
      <c r="B43" s="25">
        <f>IFERROR((1/INDEX($S$26:$S$156,ROW()-25)-INDEX($W$26:$W$156,ROW()-25)/100)*10000,"")</f>
        <v/>
      </c>
      <c r="C43" s="25">
        <f>IFERROR((1/INDEX($AA$26:$AA$156,ROW()-25)-INDEX($AE$26:$AE$156,ROW()-25)/100)*10000,"")</f>
        <v/>
      </c>
      <c r="D43" s="25">
        <f>IFERROR((1/INDEX($AI$26:$AI$156,ROW()-25)-INDEX($AM$26:$AM$156,ROW()-25)/100)*10000,"")</f>
        <v/>
      </c>
      <c r="E43" s="25">
        <f>IFERROR((1/INDEX($AQ$26:$AQ$156,ROW()-25)-INDEX($AU$26:$AU$156,ROW()-25)/100)*10000,"")</f>
        <v/>
      </c>
      <c r="F43" s="25">
        <f>IFERROR((1/INDEX($AY$26:$AY$156,ROW()-25)-INDEX($BC$26:$BC$156,ROW()-25)/100)*10000,"")</f>
        <v/>
      </c>
    </row>
    <row r="44">
      <c r="A44" s="43">
        <f>IFERROR(INDEX($R$26:$R$156,ROW()-25),"")</f>
        <v/>
      </c>
      <c r="B44" s="25">
        <f>IFERROR((1/INDEX($S$26:$S$156,ROW()-25)-INDEX($W$26:$W$156,ROW()-25)/100)*10000,"")</f>
        <v/>
      </c>
      <c r="C44" s="25">
        <f>IFERROR((1/INDEX($AA$26:$AA$156,ROW()-25)-INDEX($AE$26:$AE$156,ROW()-25)/100)*10000,"")</f>
        <v/>
      </c>
      <c r="D44" s="25">
        <f>IFERROR((1/INDEX($AI$26:$AI$156,ROW()-25)-INDEX($AM$26:$AM$156,ROW()-25)/100)*10000,"")</f>
        <v/>
      </c>
      <c r="E44" s="25">
        <f>IFERROR((1/INDEX($AQ$26:$AQ$156,ROW()-25)-INDEX($AU$26:$AU$156,ROW()-25)/100)*10000,"")</f>
        <v/>
      </c>
      <c r="F44" s="25">
        <f>IFERROR((1/INDEX($AY$26:$AY$156,ROW()-25)-INDEX($BC$26:$BC$156,ROW()-25)/100)*10000,"")</f>
        <v/>
      </c>
    </row>
    <row r="45">
      <c r="A45" s="43">
        <f>IFERROR(INDEX($R$26:$R$156,ROW()-25),"")</f>
        <v/>
      </c>
      <c r="B45" s="25">
        <f>IFERROR((1/INDEX($S$26:$S$156,ROW()-25)-INDEX($W$26:$W$156,ROW()-25)/100)*10000,"")</f>
        <v/>
      </c>
      <c r="C45" s="25">
        <f>IFERROR((1/INDEX($AA$26:$AA$156,ROW()-25)-INDEX($AE$26:$AE$156,ROW()-25)/100)*10000,"")</f>
        <v/>
      </c>
      <c r="D45" s="25">
        <f>IFERROR((1/INDEX($AI$26:$AI$156,ROW()-25)-INDEX($AM$26:$AM$156,ROW()-25)/100)*10000,"")</f>
        <v/>
      </c>
      <c r="E45" s="25">
        <f>IFERROR((1/INDEX($AQ$26:$AQ$156,ROW()-25)-INDEX($AU$26:$AU$156,ROW()-25)/100)*10000,"")</f>
        <v/>
      </c>
      <c r="F45" s="25">
        <f>IFERROR((1/INDEX($AY$26:$AY$156,ROW()-25)-INDEX($BC$26:$BC$156,ROW()-25)/100)*10000,"")</f>
        <v/>
      </c>
    </row>
    <row r="46">
      <c r="A46" s="43">
        <f>IFERROR(INDEX($R$26:$R$156,ROW()-25),"")</f>
        <v/>
      </c>
      <c r="B46" s="25">
        <f>IFERROR((1/INDEX($S$26:$S$156,ROW()-25)-INDEX($W$26:$W$156,ROW()-25)/100)*10000,"")</f>
        <v/>
      </c>
      <c r="C46" s="25">
        <f>IFERROR((1/INDEX($AA$26:$AA$156,ROW()-25)-INDEX($AE$26:$AE$156,ROW()-25)/100)*10000,"")</f>
        <v/>
      </c>
      <c r="D46" s="25">
        <f>IFERROR((1/INDEX($AI$26:$AI$156,ROW()-25)-INDEX($AM$26:$AM$156,ROW()-25)/100)*10000,"")</f>
        <v/>
      </c>
      <c r="E46" s="25">
        <f>IFERROR((1/INDEX($AQ$26:$AQ$156,ROW()-25)-INDEX($AU$26:$AU$156,ROW()-25)/100)*10000,"")</f>
        <v/>
      </c>
      <c r="F46" s="25">
        <f>IFERROR((1/INDEX($AY$26:$AY$156,ROW()-25)-INDEX($BC$26:$BC$156,ROW()-25)/100)*10000,"")</f>
        <v/>
      </c>
    </row>
    <row r="47">
      <c r="A47" s="43">
        <f>IFERROR(INDEX($R$26:$R$156,ROW()-25),"")</f>
        <v/>
      </c>
      <c r="B47" s="25">
        <f>IFERROR((1/INDEX($S$26:$S$156,ROW()-25)-INDEX($W$26:$W$156,ROW()-25)/100)*10000,"")</f>
        <v/>
      </c>
      <c r="C47" s="25">
        <f>IFERROR((1/INDEX($AA$26:$AA$156,ROW()-25)-INDEX($AE$26:$AE$156,ROW()-25)/100)*10000,"")</f>
        <v/>
      </c>
      <c r="D47" s="25">
        <f>IFERROR((1/INDEX($AI$26:$AI$156,ROW()-25)-INDEX($AM$26:$AM$156,ROW()-25)/100)*10000,"")</f>
        <v/>
      </c>
      <c r="E47" s="25">
        <f>IFERROR((1/INDEX($AQ$26:$AQ$156,ROW()-25)-INDEX($AU$26:$AU$156,ROW()-25)/100)*10000,"")</f>
        <v/>
      </c>
      <c r="F47" s="25">
        <f>IFERROR((1/INDEX($AY$26:$AY$156,ROW()-25)-INDEX($BC$26:$BC$156,ROW()-25)/100)*10000,"")</f>
        <v/>
      </c>
    </row>
    <row r="48">
      <c r="A48" s="43">
        <f>IFERROR(INDEX($R$26:$R$156,ROW()-25),"")</f>
        <v/>
      </c>
      <c r="B48" s="25">
        <f>IFERROR((1/INDEX($S$26:$S$156,ROW()-25)-INDEX($W$26:$W$156,ROW()-25)/100)*10000,"")</f>
        <v/>
      </c>
      <c r="C48" s="25">
        <f>IFERROR((1/INDEX($AA$26:$AA$156,ROW()-25)-INDEX($AE$26:$AE$156,ROW()-25)/100)*10000,"")</f>
        <v/>
      </c>
      <c r="D48" s="25">
        <f>IFERROR((1/INDEX($AI$26:$AI$156,ROW()-25)-INDEX($AM$26:$AM$156,ROW()-25)/100)*10000,"")</f>
        <v/>
      </c>
      <c r="E48" s="25">
        <f>IFERROR((1/INDEX($AQ$26:$AQ$156,ROW()-25)-INDEX($AU$26:$AU$156,ROW()-25)/100)*10000,"")</f>
        <v/>
      </c>
      <c r="F48" s="25">
        <f>IFERROR((1/INDEX($AY$26:$AY$156,ROW()-25)-INDEX($BC$26:$BC$156,ROW()-25)/100)*10000,"")</f>
        <v/>
      </c>
    </row>
    <row r="49">
      <c r="A49" s="43">
        <f>IFERROR(INDEX($R$26:$R$156,ROW()-25),"")</f>
        <v/>
      </c>
      <c r="B49" s="25">
        <f>IFERROR((1/INDEX($S$26:$S$156,ROW()-25)-INDEX($W$26:$W$156,ROW()-25)/100)*10000,"")</f>
        <v/>
      </c>
      <c r="C49" s="25">
        <f>IFERROR((1/INDEX($AA$26:$AA$156,ROW()-25)-INDEX($AE$26:$AE$156,ROW()-25)/100)*10000,"")</f>
        <v/>
      </c>
      <c r="D49" s="25">
        <f>IFERROR((1/INDEX($AI$26:$AI$156,ROW()-25)-INDEX($AM$26:$AM$156,ROW()-25)/100)*10000,"")</f>
        <v/>
      </c>
      <c r="E49" s="25">
        <f>IFERROR((1/INDEX($AQ$26:$AQ$156,ROW()-25)-INDEX($AU$26:$AU$156,ROW()-25)/100)*10000,"")</f>
        <v/>
      </c>
      <c r="F49" s="25">
        <f>IFERROR((1/INDEX($AY$26:$AY$156,ROW()-25)-INDEX($BC$26:$BC$156,ROW()-25)/100)*10000,"")</f>
        <v/>
      </c>
    </row>
    <row r="50">
      <c r="A50" s="43">
        <f>IFERROR(INDEX($R$26:$R$156,ROW()-25),"")</f>
        <v/>
      </c>
      <c r="B50" s="25">
        <f>IFERROR((1/INDEX($S$26:$S$156,ROW()-25)-INDEX($W$26:$W$156,ROW()-25)/100)*10000,"")</f>
        <v/>
      </c>
      <c r="C50" s="25">
        <f>IFERROR((1/INDEX($AA$26:$AA$156,ROW()-25)-INDEX($AE$26:$AE$156,ROW()-25)/100)*10000,"")</f>
        <v/>
      </c>
      <c r="D50" s="25">
        <f>IFERROR((1/INDEX($AI$26:$AI$156,ROW()-25)-INDEX($AM$26:$AM$156,ROW()-25)/100)*10000,"")</f>
        <v/>
      </c>
      <c r="E50" s="25">
        <f>IFERROR((1/INDEX($AQ$26:$AQ$156,ROW()-25)-INDEX($AU$26:$AU$156,ROW()-25)/100)*10000,"")</f>
        <v/>
      </c>
      <c r="F50" s="25">
        <f>IFERROR((1/INDEX($AY$26:$AY$156,ROW()-25)-INDEX($BC$26:$BC$156,ROW()-25)/100)*10000,"")</f>
        <v/>
      </c>
    </row>
    <row r="51">
      <c r="A51" s="43">
        <f>IFERROR(INDEX($R$26:$R$156,ROW()-25),"")</f>
        <v/>
      </c>
      <c r="B51" s="25">
        <f>IFERROR((1/INDEX($S$26:$S$156,ROW()-25)-INDEX($W$26:$W$156,ROW()-25)/100)*10000,"")</f>
        <v/>
      </c>
      <c r="C51" s="25">
        <f>IFERROR((1/INDEX($AA$26:$AA$156,ROW()-25)-INDEX($AE$26:$AE$156,ROW()-25)/100)*10000,"")</f>
        <v/>
      </c>
      <c r="D51" s="25">
        <f>IFERROR((1/INDEX($AI$26:$AI$156,ROW()-25)-INDEX($AM$26:$AM$156,ROW()-25)/100)*10000,"")</f>
        <v/>
      </c>
      <c r="E51" s="25">
        <f>IFERROR((1/INDEX($AQ$26:$AQ$156,ROW()-25)-INDEX($AU$26:$AU$156,ROW()-25)/100)*10000,"")</f>
        <v/>
      </c>
      <c r="F51" s="25">
        <f>IFERROR((1/INDEX($AY$26:$AY$156,ROW()-25)-INDEX($BC$26:$BC$156,ROW()-25)/100)*10000,"")</f>
        <v/>
      </c>
    </row>
    <row r="52">
      <c r="A52" s="43">
        <f>IFERROR(INDEX($R$26:$R$156,ROW()-25),"")</f>
        <v/>
      </c>
      <c r="B52" s="25">
        <f>IFERROR((1/INDEX($S$26:$S$156,ROW()-25)-INDEX($W$26:$W$156,ROW()-25)/100)*10000,"")</f>
        <v/>
      </c>
      <c r="C52" s="25">
        <f>IFERROR((1/INDEX($AA$26:$AA$156,ROW()-25)-INDEX($AE$26:$AE$156,ROW()-25)/100)*10000,"")</f>
        <v/>
      </c>
      <c r="D52" s="25">
        <f>IFERROR((1/INDEX($AI$26:$AI$156,ROW()-25)-INDEX($AM$26:$AM$156,ROW()-25)/100)*10000,"")</f>
        <v/>
      </c>
      <c r="E52" s="25">
        <f>IFERROR((1/INDEX($AQ$26:$AQ$156,ROW()-25)-INDEX($AU$26:$AU$156,ROW()-25)/100)*10000,"")</f>
        <v/>
      </c>
      <c r="F52" s="25">
        <f>IFERROR((1/INDEX($AY$26:$AY$156,ROW()-25)-INDEX($BC$26:$BC$156,ROW()-25)/100)*10000,"")</f>
        <v/>
      </c>
    </row>
    <row r="53">
      <c r="A53" s="43">
        <f>IFERROR(INDEX($R$26:$R$156,ROW()-25),"")</f>
        <v/>
      </c>
      <c r="B53" s="25">
        <f>IFERROR((1/INDEX($S$26:$S$156,ROW()-25)-INDEX($W$26:$W$156,ROW()-25)/100)*10000,"")</f>
        <v/>
      </c>
      <c r="C53" s="25">
        <f>IFERROR((1/INDEX($AA$26:$AA$156,ROW()-25)-INDEX($AE$26:$AE$156,ROW()-25)/100)*10000,"")</f>
        <v/>
      </c>
      <c r="D53" s="25">
        <f>IFERROR((1/INDEX($AI$26:$AI$156,ROW()-25)-INDEX($AM$26:$AM$156,ROW()-25)/100)*10000,"")</f>
        <v/>
      </c>
      <c r="E53" s="25">
        <f>IFERROR((1/INDEX($AQ$26:$AQ$156,ROW()-25)-INDEX($AU$26:$AU$156,ROW()-25)/100)*10000,"")</f>
        <v/>
      </c>
      <c r="F53" s="25">
        <f>IFERROR((1/INDEX($AY$26:$AY$156,ROW()-25)-INDEX($BC$26:$BC$156,ROW()-25)/100)*10000,"")</f>
        <v/>
      </c>
    </row>
    <row r="54">
      <c r="A54" s="43">
        <f>IFERROR(INDEX($R$26:$R$156,ROW()-25),"")</f>
        <v/>
      </c>
      <c r="B54" s="25">
        <f>IFERROR((1/INDEX($S$26:$S$156,ROW()-25)-INDEX($W$26:$W$156,ROW()-25)/100)*10000,"")</f>
        <v/>
      </c>
      <c r="C54" s="25">
        <f>IFERROR((1/INDEX($AA$26:$AA$156,ROW()-25)-INDEX($AE$26:$AE$156,ROW()-25)/100)*10000,"")</f>
        <v/>
      </c>
      <c r="D54" s="25">
        <f>IFERROR((1/INDEX($AI$26:$AI$156,ROW()-25)-INDEX($AM$26:$AM$156,ROW()-25)/100)*10000,"")</f>
        <v/>
      </c>
      <c r="E54" s="25">
        <f>IFERROR((1/INDEX($AQ$26:$AQ$156,ROW()-25)-INDEX($AU$26:$AU$156,ROW()-25)/100)*10000,"")</f>
        <v/>
      </c>
      <c r="F54" s="25">
        <f>IFERROR((1/INDEX($AY$26:$AY$156,ROW()-25)-INDEX($BC$26:$BC$156,ROW()-25)/100)*10000,"")</f>
        <v/>
      </c>
    </row>
    <row r="55">
      <c r="A55" s="43">
        <f>IFERROR(INDEX($R$26:$R$156,ROW()-25),"")</f>
        <v/>
      </c>
      <c r="B55" s="25">
        <f>IFERROR((1/INDEX($S$26:$S$156,ROW()-25)-INDEX($W$26:$W$156,ROW()-25)/100)*10000,"")</f>
        <v/>
      </c>
      <c r="C55" s="25">
        <f>IFERROR((1/INDEX($AA$26:$AA$156,ROW()-25)-INDEX($AE$26:$AE$156,ROW()-25)/100)*10000,"")</f>
        <v/>
      </c>
      <c r="D55" s="25">
        <f>IFERROR((1/INDEX($AI$26:$AI$156,ROW()-25)-INDEX($AM$26:$AM$156,ROW()-25)/100)*10000,"")</f>
        <v/>
      </c>
      <c r="E55" s="25">
        <f>IFERROR((1/INDEX($AQ$26:$AQ$156,ROW()-25)-INDEX($AU$26:$AU$156,ROW()-25)/100)*10000,"")</f>
        <v/>
      </c>
      <c r="F55" s="25">
        <f>IFERROR((1/INDEX($AY$26:$AY$156,ROW()-25)-INDEX($BC$26:$BC$156,ROW()-25)/100)*10000,"")</f>
        <v/>
      </c>
    </row>
    <row r="56">
      <c r="A56" s="43">
        <f>IFERROR(INDEX($R$26:$R$156,ROW()-25),"")</f>
        <v/>
      </c>
      <c r="B56" s="25">
        <f>IFERROR((1/INDEX($S$26:$S$156,ROW()-25)-INDEX($W$26:$W$156,ROW()-25)/100)*10000,"")</f>
        <v/>
      </c>
      <c r="C56" s="25">
        <f>IFERROR((1/INDEX($AA$26:$AA$156,ROW()-25)-INDEX($AE$26:$AE$156,ROW()-25)/100)*10000,"")</f>
        <v/>
      </c>
      <c r="D56" s="25">
        <f>IFERROR((1/INDEX($AI$26:$AI$156,ROW()-25)-INDEX($AM$26:$AM$156,ROW()-25)/100)*10000,"")</f>
        <v/>
      </c>
      <c r="E56" s="25">
        <f>IFERROR((1/INDEX($AQ$26:$AQ$156,ROW()-25)-INDEX($AU$26:$AU$156,ROW()-25)/100)*10000,"")</f>
        <v/>
      </c>
      <c r="F56" s="25">
        <f>IFERROR((1/INDEX($AY$26:$AY$156,ROW()-25)-INDEX($BC$26:$BC$156,ROW()-25)/100)*10000,"")</f>
        <v/>
      </c>
    </row>
    <row r="57">
      <c r="A57" s="43">
        <f>IFERROR(INDEX($R$26:$R$156,ROW()-25),"")</f>
        <v/>
      </c>
      <c r="B57" s="25">
        <f>IFERROR((1/INDEX($S$26:$S$156,ROW()-25)-INDEX($W$26:$W$156,ROW()-25)/100)*10000,"")</f>
        <v/>
      </c>
      <c r="C57" s="25">
        <f>IFERROR((1/INDEX($AA$26:$AA$156,ROW()-25)-INDEX($AE$26:$AE$156,ROW()-25)/100)*10000,"")</f>
        <v/>
      </c>
      <c r="D57" s="25">
        <f>IFERROR((1/INDEX($AI$26:$AI$156,ROW()-25)-INDEX($AM$26:$AM$156,ROW()-25)/100)*10000,"")</f>
        <v/>
      </c>
      <c r="E57" s="25">
        <f>IFERROR((1/INDEX($AQ$26:$AQ$156,ROW()-25)-INDEX($AU$26:$AU$156,ROW()-25)/100)*10000,"")</f>
        <v/>
      </c>
      <c r="F57" s="25">
        <f>IFERROR((1/INDEX($AY$26:$AY$156,ROW()-25)-INDEX($BC$26:$BC$156,ROW()-25)/100)*10000,"")</f>
        <v/>
      </c>
    </row>
    <row r="58">
      <c r="A58" s="43">
        <f>IFERROR(INDEX($R$26:$R$156,ROW()-25),"")</f>
        <v/>
      </c>
      <c r="B58" s="25">
        <f>IFERROR((1/INDEX($S$26:$S$156,ROW()-25)-INDEX($W$26:$W$156,ROW()-25)/100)*10000,"")</f>
        <v/>
      </c>
      <c r="C58" s="25">
        <f>IFERROR((1/INDEX($AA$26:$AA$156,ROW()-25)-INDEX($AE$26:$AE$156,ROW()-25)/100)*10000,"")</f>
        <v/>
      </c>
      <c r="D58" s="25">
        <f>IFERROR((1/INDEX($AI$26:$AI$156,ROW()-25)-INDEX($AM$26:$AM$156,ROW()-25)/100)*10000,"")</f>
        <v/>
      </c>
      <c r="E58" s="25">
        <f>IFERROR((1/INDEX($AQ$26:$AQ$156,ROW()-25)-INDEX($AU$26:$AU$156,ROW()-25)/100)*10000,"")</f>
        <v/>
      </c>
      <c r="F58" s="25">
        <f>IFERROR((1/INDEX($AY$26:$AY$156,ROW()-25)-INDEX($BC$26:$BC$156,ROW()-25)/100)*10000,"")</f>
        <v/>
      </c>
    </row>
    <row r="59">
      <c r="A59" s="43">
        <f>IFERROR(INDEX($R$26:$R$156,ROW()-25),"")</f>
        <v/>
      </c>
      <c r="B59" s="25">
        <f>IFERROR((1/INDEX($S$26:$S$156,ROW()-25)-INDEX($W$26:$W$156,ROW()-25)/100)*10000,"")</f>
        <v/>
      </c>
      <c r="C59" s="25">
        <f>IFERROR((1/INDEX($AA$26:$AA$156,ROW()-25)-INDEX($AE$26:$AE$156,ROW()-25)/100)*10000,"")</f>
        <v/>
      </c>
      <c r="D59" s="25">
        <f>IFERROR((1/INDEX($AI$26:$AI$156,ROW()-25)-INDEX($AM$26:$AM$156,ROW()-25)/100)*10000,"")</f>
        <v/>
      </c>
      <c r="E59" s="25">
        <f>IFERROR((1/INDEX($AQ$26:$AQ$156,ROW()-25)-INDEX($AU$26:$AU$156,ROW()-25)/100)*10000,"")</f>
        <v/>
      </c>
      <c r="F59" s="25">
        <f>IFERROR((1/INDEX($AY$26:$AY$156,ROW()-25)-INDEX($BC$26:$BC$156,ROW()-25)/100)*10000,"")</f>
        <v/>
      </c>
    </row>
    <row r="60">
      <c r="A60" s="43">
        <f>IFERROR(INDEX($R$26:$R$156,ROW()-25),"")</f>
        <v/>
      </c>
      <c r="B60" s="25">
        <f>IFERROR((1/INDEX($S$26:$S$156,ROW()-25)-INDEX($W$26:$W$156,ROW()-25)/100)*10000,"")</f>
        <v/>
      </c>
      <c r="C60" s="25">
        <f>IFERROR((1/INDEX($AA$26:$AA$156,ROW()-25)-INDEX($AE$26:$AE$156,ROW()-25)/100)*10000,"")</f>
        <v/>
      </c>
      <c r="D60" s="25">
        <f>IFERROR((1/INDEX($AI$26:$AI$156,ROW()-25)-INDEX($AM$26:$AM$156,ROW()-25)/100)*10000,"")</f>
        <v/>
      </c>
      <c r="E60" s="25">
        <f>IFERROR((1/INDEX($AQ$26:$AQ$156,ROW()-25)-INDEX($AU$26:$AU$156,ROW()-25)/100)*10000,"")</f>
        <v/>
      </c>
      <c r="F60" s="25">
        <f>IFERROR((1/INDEX($AY$26:$AY$156,ROW()-25)-INDEX($BC$26:$BC$156,ROW()-25)/100)*10000,"")</f>
        <v/>
      </c>
    </row>
    <row r="61">
      <c r="A61" s="43">
        <f>IFERROR(INDEX($R$26:$R$156,ROW()-25),"")</f>
        <v/>
      </c>
      <c r="B61" s="25">
        <f>IFERROR((1/INDEX($S$26:$S$156,ROW()-25)-INDEX($W$26:$W$156,ROW()-25)/100)*10000,"")</f>
        <v/>
      </c>
      <c r="C61" s="25">
        <f>IFERROR((1/INDEX($AA$26:$AA$156,ROW()-25)-INDEX($AE$26:$AE$156,ROW()-25)/100)*10000,"")</f>
        <v/>
      </c>
      <c r="D61" s="25">
        <f>IFERROR((1/INDEX($AI$26:$AI$156,ROW()-25)-INDEX($AM$26:$AM$156,ROW()-25)/100)*10000,"")</f>
        <v/>
      </c>
      <c r="E61" s="25">
        <f>IFERROR((1/INDEX($AQ$26:$AQ$156,ROW()-25)-INDEX($AU$26:$AU$156,ROW()-25)/100)*10000,"")</f>
        <v/>
      </c>
      <c r="F61" s="25">
        <f>IFERROR((1/INDEX($AY$26:$AY$156,ROW()-25)-INDEX($BC$26:$BC$156,ROW()-25)/100)*10000,"")</f>
        <v/>
      </c>
    </row>
    <row r="62">
      <c r="A62" s="43">
        <f>IFERROR(INDEX($R$26:$R$156,ROW()-25),"")</f>
        <v/>
      </c>
      <c r="B62" s="25">
        <f>IFERROR((1/INDEX($S$26:$S$156,ROW()-25)-INDEX($W$26:$W$156,ROW()-25)/100)*10000,"")</f>
        <v/>
      </c>
      <c r="C62" s="25">
        <f>IFERROR((1/INDEX($AA$26:$AA$156,ROW()-25)-INDEX($AE$26:$AE$156,ROW()-25)/100)*10000,"")</f>
        <v/>
      </c>
      <c r="D62" s="25">
        <f>IFERROR((1/INDEX($AI$26:$AI$156,ROW()-25)-INDEX($AM$26:$AM$156,ROW()-25)/100)*10000,"")</f>
        <v/>
      </c>
      <c r="E62" s="25">
        <f>IFERROR((1/INDEX($AQ$26:$AQ$156,ROW()-25)-INDEX($AU$26:$AU$156,ROW()-25)/100)*10000,"")</f>
        <v/>
      </c>
      <c r="F62" s="25">
        <f>IFERROR((1/INDEX($AY$26:$AY$156,ROW()-25)-INDEX($BC$26:$BC$156,ROW()-25)/100)*10000,"")</f>
        <v/>
      </c>
    </row>
    <row r="63">
      <c r="A63" s="43">
        <f>IFERROR(INDEX($R$26:$R$156,ROW()-25),"")</f>
        <v/>
      </c>
      <c r="B63" s="25">
        <f>IFERROR((1/INDEX($S$26:$S$156,ROW()-25)-INDEX($W$26:$W$156,ROW()-25)/100)*10000,"")</f>
        <v/>
      </c>
      <c r="C63" s="25">
        <f>IFERROR((1/INDEX($AA$26:$AA$156,ROW()-25)-INDEX($AE$26:$AE$156,ROW()-25)/100)*10000,"")</f>
        <v/>
      </c>
      <c r="D63" s="25">
        <f>IFERROR((1/INDEX($AI$26:$AI$156,ROW()-25)-INDEX($AM$26:$AM$156,ROW()-25)/100)*10000,"")</f>
        <v/>
      </c>
      <c r="E63" s="25">
        <f>IFERROR((1/INDEX($AQ$26:$AQ$156,ROW()-25)-INDEX($AU$26:$AU$156,ROW()-25)/100)*10000,"")</f>
        <v/>
      </c>
      <c r="F63" s="25">
        <f>IFERROR((1/INDEX($AY$26:$AY$156,ROW()-25)-INDEX($BC$26:$BC$156,ROW()-25)/100)*10000,"")</f>
        <v/>
      </c>
    </row>
    <row r="64">
      <c r="A64" s="43">
        <f>IFERROR(INDEX($R$26:$R$156,ROW()-25),"")</f>
        <v/>
      </c>
      <c r="B64" s="25">
        <f>IFERROR((1/INDEX($S$26:$S$156,ROW()-25)-INDEX($W$26:$W$156,ROW()-25)/100)*10000,"")</f>
        <v/>
      </c>
      <c r="C64" s="25">
        <f>IFERROR((1/INDEX($AA$26:$AA$156,ROW()-25)-INDEX($AE$26:$AE$156,ROW()-25)/100)*10000,"")</f>
        <v/>
      </c>
      <c r="D64" s="25">
        <f>IFERROR((1/INDEX($AI$26:$AI$156,ROW()-25)-INDEX($AM$26:$AM$156,ROW()-25)/100)*10000,"")</f>
        <v/>
      </c>
      <c r="E64" s="25">
        <f>IFERROR((1/INDEX($AQ$26:$AQ$156,ROW()-25)-INDEX($AU$26:$AU$156,ROW()-25)/100)*10000,"")</f>
        <v/>
      </c>
      <c r="F64" s="25">
        <f>IFERROR((1/INDEX($AY$26:$AY$156,ROW()-25)-INDEX($BC$26:$BC$156,ROW()-25)/100)*10000,"")</f>
        <v/>
      </c>
    </row>
    <row r="65">
      <c r="A65" s="43">
        <f>IFERROR(INDEX($R$26:$R$156,ROW()-25),"")</f>
        <v/>
      </c>
      <c r="B65" s="25">
        <f>IFERROR((1/INDEX($S$26:$S$156,ROW()-25)-INDEX($W$26:$W$156,ROW()-25)/100)*10000,"")</f>
        <v/>
      </c>
      <c r="C65" s="25">
        <f>IFERROR((1/INDEX($AA$26:$AA$156,ROW()-25)-INDEX($AE$26:$AE$156,ROW()-25)/100)*10000,"")</f>
        <v/>
      </c>
      <c r="D65" s="25">
        <f>IFERROR((1/INDEX($AI$26:$AI$156,ROW()-25)-INDEX($AM$26:$AM$156,ROW()-25)/100)*10000,"")</f>
        <v/>
      </c>
      <c r="E65" s="25">
        <f>IFERROR((1/INDEX($AQ$26:$AQ$156,ROW()-25)-INDEX($AU$26:$AU$156,ROW()-25)/100)*10000,"")</f>
        <v/>
      </c>
      <c r="F65" s="25">
        <f>IFERROR((1/INDEX($AY$26:$AY$156,ROW()-25)-INDEX($BC$26:$BC$156,ROW()-25)/100)*10000,"")</f>
        <v/>
      </c>
    </row>
    <row r="66">
      <c r="A66" s="43">
        <f>IFERROR(INDEX($R$26:$R$156,ROW()-25),"")</f>
        <v/>
      </c>
      <c r="B66" s="25">
        <f>IFERROR((1/INDEX($S$26:$S$156,ROW()-25)-INDEX($W$26:$W$156,ROW()-25)/100)*10000,"")</f>
        <v/>
      </c>
      <c r="C66" s="25">
        <f>IFERROR((1/INDEX($AA$26:$AA$156,ROW()-25)-INDEX($AE$26:$AE$156,ROW()-25)/100)*10000,"")</f>
        <v/>
      </c>
      <c r="D66" s="25">
        <f>IFERROR((1/INDEX($AI$26:$AI$156,ROW()-25)-INDEX($AM$26:$AM$156,ROW()-25)/100)*10000,"")</f>
        <v/>
      </c>
      <c r="E66" s="25">
        <f>IFERROR((1/INDEX($AQ$26:$AQ$156,ROW()-25)-INDEX($AU$26:$AU$156,ROW()-25)/100)*10000,"")</f>
        <v/>
      </c>
      <c r="F66" s="25">
        <f>IFERROR((1/INDEX($AY$26:$AY$156,ROW()-25)-INDEX($BC$26:$BC$156,ROW()-25)/100)*10000,"")</f>
        <v/>
      </c>
    </row>
    <row r="67">
      <c r="A67" s="43">
        <f>IFERROR(INDEX($R$26:$R$156,ROW()-25),"")</f>
        <v/>
      </c>
      <c r="B67" s="25">
        <f>IFERROR((1/INDEX($S$26:$S$156,ROW()-25)-INDEX($W$26:$W$156,ROW()-25)/100)*10000,"")</f>
        <v/>
      </c>
      <c r="C67" s="25">
        <f>IFERROR((1/INDEX($AA$26:$AA$156,ROW()-25)-INDEX($AE$26:$AE$156,ROW()-25)/100)*10000,"")</f>
        <v/>
      </c>
      <c r="D67" s="25">
        <f>IFERROR((1/INDEX($AI$26:$AI$156,ROW()-25)-INDEX($AM$26:$AM$156,ROW()-25)/100)*10000,"")</f>
        <v/>
      </c>
      <c r="E67" s="25">
        <f>IFERROR((1/INDEX($AQ$26:$AQ$156,ROW()-25)-INDEX($AU$26:$AU$156,ROW()-25)/100)*10000,"")</f>
        <v/>
      </c>
      <c r="F67" s="25">
        <f>IFERROR((1/INDEX($AY$26:$AY$156,ROW()-25)-INDEX($BC$26:$BC$156,ROW()-25)/100)*10000,"")</f>
        <v/>
      </c>
    </row>
    <row r="68">
      <c r="A68" s="43">
        <f>IFERROR(INDEX($R$26:$R$156,ROW()-25),"")</f>
        <v/>
      </c>
      <c r="B68" s="25">
        <f>IFERROR((1/INDEX($S$26:$S$156,ROW()-25)-INDEX($W$26:$W$156,ROW()-25)/100)*10000,"")</f>
        <v/>
      </c>
      <c r="C68" s="25">
        <f>IFERROR((1/INDEX($AA$26:$AA$156,ROW()-25)-INDEX($AE$26:$AE$156,ROW()-25)/100)*10000,"")</f>
        <v/>
      </c>
      <c r="D68" s="25">
        <f>IFERROR((1/INDEX($AI$26:$AI$156,ROW()-25)-INDEX($AM$26:$AM$156,ROW()-25)/100)*10000,"")</f>
        <v/>
      </c>
      <c r="E68" s="25">
        <f>IFERROR((1/INDEX($AQ$26:$AQ$156,ROW()-25)-INDEX($AU$26:$AU$156,ROW()-25)/100)*10000,"")</f>
        <v/>
      </c>
      <c r="F68" s="25">
        <f>IFERROR((1/INDEX($AY$26:$AY$156,ROW()-25)-INDEX($BC$26:$BC$156,ROW()-25)/100)*10000,"")</f>
        <v/>
      </c>
    </row>
    <row r="69">
      <c r="A69" s="43">
        <f>IFERROR(INDEX($R$26:$R$156,ROW()-25),"")</f>
        <v/>
      </c>
      <c r="B69" s="25">
        <f>IFERROR((1/INDEX($S$26:$S$156,ROW()-25)-INDEX($W$26:$W$156,ROW()-25)/100)*10000,"")</f>
        <v/>
      </c>
      <c r="C69" s="25">
        <f>IFERROR((1/INDEX($AA$26:$AA$156,ROW()-25)-INDEX($AE$26:$AE$156,ROW()-25)/100)*10000,"")</f>
        <v/>
      </c>
      <c r="D69" s="25">
        <f>IFERROR((1/INDEX($AI$26:$AI$156,ROW()-25)-INDEX($AM$26:$AM$156,ROW()-25)/100)*10000,"")</f>
        <v/>
      </c>
      <c r="E69" s="25">
        <f>IFERROR((1/INDEX($AQ$26:$AQ$156,ROW()-25)-INDEX($AU$26:$AU$156,ROW()-25)/100)*10000,"")</f>
        <v/>
      </c>
      <c r="F69" s="25">
        <f>IFERROR((1/INDEX($AY$26:$AY$156,ROW()-25)-INDEX($BC$26:$BC$156,ROW()-25)/100)*10000,"")</f>
        <v/>
      </c>
    </row>
    <row r="70">
      <c r="A70" s="43">
        <f>IFERROR(INDEX($R$26:$R$156,ROW()-25),"")</f>
        <v/>
      </c>
      <c r="B70" s="25">
        <f>IFERROR((1/INDEX($S$26:$S$156,ROW()-25)-INDEX($W$26:$W$156,ROW()-25)/100)*10000,"")</f>
        <v/>
      </c>
      <c r="C70" s="25">
        <f>IFERROR((1/INDEX($AA$26:$AA$156,ROW()-25)-INDEX($AE$26:$AE$156,ROW()-25)/100)*10000,"")</f>
        <v/>
      </c>
      <c r="D70" s="25">
        <f>IFERROR((1/INDEX($AI$26:$AI$156,ROW()-25)-INDEX($AM$26:$AM$156,ROW()-25)/100)*10000,"")</f>
        <v/>
      </c>
      <c r="E70" s="25">
        <f>IFERROR((1/INDEX($AQ$26:$AQ$156,ROW()-25)-INDEX($AU$26:$AU$156,ROW()-25)/100)*10000,"")</f>
        <v/>
      </c>
      <c r="F70" s="25">
        <f>IFERROR((1/INDEX($AY$26:$AY$156,ROW()-25)-INDEX($BC$26:$BC$156,ROW()-25)/100)*10000,"")</f>
        <v/>
      </c>
    </row>
    <row r="71">
      <c r="A71" s="43">
        <f>IFERROR(INDEX($R$26:$R$156,ROW()-25),"")</f>
        <v/>
      </c>
      <c r="B71" s="25">
        <f>IFERROR((1/INDEX($S$26:$S$156,ROW()-25)-INDEX($W$26:$W$156,ROW()-25)/100)*10000,"")</f>
        <v/>
      </c>
      <c r="C71" s="25">
        <f>IFERROR((1/INDEX($AA$26:$AA$156,ROW()-25)-INDEX($AE$26:$AE$156,ROW()-25)/100)*10000,"")</f>
        <v/>
      </c>
      <c r="D71" s="25">
        <f>IFERROR((1/INDEX($AI$26:$AI$156,ROW()-25)-INDEX($AM$26:$AM$156,ROW()-25)/100)*10000,"")</f>
        <v/>
      </c>
      <c r="E71" s="25">
        <f>IFERROR((1/INDEX($AQ$26:$AQ$156,ROW()-25)-INDEX($AU$26:$AU$156,ROW()-25)/100)*10000,"")</f>
        <v/>
      </c>
      <c r="F71" s="25">
        <f>IFERROR((1/INDEX($AY$26:$AY$156,ROW()-25)-INDEX($BC$26:$BC$156,ROW()-25)/100)*10000,"")</f>
        <v/>
      </c>
    </row>
    <row r="72">
      <c r="A72" s="43">
        <f>IFERROR(INDEX($R$26:$R$156,ROW()-25),"")</f>
        <v/>
      </c>
      <c r="B72" s="25">
        <f>IFERROR((1/INDEX($S$26:$S$156,ROW()-25)-INDEX($W$26:$W$156,ROW()-25)/100)*10000,"")</f>
        <v/>
      </c>
      <c r="C72" s="25">
        <f>IFERROR((1/INDEX($AA$26:$AA$156,ROW()-25)-INDEX($AE$26:$AE$156,ROW()-25)/100)*10000,"")</f>
        <v/>
      </c>
      <c r="D72" s="25">
        <f>IFERROR((1/INDEX($AI$26:$AI$156,ROW()-25)-INDEX($AM$26:$AM$156,ROW()-25)/100)*10000,"")</f>
        <v/>
      </c>
      <c r="E72" s="25">
        <f>IFERROR((1/INDEX($AQ$26:$AQ$156,ROW()-25)-INDEX($AU$26:$AU$156,ROW()-25)/100)*10000,"")</f>
        <v/>
      </c>
      <c r="F72" s="25">
        <f>IFERROR((1/INDEX($AY$26:$AY$156,ROW()-25)-INDEX($BC$26:$BC$156,ROW()-25)/100)*10000,"")</f>
        <v/>
      </c>
    </row>
    <row r="73">
      <c r="A73" s="43">
        <f>IFERROR(INDEX($R$26:$R$156,ROW()-25),"")</f>
        <v/>
      </c>
      <c r="B73" s="25">
        <f>IFERROR((1/INDEX($S$26:$S$156,ROW()-25)-INDEX($W$26:$W$156,ROW()-25)/100)*10000,"")</f>
        <v/>
      </c>
      <c r="C73" s="25">
        <f>IFERROR((1/INDEX($AA$26:$AA$156,ROW()-25)-INDEX($AE$26:$AE$156,ROW()-25)/100)*10000,"")</f>
        <v/>
      </c>
      <c r="D73" s="25">
        <f>IFERROR((1/INDEX($AI$26:$AI$156,ROW()-25)-INDEX($AM$26:$AM$156,ROW()-25)/100)*10000,"")</f>
        <v/>
      </c>
      <c r="E73" s="25">
        <f>IFERROR((1/INDEX($AQ$26:$AQ$156,ROW()-25)-INDEX($AU$26:$AU$156,ROW()-25)/100)*10000,"")</f>
        <v/>
      </c>
      <c r="F73" s="25">
        <f>IFERROR((1/INDEX($AY$26:$AY$156,ROW()-25)-INDEX($BC$26:$BC$156,ROW()-25)/100)*10000,"")</f>
        <v/>
      </c>
    </row>
    <row r="74">
      <c r="A74" s="43">
        <f>IFERROR(INDEX($R$26:$R$156,ROW()-25),"")</f>
        <v/>
      </c>
      <c r="B74" s="25">
        <f>IFERROR((1/INDEX($S$26:$S$156,ROW()-25)-INDEX($W$26:$W$156,ROW()-25)/100)*10000,"")</f>
        <v/>
      </c>
      <c r="C74" s="25">
        <f>IFERROR((1/INDEX($AA$26:$AA$156,ROW()-25)-INDEX($AE$26:$AE$156,ROW()-25)/100)*10000,"")</f>
        <v/>
      </c>
      <c r="D74" s="25">
        <f>IFERROR((1/INDEX($AI$26:$AI$156,ROW()-25)-INDEX($AM$26:$AM$156,ROW()-25)/100)*10000,"")</f>
        <v/>
      </c>
      <c r="E74" s="25">
        <f>IFERROR((1/INDEX($AQ$26:$AQ$156,ROW()-25)-INDEX($AU$26:$AU$156,ROW()-25)/100)*10000,"")</f>
        <v/>
      </c>
      <c r="F74" s="25">
        <f>IFERROR((1/INDEX($AY$26:$AY$156,ROW()-25)-INDEX($BC$26:$BC$156,ROW()-25)/100)*10000,"")</f>
        <v/>
      </c>
    </row>
    <row r="75">
      <c r="A75" s="43">
        <f>IFERROR(INDEX($R$26:$R$156,ROW()-25),"")</f>
        <v/>
      </c>
      <c r="B75" s="25">
        <f>IFERROR((1/INDEX($S$26:$S$156,ROW()-25)-INDEX($W$26:$W$156,ROW()-25)/100)*10000,"")</f>
        <v/>
      </c>
      <c r="C75" s="25">
        <f>IFERROR((1/INDEX($AA$26:$AA$156,ROW()-25)-INDEX($AE$26:$AE$156,ROW()-25)/100)*10000,"")</f>
        <v/>
      </c>
      <c r="D75" s="25">
        <f>IFERROR((1/INDEX($AI$26:$AI$156,ROW()-25)-INDEX($AM$26:$AM$156,ROW()-25)/100)*10000,"")</f>
        <v/>
      </c>
      <c r="E75" s="25">
        <f>IFERROR((1/INDEX($AQ$26:$AQ$156,ROW()-25)-INDEX($AU$26:$AU$156,ROW()-25)/100)*10000,"")</f>
        <v/>
      </c>
      <c r="F75" s="25">
        <f>IFERROR((1/INDEX($AY$26:$AY$156,ROW()-25)-INDEX($BC$26:$BC$156,ROW()-25)/100)*10000,"")</f>
        <v/>
      </c>
    </row>
    <row r="76">
      <c r="A76" s="43">
        <f>IFERROR(INDEX($R$26:$R$156,ROW()-25),"")</f>
        <v/>
      </c>
      <c r="B76" s="25">
        <f>IFERROR((1/INDEX($S$26:$S$156,ROW()-25)-INDEX($W$26:$W$156,ROW()-25)/100)*10000,"")</f>
        <v/>
      </c>
      <c r="C76" s="25">
        <f>IFERROR((1/INDEX($AA$26:$AA$156,ROW()-25)-INDEX($AE$26:$AE$156,ROW()-25)/100)*10000,"")</f>
        <v/>
      </c>
      <c r="D76" s="25">
        <f>IFERROR((1/INDEX($AI$26:$AI$156,ROW()-25)-INDEX($AM$26:$AM$156,ROW()-25)/100)*10000,"")</f>
        <v/>
      </c>
      <c r="E76" s="25">
        <f>IFERROR((1/INDEX($AQ$26:$AQ$156,ROW()-25)-INDEX($AU$26:$AU$156,ROW()-25)/100)*10000,"")</f>
        <v/>
      </c>
      <c r="F76" s="25">
        <f>IFERROR((1/INDEX($AY$26:$AY$156,ROW()-25)-INDEX($BC$26:$BC$156,ROW()-25)/100)*10000,"")</f>
        <v/>
      </c>
    </row>
    <row r="77">
      <c r="A77" s="43">
        <f>IFERROR(INDEX($R$26:$R$156,ROW()-25),"")</f>
        <v/>
      </c>
      <c r="B77" s="25">
        <f>IFERROR((1/INDEX($S$26:$S$156,ROW()-25)-INDEX($W$26:$W$156,ROW()-25)/100)*10000,"")</f>
        <v/>
      </c>
      <c r="C77" s="25">
        <f>IFERROR((1/INDEX($AA$26:$AA$156,ROW()-25)-INDEX($AE$26:$AE$156,ROW()-25)/100)*10000,"")</f>
        <v/>
      </c>
      <c r="D77" s="25">
        <f>IFERROR((1/INDEX($AI$26:$AI$156,ROW()-25)-INDEX($AM$26:$AM$156,ROW()-25)/100)*10000,"")</f>
        <v/>
      </c>
      <c r="E77" s="25">
        <f>IFERROR((1/INDEX($AQ$26:$AQ$156,ROW()-25)-INDEX($AU$26:$AU$156,ROW()-25)/100)*10000,"")</f>
        <v/>
      </c>
      <c r="F77" s="25">
        <f>IFERROR((1/INDEX($AY$26:$AY$156,ROW()-25)-INDEX($BC$26:$BC$156,ROW()-25)/100)*10000,"")</f>
        <v/>
      </c>
    </row>
    <row r="78">
      <c r="A78" s="43">
        <f>IFERROR(INDEX($R$26:$R$156,ROW()-25),"")</f>
        <v/>
      </c>
      <c r="B78" s="25">
        <f>IFERROR((1/INDEX($S$26:$S$156,ROW()-25)-INDEX($W$26:$W$156,ROW()-25)/100)*10000,"")</f>
        <v/>
      </c>
      <c r="C78" s="25">
        <f>IFERROR((1/INDEX($AA$26:$AA$156,ROW()-25)-INDEX($AE$26:$AE$156,ROW()-25)/100)*10000,"")</f>
        <v/>
      </c>
      <c r="D78" s="25">
        <f>IFERROR((1/INDEX($AI$26:$AI$156,ROW()-25)-INDEX($AM$26:$AM$156,ROW()-25)/100)*10000,"")</f>
        <v/>
      </c>
      <c r="E78" s="25">
        <f>IFERROR((1/INDEX($AQ$26:$AQ$156,ROW()-25)-INDEX($AU$26:$AU$156,ROW()-25)/100)*10000,"")</f>
        <v/>
      </c>
      <c r="F78" s="25">
        <f>IFERROR((1/INDEX($AY$26:$AY$156,ROW()-25)-INDEX($BC$26:$BC$156,ROW()-25)/100)*10000,"")</f>
        <v/>
      </c>
    </row>
    <row r="79">
      <c r="A79" s="43">
        <f>IFERROR(INDEX($R$26:$R$156,ROW()-25),"")</f>
        <v/>
      </c>
      <c r="B79" s="25">
        <f>IFERROR((1/INDEX($S$26:$S$156,ROW()-25)-INDEX($W$26:$W$156,ROW()-25)/100)*10000,"")</f>
        <v/>
      </c>
      <c r="C79" s="25">
        <f>IFERROR((1/INDEX($AA$26:$AA$156,ROW()-25)-INDEX($AE$26:$AE$156,ROW()-25)/100)*10000,"")</f>
        <v/>
      </c>
      <c r="D79" s="25">
        <f>IFERROR((1/INDEX($AI$26:$AI$156,ROW()-25)-INDEX($AM$26:$AM$156,ROW()-25)/100)*10000,"")</f>
        <v/>
      </c>
      <c r="E79" s="25">
        <f>IFERROR((1/INDEX($AQ$26:$AQ$156,ROW()-25)-INDEX($AU$26:$AU$156,ROW()-25)/100)*10000,"")</f>
        <v/>
      </c>
      <c r="F79" s="25">
        <f>IFERROR((1/INDEX($AY$26:$AY$156,ROW()-25)-INDEX($BC$26:$BC$156,ROW()-25)/100)*10000,"")</f>
        <v/>
      </c>
    </row>
    <row r="80">
      <c r="A80" s="43">
        <f>IFERROR(INDEX($R$26:$R$156,ROW()-25),"")</f>
        <v/>
      </c>
      <c r="B80" s="25">
        <f>IFERROR((1/INDEX($S$26:$S$156,ROW()-25)-INDEX($W$26:$W$156,ROW()-25)/100)*10000,"")</f>
        <v/>
      </c>
      <c r="C80" s="25">
        <f>IFERROR((1/INDEX($AA$26:$AA$156,ROW()-25)-INDEX($AE$26:$AE$156,ROW()-25)/100)*10000,"")</f>
        <v/>
      </c>
      <c r="D80" s="25">
        <f>IFERROR((1/INDEX($AI$26:$AI$156,ROW()-25)-INDEX($AM$26:$AM$156,ROW()-25)/100)*10000,"")</f>
        <v/>
      </c>
      <c r="E80" s="25">
        <f>IFERROR((1/INDEX($AQ$26:$AQ$156,ROW()-25)-INDEX($AU$26:$AU$156,ROW()-25)/100)*10000,"")</f>
        <v/>
      </c>
      <c r="F80" s="25">
        <f>IFERROR((1/INDEX($AY$26:$AY$156,ROW()-25)-INDEX($BC$26:$BC$156,ROW()-25)/100)*10000,"")</f>
        <v/>
      </c>
    </row>
    <row r="81">
      <c r="A81" s="43">
        <f>IFERROR(INDEX($R$26:$R$156,ROW()-25),"")</f>
        <v/>
      </c>
      <c r="B81" s="25">
        <f>IFERROR((1/INDEX($S$26:$S$156,ROW()-25)-INDEX($W$26:$W$156,ROW()-25)/100)*10000,"")</f>
        <v/>
      </c>
      <c r="C81" s="25">
        <f>IFERROR((1/INDEX($AA$26:$AA$156,ROW()-25)-INDEX($AE$26:$AE$156,ROW()-25)/100)*10000,"")</f>
        <v/>
      </c>
      <c r="D81" s="25">
        <f>IFERROR((1/INDEX($AI$26:$AI$156,ROW()-25)-INDEX($AM$26:$AM$156,ROW()-25)/100)*10000,"")</f>
        <v/>
      </c>
      <c r="E81" s="25">
        <f>IFERROR((1/INDEX($AQ$26:$AQ$156,ROW()-25)-INDEX($AU$26:$AU$156,ROW()-25)/100)*10000,"")</f>
        <v/>
      </c>
      <c r="F81" s="25">
        <f>IFERROR((1/INDEX($AY$26:$AY$156,ROW()-25)-INDEX($BC$26:$BC$156,ROW()-25)/100)*10000,"")</f>
        <v/>
      </c>
    </row>
    <row r="82">
      <c r="A82" s="43">
        <f>IFERROR(INDEX($R$26:$R$156,ROW()-25),"")</f>
        <v/>
      </c>
      <c r="B82" s="25">
        <f>IFERROR((1/INDEX($S$26:$S$156,ROW()-25)-INDEX($W$26:$W$156,ROW()-25)/100)*10000,"")</f>
        <v/>
      </c>
      <c r="C82" s="25">
        <f>IFERROR((1/INDEX($AA$26:$AA$156,ROW()-25)-INDEX($AE$26:$AE$156,ROW()-25)/100)*10000,"")</f>
        <v/>
      </c>
      <c r="D82" s="25">
        <f>IFERROR((1/INDEX($AI$26:$AI$156,ROW()-25)-INDEX($AM$26:$AM$156,ROW()-25)/100)*10000,"")</f>
        <v/>
      </c>
      <c r="E82" s="25">
        <f>IFERROR((1/INDEX($AQ$26:$AQ$156,ROW()-25)-INDEX($AU$26:$AU$156,ROW()-25)/100)*10000,"")</f>
        <v/>
      </c>
      <c r="F82" s="25">
        <f>IFERROR((1/INDEX($AY$26:$AY$156,ROW()-25)-INDEX($BC$26:$BC$156,ROW()-25)/100)*10000,"")</f>
        <v/>
      </c>
    </row>
    <row r="83">
      <c r="A83" s="43">
        <f>IFERROR(INDEX($R$26:$R$156,ROW()-25),"")</f>
        <v/>
      </c>
      <c r="B83" s="25">
        <f>IFERROR((1/INDEX($S$26:$S$156,ROW()-25)-INDEX($W$26:$W$156,ROW()-25)/100)*10000,"")</f>
        <v/>
      </c>
      <c r="C83" s="25">
        <f>IFERROR((1/INDEX($AA$26:$AA$156,ROW()-25)-INDEX($AE$26:$AE$156,ROW()-25)/100)*10000,"")</f>
        <v/>
      </c>
      <c r="D83" s="25">
        <f>IFERROR((1/INDEX($AI$26:$AI$156,ROW()-25)-INDEX($AM$26:$AM$156,ROW()-25)/100)*10000,"")</f>
        <v/>
      </c>
      <c r="E83" s="25">
        <f>IFERROR((1/INDEX($AQ$26:$AQ$156,ROW()-25)-INDEX($AU$26:$AU$156,ROW()-25)/100)*10000,"")</f>
        <v/>
      </c>
      <c r="F83" s="25">
        <f>IFERROR((1/INDEX($AY$26:$AY$156,ROW()-25)-INDEX($BC$26:$BC$156,ROW()-25)/100)*10000,"")</f>
        <v/>
      </c>
    </row>
    <row r="84">
      <c r="A84" s="43">
        <f>IFERROR(INDEX($R$26:$R$156,ROW()-25),"")</f>
        <v/>
      </c>
      <c r="B84" s="25">
        <f>IFERROR((1/INDEX($S$26:$S$156,ROW()-25)-INDEX($W$26:$W$156,ROW()-25)/100)*10000,"")</f>
        <v/>
      </c>
      <c r="C84" s="25">
        <f>IFERROR((1/INDEX($AA$26:$AA$156,ROW()-25)-INDEX($AE$26:$AE$156,ROW()-25)/100)*10000,"")</f>
        <v/>
      </c>
      <c r="D84" s="25">
        <f>IFERROR((1/INDEX($AI$26:$AI$156,ROW()-25)-INDEX($AM$26:$AM$156,ROW()-25)/100)*10000,"")</f>
        <v/>
      </c>
      <c r="E84" s="25">
        <f>IFERROR((1/INDEX($AQ$26:$AQ$156,ROW()-25)-INDEX($AU$26:$AU$156,ROW()-25)/100)*10000,"")</f>
        <v/>
      </c>
      <c r="F84" s="25">
        <f>IFERROR((1/INDEX($AY$26:$AY$156,ROW()-25)-INDEX($BC$26:$BC$156,ROW()-25)/100)*10000,"")</f>
        <v/>
      </c>
    </row>
    <row r="85">
      <c r="A85" s="43">
        <f>IFERROR(INDEX($R$26:$R$156,ROW()-25),"")</f>
        <v/>
      </c>
      <c r="B85" s="25">
        <f>IFERROR((1/INDEX($S$26:$S$156,ROW()-25)-INDEX($W$26:$W$156,ROW()-25)/100)*10000,"")</f>
        <v/>
      </c>
      <c r="C85" s="25">
        <f>IFERROR((1/INDEX($AA$26:$AA$156,ROW()-25)-INDEX($AE$26:$AE$156,ROW()-25)/100)*10000,"")</f>
        <v/>
      </c>
      <c r="D85" s="25">
        <f>IFERROR((1/INDEX($AI$26:$AI$156,ROW()-25)-INDEX($AM$26:$AM$156,ROW()-25)/100)*10000,"")</f>
        <v/>
      </c>
      <c r="E85" s="25">
        <f>IFERROR((1/INDEX($AQ$26:$AQ$156,ROW()-25)-INDEX($AU$26:$AU$156,ROW()-25)/100)*10000,"")</f>
        <v/>
      </c>
      <c r="F85" s="25">
        <f>IFERROR((1/INDEX($AY$26:$AY$156,ROW()-25)-INDEX($BC$26:$BC$156,ROW()-25)/100)*10000,"")</f>
        <v/>
      </c>
    </row>
    <row r="86">
      <c r="A86" s="43">
        <f>IFERROR(INDEX($R$26:$R$156,ROW()-25),"")</f>
        <v/>
      </c>
      <c r="B86" s="25">
        <f>IFERROR((1/INDEX($S$26:$S$156,ROW()-25)-INDEX($W$26:$W$156,ROW()-25)/100)*10000,"")</f>
        <v/>
      </c>
      <c r="C86" s="25">
        <f>IFERROR((1/INDEX($AA$26:$AA$156,ROW()-25)-INDEX($AE$26:$AE$156,ROW()-25)/100)*10000,"")</f>
        <v/>
      </c>
      <c r="D86" s="25">
        <f>IFERROR((1/INDEX($AI$26:$AI$156,ROW()-25)-INDEX($AM$26:$AM$156,ROW()-25)/100)*10000,"")</f>
        <v/>
      </c>
      <c r="E86" s="25">
        <f>IFERROR((1/INDEX($AQ$26:$AQ$156,ROW()-25)-INDEX($AU$26:$AU$156,ROW()-25)/100)*10000,"")</f>
        <v/>
      </c>
      <c r="F86" s="25">
        <f>IFERROR((1/INDEX($AY$26:$AY$156,ROW()-25)-INDEX($BC$26:$BC$156,ROW()-25)/100)*10000,"")</f>
        <v/>
      </c>
    </row>
    <row r="87">
      <c r="A87" s="43">
        <f>IFERROR(INDEX($R$26:$R$156,ROW()-25),"")</f>
        <v/>
      </c>
      <c r="B87" s="25">
        <f>IFERROR((1/INDEX($S$26:$S$156,ROW()-25)-INDEX($W$26:$W$156,ROW()-25)/100)*10000,"")</f>
        <v/>
      </c>
      <c r="C87" s="25">
        <f>IFERROR((1/INDEX($AA$26:$AA$156,ROW()-25)-INDEX($AE$26:$AE$156,ROW()-25)/100)*10000,"")</f>
        <v/>
      </c>
      <c r="D87" s="25">
        <f>IFERROR((1/INDEX($AI$26:$AI$156,ROW()-25)-INDEX($AM$26:$AM$156,ROW()-25)/100)*10000,"")</f>
        <v/>
      </c>
      <c r="E87" s="25">
        <f>IFERROR((1/INDEX($AQ$26:$AQ$156,ROW()-25)-INDEX($AU$26:$AU$156,ROW()-25)/100)*10000,"")</f>
        <v/>
      </c>
      <c r="F87" s="25">
        <f>IFERROR((1/INDEX($AY$26:$AY$156,ROW()-25)-INDEX($BC$26:$BC$156,ROW()-25)/100)*10000,"")</f>
        <v/>
      </c>
    </row>
    <row r="88">
      <c r="A88" s="43">
        <f>IFERROR(INDEX($R$26:$R$156,ROW()-25),"")</f>
        <v/>
      </c>
      <c r="B88" s="25">
        <f>IFERROR((1/INDEX($S$26:$S$156,ROW()-25)-INDEX($W$26:$W$156,ROW()-25)/100)*10000,"")</f>
        <v/>
      </c>
      <c r="C88" s="25">
        <f>IFERROR((1/INDEX($AA$26:$AA$156,ROW()-25)-INDEX($AE$26:$AE$156,ROW()-25)/100)*10000,"")</f>
        <v/>
      </c>
      <c r="D88" s="25">
        <f>IFERROR((1/INDEX($AI$26:$AI$156,ROW()-25)-INDEX($AM$26:$AM$156,ROW()-25)/100)*10000,"")</f>
        <v/>
      </c>
      <c r="E88" s="25">
        <f>IFERROR((1/INDEX($AQ$26:$AQ$156,ROW()-25)-INDEX($AU$26:$AU$156,ROW()-25)/100)*10000,"")</f>
        <v/>
      </c>
      <c r="F88" s="25">
        <f>IFERROR((1/INDEX($AY$26:$AY$156,ROW()-25)-INDEX($BC$26:$BC$156,ROW()-25)/100)*10000,"")</f>
        <v/>
      </c>
    </row>
    <row r="89">
      <c r="A89" s="43">
        <f>IFERROR(INDEX($R$26:$R$156,ROW()-25),"")</f>
        <v/>
      </c>
      <c r="B89" s="25">
        <f>IFERROR((1/INDEX($S$26:$S$156,ROW()-25)-INDEX($W$26:$W$156,ROW()-25)/100)*10000,"")</f>
        <v/>
      </c>
      <c r="C89" s="25">
        <f>IFERROR((1/INDEX($AA$26:$AA$156,ROW()-25)-INDEX($AE$26:$AE$156,ROW()-25)/100)*10000,"")</f>
        <v/>
      </c>
      <c r="D89" s="25">
        <f>IFERROR((1/INDEX($AI$26:$AI$156,ROW()-25)-INDEX($AM$26:$AM$156,ROW()-25)/100)*10000,"")</f>
        <v/>
      </c>
      <c r="E89" s="25">
        <f>IFERROR((1/INDEX($AQ$26:$AQ$156,ROW()-25)-INDEX($AU$26:$AU$156,ROW()-25)/100)*10000,"")</f>
        <v/>
      </c>
      <c r="F89" s="25">
        <f>IFERROR((1/INDEX($AY$26:$AY$156,ROW()-25)-INDEX($BC$26:$BC$156,ROW()-25)/100)*10000,"")</f>
        <v/>
      </c>
    </row>
    <row r="90">
      <c r="A90" s="43">
        <f>IFERROR(INDEX($R$26:$R$156,ROW()-25),"")</f>
        <v/>
      </c>
      <c r="B90" s="25">
        <f>IFERROR((1/INDEX($S$26:$S$156,ROW()-25)-INDEX($W$26:$W$156,ROW()-25)/100)*10000,"")</f>
        <v/>
      </c>
      <c r="C90" s="25">
        <f>IFERROR((1/INDEX($AA$26:$AA$156,ROW()-25)-INDEX($AE$26:$AE$156,ROW()-25)/100)*10000,"")</f>
        <v/>
      </c>
      <c r="D90" s="25">
        <f>IFERROR((1/INDEX($AI$26:$AI$156,ROW()-25)-INDEX($AM$26:$AM$156,ROW()-25)/100)*10000,"")</f>
        <v/>
      </c>
      <c r="E90" s="25">
        <f>IFERROR((1/INDEX($AQ$26:$AQ$156,ROW()-25)-INDEX($AU$26:$AU$156,ROW()-25)/100)*10000,"")</f>
        <v/>
      </c>
      <c r="F90" s="25">
        <f>IFERROR((1/INDEX($AY$26:$AY$156,ROW()-25)-INDEX($BC$26:$BC$156,ROW()-25)/100)*10000,"")</f>
        <v/>
      </c>
    </row>
    <row r="91">
      <c r="A91" s="43">
        <f>IFERROR(INDEX($R$26:$R$156,ROW()-25),"")</f>
        <v/>
      </c>
      <c r="B91" s="25">
        <f>IFERROR((1/INDEX($S$26:$S$156,ROW()-25)-INDEX($W$26:$W$156,ROW()-25)/100)*10000,"")</f>
        <v/>
      </c>
      <c r="C91" s="25">
        <f>IFERROR((1/INDEX($AA$26:$AA$156,ROW()-25)-INDEX($AE$26:$AE$156,ROW()-25)/100)*10000,"")</f>
        <v/>
      </c>
      <c r="D91" s="25">
        <f>IFERROR((1/INDEX($AI$26:$AI$156,ROW()-25)-INDEX($AM$26:$AM$156,ROW()-25)/100)*10000,"")</f>
        <v/>
      </c>
      <c r="E91" s="25">
        <f>IFERROR((1/INDEX($AQ$26:$AQ$156,ROW()-25)-INDEX($AU$26:$AU$156,ROW()-25)/100)*10000,"")</f>
        <v/>
      </c>
      <c r="F91" s="25">
        <f>IFERROR((1/INDEX($AY$26:$AY$156,ROW()-25)-INDEX($BC$26:$BC$156,ROW()-25)/100)*10000,"")</f>
        <v/>
      </c>
    </row>
    <row r="92">
      <c r="A92" s="43">
        <f>IFERROR(INDEX($R$26:$R$156,ROW()-25),"")</f>
        <v/>
      </c>
      <c r="B92" s="25">
        <f>IFERROR((1/INDEX($S$26:$S$156,ROW()-25)-INDEX($W$26:$W$156,ROW()-25)/100)*10000,"")</f>
        <v/>
      </c>
      <c r="C92" s="25">
        <f>IFERROR((1/INDEX($AA$26:$AA$156,ROW()-25)-INDEX($AE$26:$AE$156,ROW()-25)/100)*10000,"")</f>
        <v/>
      </c>
      <c r="D92" s="25">
        <f>IFERROR((1/INDEX($AI$26:$AI$156,ROW()-25)-INDEX($AM$26:$AM$156,ROW()-25)/100)*10000,"")</f>
        <v/>
      </c>
      <c r="E92" s="25">
        <f>IFERROR((1/INDEX($AQ$26:$AQ$156,ROW()-25)-INDEX($AU$26:$AU$156,ROW()-25)/100)*10000,"")</f>
        <v/>
      </c>
      <c r="F92" s="25">
        <f>IFERROR((1/INDEX($AY$26:$AY$156,ROW()-25)-INDEX($BC$26:$BC$156,ROW()-25)/100)*10000,"")</f>
        <v/>
      </c>
    </row>
    <row r="93">
      <c r="A93" s="43">
        <f>IFERROR(INDEX($R$26:$R$156,ROW()-25),"")</f>
        <v/>
      </c>
      <c r="B93" s="25">
        <f>IFERROR((1/INDEX($S$26:$S$156,ROW()-25)-INDEX($W$26:$W$156,ROW()-25)/100)*10000,"")</f>
        <v/>
      </c>
      <c r="C93" s="25">
        <f>IFERROR((1/INDEX($AA$26:$AA$156,ROW()-25)-INDEX($AE$26:$AE$156,ROW()-25)/100)*10000,"")</f>
        <v/>
      </c>
      <c r="D93" s="25">
        <f>IFERROR((1/INDEX($AI$26:$AI$156,ROW()-25)-INDEX($AM$26:$AM$156,ROW()-25)/100)*10000,"")</f>
        <v/>
      </c>
      <c r="E93" s="25">
        <f>IFERROR((1/INDEX($AQ$26:$AQ$156,ROW()-25)-INDEX($AU$26:$AU$156,ROW()-25)/100)*10000,"")</f>
        <v/>
      </c>
      <c r="F93" s="25">
        <f>IFERROR((1/INDEX($AY$26:$AY$156,ROW()-25)-INDEX($BC$26:$BC$156,ROW()-25)/100)*10000,"")</f>
        <v/>
      </c>
    </row>
    <row r="94">
      <c r="A94" s="43">
        <f>IFERROR(INDEX($R$26:$R$156,ROW()-25),"")</f>
        <v/>
      </c>
      <c r="B94" s="25">
        <f>IFERROR((1/INDEX($S$26:$S$156,ROW()-25)-INDEX($W$26:$W$156,ROW()-25)/100)*10000,"")</f>
        <v/>
      </c>
      <c r="C94" s="25">
        <f>IFERROR((1/INDEX($AA$26:$AA$156,ROW()-25)-INDEX($AE$26:$AE$156,ROW()-25)/100)*10000,"")</f>
        <v/>
      </c>
      <c r="D94" s="25">
        <f>IFERROR((1/INDEX($AI$26:$AI$156,ROW()-25)-INDEX($AM$26:$AM$156,ROW()-25)/100)*10000,"")</f>
        <v/>
      </c>
      <c r="E94" s="25">
        <f>IFERROR((1/INDEX($AQ$26:$AQ$156,ROW()-25)-INDEX($AU$26:$AU$156,ROW()-25)/100)*10000,"")</f>
        <v/>
      </c>
      <c r="F94" s="25">
        <f>IFERROR((1/INDEX($AY$26:$AY$156,ROW()-25)-INDEX($BC$26:$BC$156,ROW()-25)/100)*10000,"")</f>
        <v/>
      </c>
    </row>
    <row r="95">
      <c r="A95" s="43">
        <f>IFERROR(INDEX($R$26:$R$156,ROW()-25),"")</f>
        <v/>
      </c>
      <c r="B95" s="25">
        <f>IFERROR((1/INDEX($S$26:$S$156,ROW()-25)-INDEX($W$26:$W$156,ROW()-25)/100)*10000,"")</f>
        <v/>
      </c>
      <c r="C95" s="25">
        <f>IFERROR((1/INDEX($AA$26:$AA$156,ROW()-25)-INDEX($AE$26:$AE$156,ROW()-25)/100)*10000,"")</f>
        <v/>
      </c>
      <c r="D95" s="25">
        <f>IFERROR((1/INDEX($AI$26:$AI$156,ROW()-25)-INDEX($AM$26:$AM$156,ROW()-25)/100)*10000,"")</f>
        <v/>
      </c>
      <c r="E95" s="25">
        <f>IFERROR((1/INDEX($AQ$26:$AQ$156,ROW()-25)-INDEX($AU$26:$AU$156,ROW()-25)/100)*10000,"")</f>
        <v/>
      </c>
      <c r="F95" s="25">
        <f>IFERROR((1/INDEX($AY$26:$AY$156,ROW()-25)-INDEX($BC$26:$BC$156,ROW()-25)/100)*10000,"")</f>
        <v/>
      </c>
    </row>
    <row r="96">
      <c r="A96" s="43">
        <f>IFERROR(INDEX($R$26:$R$156,ROW()-25),"")</f>
        <v/>
      </c>
      <c r="B96" s="25">
        <f>IFERROR((1/INDEX($S$26:$S$156,ROW()-25)-INDEX($W$26:$W$156,ROW()-25)/100)*10000,"")</f>
        <v/>
      </c>
      <c r="C96" s="25">
        <f>IFERROR((1/INDEX($AA$26:$AA$156,ROW()-25)-INDEX($AE$26:$AE$156,ROW()-25)/100)*10000,"")</f>
        <v/>
      </c>
      <c r="D96" s="25">
        <f>IFERROR((1/INDEX($AI$26:$AI$156,ROW()-25)-INDEX($AM$26:$AM$156,ROW()-25)/100)*10000,"")</f>
        <v/>
      </c>
      <c r="E96" s="25">
        <f>IFERROR((1/INDEX($AQ$26:$AQ$156,ROW()-25)-INDEX($AU$26:$AU$156,ROW()-25)/100)*10000,"")</f>
        <v/>
      </c>
      <c r="F96" s="25">
        <f>IFERROR((1/INDEX($AY$26:$AY$156,ROW()-25)-INDEX($BC$26:$BC$156,ROW()-25)/100)*10000,"")</f>
        <v/>
      </c>
    </row>
    <row r="97">
      <c r="A97" s="43">
        <f>IFERROR(INDEX($R$26:$R$156,ROW()-25),"")</f>
        <v/>
      </c>
      <c r="B97" s="25">
        <f>IFERROR((1/INDEX($S$26:$S$156,ROW()-25)-INDEX($W$26:$W$156,ROW()-25)/100)*10000,"")</f>
        <v/>
      </c>
      <c r="C97" s="25">
        <f>IFERROR((1/INDEX($AA$26:$AA$156,ROW()-25)-INDEX($AE$26:$AE$156,ROW()-25)/100)*10000,"")</f>
        <v/>
      </c>
      <c r="D97" s="25">
        <f>IFERROR((1/INDEX($AI$26:$AI$156,ROW()-25)-INDEX($AM$26:$AM$156,ROW()-25)/100)*10000,"")</f>
        <v/>
      </c>
      <c r="E97" s="25">
        <f>IFERROR((1/INDEX($AQ$26:$AQ$156,ROW()-25)-INDEX($AU$26:$AU$156,ROW()-25)/100)*10000,"")</f>
        <v/>
      </c>
      <c r="F97" s="25">
        <f>IFERROR((1/INDEX($AY$26:$AY$156,ROW()-25)-INDEX($BC$26:$BC$156,ROW()-25)/100)*10000,"")</f>
        <v/>
      </c>
    </row>
    <row r="98">
      <c r="A98" s="43">
        <f>IFERROR(INDEX($R$26:$R$156,ROW()-25),"")</f>
        <v/>
      </c>
      <c r="B98" s="25">
        <f>IFERROR((1/INDEX($S$26:$S$156,ROW()-25)-INDEX($W$26:$W$156,ROW()-25)/100)*10000,"")</f>
        <v/>
      </c>
      <c r="C98" s="25">
        <f>IFERROR((1/INDEX($AA$26:$AA$156,ROW()-25)-INDEX($AE$26:$AE$156,ROW()-25)/100)*10000,"")</f>
        <v/>
      </c>
      <c r="D98" s="25">
        <f>IFERROR((1/INDEX($AI$26:$AI$156,ROW()-25)-INDEX($AM$26:$AM$156,ROW()-25)/100)*10000,"")</f>
        <v/>
      </c>
      <c r="E98" s="25">
        <f>IFERROR((1/INDEX($AQ$26:$AQ$156,ROW()-25)-INDEX($AU$26:$AU$156,ROW()-25)/100)*10000,"")</f>
        <v/>
      </c>
      <c r="F98" s="25">
        <f>IFERROR((1/INDEX($AY$26:$AY$156,ROW()-25)-INDEX($BC$26:$BC$156,ROW()-25)/100)*10000,"")</f>
        <v/>
      </c>
    </row>
    <row r="99">
      <c r="A99" s="43">
        <f>IFERROR(INDEX($R$26:$R$156,ROW()-25),"")</f>
        <v/>
      </c>
      <c r="B99" s="25">
        <f>IFERROR((1/INDEX($S$26:$S$156,ROW()-25)-INDEX($W$26:$W$156,ROW()-25)/100)*10000,"")</f>
        <v/>
      </c>
      <c r="C99" s="25">
        <f>IFERROR((1/INDEX($AA$26:$AA$156,ROW()-25)-INDEX($AE$26:$AE$156,ROW()-25)/100)*10000,"")</f>
        <v/>
      </c>
      <c r="D99" s="25">
        <f>IFERROR((1/INDEX($AI$26:$AI$156,ROW()-25)-INDEX($AM$26:$AM$156,ROW()-25)/100)*10000,"")</f>
        <v/>
      </c>
      <c r="E99" s="25">
        <f>IFERROR((1/INDEX($AQ$26:$AQ$156,ROW()-25)-INDEX($AU$26:$AU$156,ROW()-25)/100)*10000,"")</f>
        <v/>
      </c>
      <c r="F99" s="25">
        <f>IFERROR((1/INDEX($AY$26:$AY$156,ROW()-25)-INDEX($BC$26:$BC$156,ROW()-25)/100)*10000,"")</f>
        <v/>
      </c>
    </row>
    <row r="100">
      <c r="A100" s="43">
        <f>IFERROR(INDEX($R$26:$R$156,ROW()-25),"")</f>
        <v/>
      </c>
      <c r="B100" s="25">
        <f>IFERROR((1/INDEX($S$26:$S$156,ROW()-25)-INDEX($W$26:$W$156,ROW()-25)/100)*10000,"")</f>
        <v/>
      </c>
      <c r="C100" s="25">
        <f>IFERROR((1/INDEX($AA$26:$AA$156,ROW()-25)-INDEX($AE$26:$AE$156,ROW()-25)/100)*10000,"")</f>
        <v/>
      </c>
      <c r="D100" s="25">
        <f>IFERROR((1/INDEX($AI$26:$AI$156,ROW()-25)-INDEX($AM$26:$AM$156,ROW()-25)/100)*10000,"")</f>
        <v/>
      </c>
      <c r="E100" s="25">
        <f>IFERROR((1/INDEX($AQ$26:$AQ$156,ROW()-25)-INDEX($AU$26:$AU$156,ROW()-25)/100)*10000,"")</f>
        <v/>
      </c>
      <c r="F100" s="25">
        <f>IFERROR((1/INDEX($AY$26:$AY$156,ROW()-25)-INDEX($BC$26:$BC$156,ROW()-25)/100)*10000,"")</f>
        <v/>
      </c>
    </row>
    <row r="101">
      <c r="A101" s="43">
        <f>IFERROR(INDEX($R$26:$R$156,ROW()-25),"")</f>
        <v/>
      </c>
      <c r="B101" s="25">
        <f>IFERROR((1/INDEX($S$26:$S$156,ROW()-25)-INDEX($W$26:$W$156,ROW()-25)/100)*10000,"")</f>
        <v/>
      </c>
      <c r="C101" s="25">
        <f>IFERROR((1/INDEX($AA$26:$AA$156,ROW()-25)-INDEX($AE$26:$AE$156,ROW()-25)/100)*10000,"")</f>
        <v/>
      </c>
      <c r="D101" s="25">
        <f>IFERROR((1/INDEX($AI$26:$AI$156,ROW()-25)-INDEX($AM$26:$AM$156,ROW()-25)/100)*10000,"")</f>
        <v/>
      </c>
      <c r="E101" s="25">
        <f>IFERROR((1/INDEX($AQ$26:$AQ$156,ROW()-25)-INDEX($AU$26:$AU$156,ROW()-25)/100)*10000,"")</f>
        <v/>
      </c>
      <c r="F101" s="25">
        <f>IFERROR((1/INDEX($AY$26:$AY$156,ROW()-25)-INDEX($BC$26:$BC$156,ROW()-25)/100)*10000,"")</f>
        <v/>
      </c>
    </row>
    <row r="102">
      <c r="A102" s="43">
        <f>IFERROR(INDEX($R$26:$R$156,ROW()-25),"")</f>
        <v/>
      </c>
      <c r="B102" s="25">
        <f>IFERROR((1/INDEX($S$26:$S$156,ROW()-25)-INDEX($W$26:$W$156,ROW()-25)/100)*10000,"")</f>
        <v/>
      </c>
      <c r="C102" s="25">
        <f>IFERROR((1/INDEX($AA$26:$AA$156,ROW()-25)-INDEX($AE$26:$AE$156,ROW()-25)/100)*10000,"")</f>
        <v/>
      </c>
      <c r="D102" s="25">
        <f>IFERROR((1/INDEX($AI$26:$AI$156,ROW()-25)-INDEX($AM$26:$AM$156,ROW()-25)/100)*10000,"")</f>
        <v/>
      </c>
      <c r="E102" s="25">
        <f>IFERROR((1/INDEX($AQ$26:$AQ$156,ROW()-25)-INDEX($AU$26:$AU$156,ROW()-25)/100)*10000,"")</f>
        <v/>
      </c>
      <c r="F102" s="25">
        <f>IFERROR((1/INDEX($AY$26:$AY$156,ROW()-25)-INDEX($BC$26:$BC$156,ROW()-25)/100)*10000,"")</f>
        <v/>
      </c>
    </row>
    <row r="103">
      <c r="A103" s="43">
        <f>IFERROR(INDEX($R$26:$R$156,ROW()-25),"")</f>
        <v/>
      </c>
      <c r="B103" s="25">
        <f>IFERROR((1/INDEX($S$26:$S$156,ROW()-25)-INDEX($W$26:$W$156,ROW()-25)/100)*10000,"")</f>
        <v/>
      </c>
      <c r="C103" s="25">
        <f>IFERROR((1/INDEX($AA$26:$AA$156,ROW()-25)-INDEX($AE$26:$AE$156,ROW()-25)/100)*10000,"")</f>
        <v/>
      </c>
      <c r="D103" s="25">
        <f>IFERROR((1/INDEX($AI$26:$AI$156,ROW()-25)-INDEX($AM$26:$AM$156,ROW()-25)/100)*10000,"")</f>
        <v/>
      </c>
      <c r="E103" s="25">
        <f>IFERROR((1/INDEX($AQ$26:$AQ$156,ROW()-25)-INDEX($AU$26:$AU$156,ROW()-25)/100)*10000,"")</f>
        <v/>
      </c>
      <c r="F103" s="25">
        <f>IFERROR((1/INDEX($AY$26:$AY$156,ROW()-25)-INDEX($BC$26:$BC$156,ROW()-25)/100)*10000,"")</f>
        <v/>
      </c>
    </row>
    <row r="104">
      <c r="A104" s="43">
        <f>IFERROR(INDEX($R$26:$R$156,ROW()-25),"")</f>
        <v/>
      </c>
      <c r="B104" s="25">
        <f>IFERROR((1/INDEX($S$26:$S$156,ROW()-25)-INDEX($W$26:$W$156,ROW()-25)/100)*10000,"")</f>
        <v/>
      </c>
      <c r="C104" s="25">
        <f>IFERROR((1/INDEX($AA$26:$AA$156,ROW()-25)-INDEX($AE$26:$AE$156,ROW()-25)/100)*10000,"")</f>
        <v/>
      </c>
      <c r="D104" s="25">
        <f>IFERROR((1/INDEX($AI$26:$AI$156,ROW()-25)-INDEX($AM$26:$AM$156,ROW()-25)/100)*10000,"")</f>
        <v/>
      </c>
      <c r="E104" s="25">
        <f>IFERROR((1/INDEX($AQ$26:$AQ$156,ROW()-25)-INDEX($AU$26:$AU$156,ROW()-25)/100)*10000,"")</f>
        <v/>
      </c>
      <c r="F104" s="25">
        <f>IFERROR((1/INDEX($AY$26:$AY$156,ROW()-25)-INDEX($BC$26:$BC$156,ROW()-25)/100)*10000,"")</f>
        <v/>
      </c>
    </row>
    <row r="105">
      <c r="A105" s="43">
        <f>IFERROR(INDEX($R$26:$R$156,ROW()-25),"")</f>
        <v/>
      </c>
      <c r="B105" s="25">
        <f>IFERROR((1/INDEX($S$26:$S$156,ROW()-25)-INDEX($W$26:$W$156,ROW()-25)/100)*10000,"")</f>
        <v/>
      </c>
      <c r="C105" s="25">
        <f>IFERROR((1/INDEX($AA$26:$AA$156,ROW()-25)-INDEX($AE$26:$AE$156,ROW()-25)/100)*10000,"")</f>
        <v/>
      </c>
      <c r="D105" s="25">
        <f>IFERROR((1/INDEX($AI$26:$AI$156,ROW()-25)-INDEX($AM$26:$AM$156,ROW()-25)/100)*10000,"")</f>
        <v/>
      </c>
      <c r="E105" s="25">
        <f>IFERROR((1/INDEX($AQ$26:$AQ$156,ROW()-25)-INDEX($AU$26:$AU$156,ROW()-25)/100)*10000,"")</f>
        <v/>
      </c>
      <c r="F105" s="25">
        <f>IFERROR((1/INDEX($AY$26:$AY$156,ROW()-25)-INDEX($BC$26:$BC$156,ROW()-25)/100)*10000,"")</f>
        <v/>
      </c>
    </row>
    <row r="106">
      <c r="A106" s="43">
        <f>IFERROR(INDEX($R$26:$R$156,ROW()-25),"")</f>
        <v/>
      </c>
      <c r="B106" s="25">
        <f>IFERROR((1/INDEX($S$26:$S$156,ROW()-25)-INDEX($W$26:$W$156,ROW()-25)/100)*10000,"")</f>
        <v/>
      </c>
      <c r="C106" s="25">
        <f>IFERROR((1/INDEX($AA$26:$AA$156,ROW()-25)-INDEX($AE$26:$AE$156,ROW()-25)/100)*10000,"")</f>
        <v/>
      </c>
      <c r="D106" s="25">
        <f>IFERROR((1/INDEX($AI$26:$AI$156,ROW()-25)-INDEX($AM$26:$AM$156,ROW()-25)/100)*10000,"")</f>
        <v/>
      </c>
      <c r="E106" s="25">
        <f>IFERROR((1/INDEX($AQ$26:$AQ$156,ROW()-25)-INDEX($AU$26:$AU$156,ROW()-25)/100)*10000,"")</f>
        <v/>
      </c>
      <c r="F106" s="25">
        <f>IFERROR((1/INDEX($AY$26:$AY$156,ROW()-25)-INDEX($BC$26:$BC$156,ROW()-25)/100)*10000,"")</f>
        <v/>
      </c>
    </row>
    <row r="107">
      <c r="A107" s="43">
        <f>IFERROR(INDEX($R$26:$R$156,ROW()-25),"")</f>
        <v/>
      </c>
      <c r="B107" s="25">
        <f>IFERROR((1/INDEX($S$26:$S$156,ROW()-25)-INDEX($W$26:$W$156,ROW()-25)/100)*10000,"")</f>
        <v/>
      </c>
      <c r="C107" s="25">
        <f>IFERROR((1/INDEX($AA$26:$AA$156,ROW()-25)-INDEX($AE$26:$AE$156,ROW()-25)/100)*10000,"")</f>
        <v/>
      </c>
      <c r="D107" s="25">
        <f>IFERROR((1/INDEX($AI$26:$AI$156,ROW()-25)-INDEX($AM$26:$AM$156,ROW()-25)/100)*10000,"")</f>
        <v/>
      </c>
      <c r="E107" s="25">
        <f>IFERROR((1/INDEX($AQ$26:$AQ$156,ROW()-25)-INDEX($AU$26:$AU$156,ROW()-25)/100)*10000,"")</f>
        <v/>
      </c>
      <c r="F107" s="25">
        <f>IFERROR((1/INDEX($AY$26:$AY$156,ROW()-25)-INDEX($BC$26:$BC$156,ROW()-25)/100)*10000,"")</f>
        <v/>
      </c>
    </row>
    <row r="108">
      <c r="A108" s="43">
        <f>IFERROR(INDEX($R$26:$R$156,ROW()-25),"")</f>
        <v/>
      </c>
      <c r="B108" s="25">
        <f>IFERROR((1/INDEX($S$26:$S$156,ROW()-25)-INDEX($W$26:$W$156,ROW()-25)/100)*10000,"")</f>
        <v/>
      </c>
      <c r="C108" s="25">
        <f>IFERROR((1/INDEX($AA$26:$AA$156,ROW()-25)-INDEX($AE$26:$AE$156,ROW()-25)/100)*10000,"")</f>
        <v/>
      </c>
      <c r="D108" s="25">
        <f>IFERROR((1/INDEX($AI$26:$AI$156,ROW()-25)-INDEX($AM$26:$AM$156,ROW()-25)/100)*10000,"")</f>
        <v/>
      </c>
      <c r="E108" s="25">
        <f>IFERROR((1/INDEX($AQ$26:$AQ$156,ROW()-25)-INDEX($AU$26:$AU$156,ROW()-25)/100)*10000,"")</f>
        <v/>
      </c>
      <c r="F108" s="25">
        <f>IFERROR((1/INDEX($AY$26:$AY$156,ROW()-25)-INDEX($BC$26:$BC$156,ROW()-25)/100)*10000,"")</f>
        <v/>
      </c>
    </row>
    <row r="109">
      <c r="A109" s="43">
        <f>IFERROR(INDEX($R$26:$R$156,ROW()-25),"")</f>
        <v/>
      </c>
      <c r="B109" s="25">
        <f>IFERROR((1/INDEX($S$26:$S$156,ROW()-25)-INDEX($W$26:$W$156,ROW()-25)/100)*10000,"")</f>
        <v/>
      </c>
      <c r="C109" s="25">
        <f>IFERROR((1/INDEX($AA$26:$AA$156,ROW()-25)-INDEX($AE$26:$AE$156,ROW()-25)/100)*10000,"")</f>
        <v/>
      </c>
      <c r="D109" s="25">
        <f>IFERROR((1/INDEX($AI$26:$AI$156,ROW()-25)-INDEX($AM$26:$AM$156,ROW()-25)/100)*10000,"")</f>
        <v/>
      </c>
      <c r="E109" s="25">
        <f>IFERROR((1/INDEX($AQ$26:$AQ$156,ROW()-25)-INDEX($AU$26:$AU$156,ROW()-25)/100)*10000,"")</f>
        <v/>
      </c>
      <c r="F109" s="25">
        <f>IFERROR((1/INDEX($AY$26:$AY$156,ROW()-25)-INDEX($BC$26:$BC$156,ROW()-25)/100)*10000,"")</f>
        <v/>
      </c>
    </row>
    <row r="110">
      <c r="A110" s="43">
        <f>IFERROR(INDEX($R$26:$R$156,ROW()-25),"")</f>
        <v/>
      </c>
      <c r="B110" s="25">
        <f>IFERROR((1/INDEX($S$26:$S$156,ROW()-25)-INDEX($W$26:$W$156,ROW()-25)/100)*10000,"")</f>
        <v/>
      </c>
      <c r="C110" s="25">
        <f>IFERROR((1/INDEX($AA$26:$AA$156,ROW()-25)-INDEX($AE$26:$AE$156,ROW()-25)/100)*10000,"")</f>
        <v/>
      </c>
      <c r="D110" s="25">
        <f>IFERROR((1/INDEX($AI$26:$AI$156,ROW()-25)-INDEX($AM$26:$AM$156,ROW()-25)/100)*10000,"")</f>
        <v/>
      </c>
      <c r="E110" s="25">
        <f>IFERROR((1/INDEX($AQ$26:$AQ$156,ROW()-25)-INDEX($AU$26:$AU$156,ROW()-25)/100)*10000,"")</f>
        <v/>
      </c>
      <c r="F110" s="25">
        <f>IFERROR((1/INDEX($AY$26:$AY$156,ROW()-25)-INDEX($BC$26:$BC$156,ROW()-25)/100)*10000,"")</f>
        <v/>
      </c>
    </row>
    <row r="111">
      <c r="A111" s="43">
        <f>IFERROR(INDEX($R$26:$R$156,ROW()-25),"")</f>
        <v/>
      </c>
      <c r="B111" s="25">
        <f>IFERROR((1/INDEX($S$26:$S$156,ROW()-25)-INDEX($W$26:$W$156,ROW()-25)/100)*10000,"")</f>
        <v/>
      </c>
      <c r="C111" s="25">
        <f>IFERROR((1/INDEX($AA$26:$AA$156,ROW()-25)-INDEX($AE$26:$AE$156,ROW()-25)/100)*10000,"")</f>
        <v/>
      </c>
      <c r="D111" s="25">
        <f>IFERROR((1/INDEX($AI$26:$AI$156,ROW()-25)-INDEX($AM$26:$AM$156,ROW()-25)/100)*10000,"")</f>
        <v/>
      </c>
      <c r="E111" s="25">
        <f>IFERROR((1/INDEX($AQ$26:$AQ$156,ROW()-25)-INDEX($AU$26:$AU$156,ROW()-25)/100)*10000,"")</f>
        <v/>
      </c>
      <c r="F111" s="25">
        <f>IFERROR((1/INDEX($AY$26:$AY$156,ROW()-25)-INDEX($BC$26:$BC$156,ROW()-25)/100)*10000,"")</f>
        <v/>
      </c>
    </row>
    <row r="112">
      <c r="A112" s="43">
        <f>IFERROR(INDEX($R$26:$R$156,ROW()-25),"")</f>
        <v/>
      </c>
      <c r="B112" s="25">
        <f>IFERROR((1/INDEX($S$26:$S$156,ROW()-25)-INDEX($W$26:$W$156,ROW()-25)/100)*10000,"")</f>
        <v/>
      </c>
      <c r="C112" s="25">
        <f>IFERROR((1/INDEX($AA$26:$AA$156,ROW()-25)-INDEX($AE$26:$AE$156,ROW()-25)/100)*10000,"")</f>
        <v/>
      </c>
      <c r="D112" s="25">
        <f>IFERROR((1/INDEX($AI$26:$AI$156,ROW()-25)-INDEX($AM$26:$AM$156,ROW()-25)/100)*10000,"")</f>
        <v/>
      </c>
      <c r="E112" s="25">
        <f>IFERROR((1/INDEX($AQ$26:$AQ$156,ROW()-25)-INDEX($AU$26:$AU$156,ROW()-25)/100)*10000,"")</f>
        <v/>
      </c>
      <c r="F112" s="25">
        <f>IFERROR((1/INDEX($AY$26:$AY$156,ROW()-25)-INDEX($BC$26:$BC$156,ROW()-25)/100)*10000,"")</f>
        <v/>
      </c>
    </row>
    <row r="113">
      <c r="A113" s="43">
        <f>IFERROR(INDEX($R$26:$R$156,ROW()-25),"")</f>
        <v/>
      </c>
      <c r="B113" s="25">
        <f>IFERROR((1/INDEX($S$26:$S$156,ROW()-25)-INDEX($W$26:$W$156,ROW()-25)/100)*10000,"")</f>
        <v/>
      </c>
      <c r="C113" s="25">
        <f>IFERROR((1/INDEX($AA$26:$AA$156,ROW()-25)-INDEX($AE$26:$AE$156,ROW()-25)/100)*10000,"")</f>
        <v/>
      </c>
      <c r="D113" s="25">
        <f>IFERROR((1/INDEX($AI$26:$AI$156,ROW()-25)-INDEX($AM$26:$AM$156,ROW()-25)/100)*10000,"")</f>
        <v/>
      </c>
      <c r="E113" s="25">
        <f>IFERROR((1/INDEX($AQ$26:$AQ$156,ROW()-25)-INDEX($AU$26:$AU$156,ROW()-25)/100)*10000,"")</f>
        <v/>
      </c>
      <c r="F113" s="25">
        <f>IFERROR((1/INDEX($AY$26:$AY$156,ROW()-25)-INDEX($BC$26:$BC$156,ROW()-25)/100)*10000,"")</f>
        <v/>
      </c>
    </row>
    <row r="114">
      <c r="A114" s="43">
        <f>IFERROR(INDEX($R$26:$R$156,ROW()-25),"")</f>
        <v/>
      </c>
      <c r="B114" s="25">
        <f>IFERROR((1/INDEX($S$26:$S$156,ROW()-25)-INDEX($W$26:$W$156,ROW()-25)/100)*10000,"")</f>
        <v/>
      </c>
      <c r="C114" s="25">
        <f>IFERROR((1/INDEX($AA$26:$AA$156,ROW()-25)-INDEX($AE$26:$AE$156,ROW()-25)/100)*10000,"")</f>
        <v/>
      </c>
      <c r="D114" s="25">
        <f>IFERROR((1/INDEX($AI$26:$AI$156,ROW()-25)-INDEX($AM$26:$AM$156,ROW()-25)/100)*10000,"")</f>
        <v/>
      </c>
      <c r="E114" s="25">
        <f>IFERROR((1/INDEX($AQ$26:$AQ$156,ROW()-25)-INDEX($AU$26:$AU$156,ROW()-25)/100)*10000,"")</f>
        <v/>
      </c>
      <c r="F114" s="25">
        <f>IFERROR((1/INDEX($AY$26:$AY$156,ROW()-25)-INDEX($BC$26:$BC$156,ROW()-25)/100)*10000,"")</f>
        <v/>
      </c>
    </row>
    <row r="115">
      <c r="A115" s="43">
        <f>IFERROR(INDEX($R$26:$R$156,ROW()-25),"")</f>
        <v/>
      </c>
      <c r="B115" s="25">
        <f>IFERROR((1/INDEX($S$26:$S$156,ROW()-25)-INDEX($W$26:$W$156,ROW()-25)/100)*10000,"")</f>
        <v/>
      </c>
      <c r="C115" s="25">
        <f>IFERROR((1/INDEX($AA$26:$AA$156,ROW()-25)-INDEX($AE$26:$AE$156,ROW()-25)/100)*10000,"")</f>
        <v/>
      </c>
      <c r="D115" s="25">
        <f>IFERROR((1/INDEX($AI$26:$AI$156,ROW()-25)-INDEX($AM$26:$AM$156,ROW()-25)/100)*10000,"")</f>
        <v/>
      </c>
      <c r="E115" s="25">
        <f>IFERROR((1/INDEX($AQ$26:$AQ$156,ROW()-25)-INDEX($AU$26:$AU$156,ROW()-25)/100)*10000,"")</f>
        <v/>
      </c>
      <c r="F115" s="25">
        <f>IFERROR((1/INDEX($AY$26:$AY$156,ROW()-25)-INDEX($BC$26:$BC$156,ROW()-25)/100)*10000,"")</f>
        <v/>
      </c>
    </row>
    <row r="116">
      <c r="A116" s="43">
        <f>IFERROR(INDEX($R$26:$R$156,ROW()-25),"")</f>
        <v/>
      </c>
      <c r="B116" s="25">
        <f>IFERROR((1/INDEX($S$26:$S$156,ROW()-25)-INDEX($W$26:$W$156,ROW()-25)/100)*10000,"")</f>
        <v/>
      </c>
      <c r="C116" s="25">
        <f>IFERROR((1/INDEX($AA$26:$AA$156,ROW()-25)-INDEX($AE$26:$AE$156,ROW()-25)/100)*10000,"")</f>
        <v/>
      </c>
      <c r="D116" s="25">
        <f>IFERROR((1/INDEX($AI$26:$AI$156,ROW()-25)-INDEX($AM$26:$AM$156,ROW()-25)/100)*10000,"")</f>
        <v/>
      </c>
      <c r="E116" s="25">
        <f>IFERROR((1/INDEX($AQ$26:$AQ$156,ROW()-25)-INDEX($AU$26:$AU$156,ROW()-25)/100)*10000,"")</f>
        <v/>
      </c>
      <c r="F116" s="25">
        <f>IFERROR((1/INDEX($AY$26:$AY$156,ROW()-25)-INDEX($BC$26:$BC$156,ROW()-25)/100)*10000,"")</f>
        <v/>
      </c>
    </row>
    <row r="117">
      <c r="A117" s="43">
        <f>IFERROR(INDEX($R$26:$R$156,ROW()-25),"")</f>
        <v/>
      </c>
      <c r="B117" s="25">
        <f>IFERROR((1/INDEX($S$26:$S$156,ROW()-25)-INDEX($W$26:$W$156,ROW()-25)/100)*10000,"")</f>
        <v/>
      </c>
      <c r="C117" s="25">
        <f>IFERROR((1/INDEX($AA$26:$AA$156,ROW()-25)-INDEX($AE$26:$AE$156,ROW()-25)/100)*10000,"")</f>
        <v/>
      </c>
      <c r="D117" s="25">
        <f>IFERROR((1/INDEX($AI$26:$AI$156,ROW()-25)-INDEX($AM$26:$AM$156,ROW()-25)/100)*10000,"")</f>
        <v/>
      </c>
      <c r="E117" s="25">
        <f>IFERROR((1/INDEX($AQ$26:$AQ$156,ROW()-25)-INDEX($AU$26:$AU$156,ROW()-25)/100)*10000,"")</f>
        <v/>
      </c>
      <c r="F117" s="25">
        <f>IFERROR((1/INDEX($AY$26:$AY$156,ROW()-25)-INDEX($BC$26:$BC$156,ROW()-25)/100)*10000,"")</f>
        <v/>
      </c>
    </row>
    <row r="118">
      <c r="A118" s="43">
        <f>IFERROR(INDEX($R$26:$R$156,ROW()-25),"")</f>
        <v/>
      </c>
      <c r="B118" s="25">
        <f>IFERROR((1/INDEX($S$26:$S$156,ROW()-25)-INDEX($W$26:$W$156,ROW()-25)/100)*10000,"")</f>
        <v/>
      </c>
      <c r="C118" s="25">
        <f>IFERROR((1/INDEX($AA$26:$AA$156,ROW()-25)-INDEX($AE$26:$AE$156,ROW()-25)/100)*10000,"")</f>
        <v/>
      </c>
      <c r="D118" s="25">
        <f>IFERROR((1/INDEX($AI$26:$AI$156,ROW()-25)-INDEX($AM$26:$AM$156,ROW()-25)/100)*10000,"")</f>
        <v/>
      </c>
      <c r="E118" s="25">
        <f>IFERROR((1/INDEX($AQ$26:$AQ$156,ROW()-25)-INDEX($AU$26:$AU$156,ROW()-25)/100)*10000,"")</f>
        <v/>
      </c>
      <c r="F118" s="25">
        <f>IFERROR((1/INDEX($AY$26:$AY$156,ROW()-25)-INDEX($BC$26:$BC$156,ROW()-25)/100)*10000,"")</f>
        <v/>
      </c>
    </row>
    <row r="119">
      <c r="A119" s="43">
        <f>IFERROR(INDEX($R$26:$R$156,ROW()-25),"")</f>
        <v/>
      </c>
      <c r="B119" s="25">
        <f>IFERROR((1/INDEX($S$26:$S$156,ROW()-25)-INDEX($W$26:$W$156,ROW()-25)/100)*10000,"")</f>
        <v/>
      </c>
      <c r="C119" s="25">
        <f>IFERROR((1/INDEX($AA$26:$AA$156,ROW()-25)-INDEX($AE$26:$AE$156,ROW()-25)/100)*10000,"")</f>
        <v/>
      </c>
      <c r="D119" s="25">
        <f>IFERROR((1/INDEX($AI$26:$AI$156,ROW()-25)-INDEX($AM$26:$AM$156,ROW()-25)/100)*10000,"")</f>
        <v/>
      </c>
      <c r="E119" s="25">
        <f>IFERROR((1/INDEX($AQ$26:$AQ$156,ROW()-25)-INDEX($AU$26:$AU$156,ROW()-25)/100)*10000,"")</f>
        <v/>
      </c>
      <c r="F119" s="25">
        <f>IFERROR((1/INDEX($AY$26:$AY$156,ROW()-25)-INDEX($BC$26:$BC$156,ROW()-25)/100)*10000,"")</f>
        <v/>
      </c>
    </row>
    <row r="120">
      <c r="A120" s="43">
        <f>IFERROR(INDEX($R$26:$R$156,ROW()-25),"")</f>
        <v/>
      </c>
      <c r="B120" s="25">
        <f>IFERROR((1/INDEX($S$26:$S$156,ROW()-25)-INDEX($W$26:$W$156,ROW()-25)/100)*10000,"")</f>
        <v/>
      </c>
      <c r="C120" s="25">
        <f>IFERROR((1/INDEX($AA$26:$AA$156,ROW()-25)-INDEX($AE$26:$AE$156,ROW()-25)/100)*10000,"")</f>
        <v/>
      </c>
      <c r="D120" s="25">
        <f>IFERROR((1/INDEX($AI$26:$AI$156,ROW()-25)-INDEX($AM$26:$AM$156,ROW()-25)/100)*10000,"")</f>
        <v/>
      </c>
      <c r="E120" s="25">
        <f>IFERROR((1/INDEX($AQ$26:$AQ$156,ROW()-25)-INDEX($AU$26:$AU$156,ROW()-25)/100)*10000,"")</f>
        <v/>
      </c>
      <c r="F120" s="25">
        <f>IFERROR((1/INDEX($AY$26:$AY$156,ROW()-25)-INDEX($BC$26:$BC$156,ROW()-25)/100)*10000,"")</f>
        <v/>
      </c>
    </row>
    <row r="121">
      <c r="A121" s="43">
        <f>IFERROR(INDEX($R$26:$R$156,ROW()-25),"")</f>
        <v/>
      </c>
      <c r="B121" s="25">
        <f>IFERROR((1/INDEX($S$26:$S$156,ROW()-25)-INDEX($W$26:$W$156,ROW()-25)/100)*10000,"")</f>
        <v/>
      </c>
      <c r="C121" s="25">
        <f>IFERROR((1/INDEX($AA$26:$AA$156,ROW()-25)-INDEX($AE$26:$AE$156,ROW()-25)/100)*10000,"")</f>
        <v/>
      </c>
      <c r="D121" s="25">
        <f>IFERROR((1/INDEX($AI$26:$AI$156,ROW()-25)-INDEX($AM$26:$AM$156,ROW()-25)/100)*10000,"")</f>
        <v/>
      </c>
      <c r="E121" s="25">
        <f>IFERROR((1/INDEX($AQ$26:$AQ$156,ROW()-25)-INDEX($AU$26:$AU$156,ROW()-25)/100)*10000,"")</f>
        <v/>
      </c>
      <c r="F121" s="25">
        <f>IFERROR((1/INDEX($AY$26:$AY$156,ROW()-25)-INDEX($BC$26:$BC$156,ROW()-25)/100)*10000,"")</f>
        <v/>
      </c>
    </row>
    <row r="122">
      <c r="A122" s="43">
        <f>IFERROR(INDEX($R$26:$R$156,ROW()-25),"")</f>
        <v/>
      </c>
      <c r="B122" s="25">
        <f>IFERROR((1/INDEX($S$26:$S$156,ROW()-25)-INDEX($W$26:$W$156,ROW()-25)/100)*10000,"")</f>
        <v/>
      </c>
      <c r="C122" s="25">
        <f>IFERROR((1/INDEX($AA$26:$AA$156,ROW()-25)-INDEX($AE$26:$AE$156,ROW()-25)/100)*10000,"")</f>
        <v/>
      </c>
      <c r="D122" s="25">
        <f>IFERROR((1/INDEX($AI$26:$AI$156,ROW()-25)-INDEX($AM$26:$AM$156,ROW()-25)/100)*10000,"")</f>
        <v/>
      </c>
      <c r="E122" s="25">
        <f>IFERROR((1/INDEX($AQ$26:$AQ$156,ROW()-25)-INDEX($AU$26:$AU$156,ROW()-25)/100)*10000,"")</f>
        <v/>
      </c>
      <c r="F122" s="25">
        <f>IFERROR((1/INDEX($AY$26:$AY$156,ROW()-25)-INDEX($BC$26:$BC$156,ROW()-25)/100)*10000,"")</f>
        <v/>
      </c>
    </row>
    <row r="123">
      <c r="A123" s="43">
        <f>IFERROR(INDEX($R$26:$R$156,ROW()-25),"")</f>
        <v/>
      </c>
      <c r="B123" s="25">
        <f>IFERROR((1/INDEX($S$26:$S$156,ROW()-25)-INDEX($W$26:$W$156,ROW()-25)/100)*10000,"")</f>
        <v/>
      </c>
      <c r="C123" s="25">
        <f>IFERROR((1/INDEX($AA$26:$AA$156,ROW()-25)-INDEX($AE$26:$AE$156,ROW()-25)/100)*10000,"")</f>
        <v/>
      </c>
      <c r="D123" s="25">
        <f>IFERROR((1/INDEX($AI$26:$AI$156,ROW()-25)-INDEX($AM$26:$AM$156,ROW()-25)/100)*10000,"")</f>
        <v/>
      </c>
      <c r="E123" s="25">
        <f>IFERROR((1/INDEX($AQ$26:$AQ$156,ROW()-25)-INDEX($AU$26:$AU$156,ROW()-25)/100)*10000,"")</f>
        <v/>
      </c>
      <c r="F123" s="25">
        <f>IFERROR((1/INDEX($AY$26:$AY$156,ROW()-25)-INDEX($BC$26:$BC$156,ROW()-25)/100)*10000,"")</f>
        <v/>
      </c>
    </row>
    <row r="124">
      <c r="A124" s="43">
        <f>IFERROR(INDEX($R$26:$R$156,ROW()-25),"")</f>
        <v/>
      </c>
      <c r="B124" s="25">
        <f>IFERROR((1/INDEX($S$26:$S$156,ROW()-25)-INDEX($W$26:$W$156,ROW()-25)/100)*10000,"")</f>
        <v/>
      </c>
      <c r="C124" s="25">
        <f>IFERROR((1/INDEX($AA$26:$AA$156,ROW()-25)-INDEX($AE$26:$AE$156,ROW()-25)/100)*10000,"")</f>
        <v/>
      </c>
      <c r="D124" s="25">
        <f>IFERROR((1/INDEX($AI$26:$AI$156,ROW()-25)-INDEX($AM$26:$AM$156,ROW()-25)/100)*10000,"")</f>
        <v/>
      </c>
      <c r="E124" s="25">
        <f>IFERROR((1/INDEX($AQ$26:$AQ$156,ROW()-25)-INDEX($AU$26:$AU$156,ROW()-25)/100)*10000,"")</f>
        <v/>
      </c>
      <c r="F124" s="25">
        <f>IFERROR((1/INDEX($AY$26:$AY$156,ROW()-25)-INDEX($BC$26:$BC$156,ROW()-25)/100)*10000,"")</f>
        <v/>
      </c>
    </row>
    <row r="125">
      <c r="A125" s="43">
        <f>IFERROR(INDEX($R$26:$R$156,ROW()-25),"")</f>
        <v/>
      </c>
      <c r="B125" s="25">
        <f>IFERROR((1/INDEX($S$26:$S$156,ROW()-25)-INDEX($W$26:$W$156,ROW()-25)/100)*10000,"")</f>
        <v/>
      </c>
      <c r="C125" s="25">
        <f>IFERROR((1/INDEX($AA$26:$AA$156,ROW()-25)-INDEX($AE$26:$AE$156,ROW()-25)/100)*10000,"")</f>
        <v/>
      </c>
      <c r="D125" s="25">
        <f>IFERROR((1/INDEX($AI$26:$AI$156,ROW()-25)-INDEX($AM$26:$AM$156,ROW()-25)/100)*10000,"")</f>
        <v/>
      </c>
      <c r="E125" s="25">
        <f>IFERROR((1/INDEX($AQ$26:$AQ$156,ROW()-25)-INDEX($AU$26:$AU$156,ROW()-25)/100)*10000,"")</f>
        <v/>
      </c>
      <c r="F125" s="25">
        <f>IFERROR((1/INDEX($AY$26:$AY$156,ROW()-25)-INDEX($BC$26:$BC$156,ROW()-25)/100)*10000,"")</f>
        <v/>
      </c>
    </row>
    <row r="126">
      <c r="A126" s="43">
        <f>IFERROR(INDEX($R$26:$R$156,ROW()-25),"")</f>
        <v/>
      </c>
      <c r="B126" s="25">
        <f>IFERROR((1/INDEX($S$26:$S$156,ROW()-25)-INDEX($W$26:$W$156,ROW()-25)/100)*10000,"")</f>
        <v/>
      </c>
      <c r="C126" s="25">
        <f>IFERROR((1/INDEX($AA$26:$AA$156,ROW()-25)-INDEX($AE$26:$AE$156,ROW()-25)/100)*10000,"")</f>
        <v/>
      </c>
      <c r="D126" s="25">
        <f>IFERROR((1/INDEX($AI$26:$AI$156,ROW()-25)-INDEX($AM$26:$AM$156,ROW()-25)/100)*10000,"")</f>
        <v/>
      </c>
      <c r="E126" s="25">
        <f>IFERROR((1/INDEX($AQ$26:$AQ$156,ROW()-25)-INDEX($AU$26:$AU$156,ROW()-25)/100)*10000,"")</f>
        <v/>
      </c>
      <c r="F126" s="25">
        <f>IFERROR((1/INDEX($AY$26:$AY$156,ROW()-25)-INDEX($BC$26:$BC$156,ROW()-25)/100)*10000,"")</f>
        <v/>
      </c>
    </row>
    <row r="127">
      <c r="A127" s="43">
        <f>IFERROR(INDEX($R$26:$R$156,ROW()-25),"")</f>
        <v/>
      </c>
      <c r="B127" s="25">
        <f>IFERROR((1/INDEX($S$26:$S$156,ROW()-25)-INDEX($W$26:$W$156,ROW()-25)/100)*10000,"")</f>
        <v/>
      </c>
      <c r="C127" s="25">
        <f>IFERROR((1/INDEX($AA$26:$AA$156,ROW()-25)-INDEX($AE$26:$AE$156,ROW()-25)/100)*10000,"")</f>
        <v/>
      </c>
      <c r="D127" s="25">
        <f>IFERROR((1/INDEX($AI$26:$AI$156,ROW()-25)-INDEX($AM$26:$AM$156,ROW()-25)/100)*10000,"")</f>
        <v/>
      </c>
      <c r="E127" s="25">
        <f>IFERROR((1/INDEX($AQ$26:$AQ$156,ROW()-25)-INDEX($AU$26:$AU$156,ROW()-25)/100)*10000,"")</f>
        <v/>
      </c>
      <c r="F127" s="25">
        <f>IFERROR((1/INDEX($AY$26:$AY$156,ROW()-25)-INDEX($BC$26:$BC$156,ROW()-25)/100)*10000,"")</f>
        <v/>
      </c>
    </row>
    <row r="128">
      <c r="A128" s="43">
        <f>IFERROR(INDEX($R$26:$R$156,ROW()-25),"")</f>
        <v/>
      </c>
      <c r="B128" s="25">
        <f>IFERROR((1/INDEX($S$26:$S$156,ROW()-25)-INDEX($W$26:$W$156,ROW()-25)/100)*10000,"")</f>
        <v/>
      </c>
      <c r="C128" s="25">
        <f>IFERROR((1/INDEX($AA$26:$AA$156,ROW()-25)-INDEX($AE$26:$AE$156,ROW()-25)/100)*10000,"")</f>
        <v/>
      </c>
      <c r="D128" s="25">
        <f>IFERROR((1/INDEX($AI$26:$AI$156,ROW()-25)-INDEX($AM$26:$AM$156,ROW()-25)/100)*10000,"")</f>
        <v/>
      </c>
      <c r="E128" s="25">
        <f>IFERROR((1/INDEX($AQ$26:$AQ$156,ROW()-25)-INDEX($AU$26:$AU$156,ROW()-25)/100)*10000,"")</f>
        <v/>
      </c>
      <c r="F128" s="25">
        <f>IFERROR((1/INDEX($AY$26:$AY$156,ROW()-25)-INDEX($BC$26:$BC$156,ROW()-25)/100)*10000,"")</f>
        <v/>
      </c>
    </row>
    <row r="129">
      <c r="A129" s="43">
        <f>IFERROR(INDEX($R$26:$R$156,ROW()-25),"")</f>
        <v/>
      </c>
      <c r="B129" s="25">
        <f>IFERROR((1/INDEX($S$26:$S$156,ROW()-25)-INDEX($W$26:$W$156,ROW()-25)/100)*10000,"")</f>
        <v/>
      </c>
      <c r="C129" s="25">
        <f>IFERROR((1/INDEX($AA$26:$AA$156,ROW()-25)-INDEX($AE$26:$AE$156,ROW()-25)/100)*10000,"")</f>
        <v/>
      </c>
      <c r="D129" s="25">
        <f>IFERROR((1/INDEX($AI$26:$AI$156,ROW()-25)-INDEX($AM$26:$AM$156,ROW()-25)/100)*10000,"")</f>
        <v/>
      </c>
      <c r="E129" s="25">
        <f>IFERROR((1/INDEX($AQ$26:$AQ$156,ROW()-25)-INDEX($AU$26:$AU$156,ROW()-25)/100)*10000,"")</f>
        <v/>
      </c>
      <c r="F129" s="25">
        <f>IFERROR((1/INDEX($AY$26:$AY$156,ROW()-25)-INDEX($BC$26:$BC$156,ROW()-25)/100)*10000,"")</f>
        <v/>
      </c>
    </row>
    <row r="130">
      <c r="A130" s="43">
        <f>IFERROR(INDEX($R$26:$R$156,ROW()-25),"")</f>
        <v/>
      </c>
      <c r="B130" s="25">
        <f>IFERROR((1/INDEX($S$26:$S$156,ROW()-25)-INDEX($W$26:$W$156,ROW()-25)/100)*10000,"")</f>
        <v/>
      </c>
      <c r="C130" s="25">
        <f>IFERROR((1/INDEX($AA$26:$AA$156,ROW()-25)-INDEX($AE$26:$AE$156,ROW()-25)/100)*10000,"")</f>
        <v/>
      </c>
      <c r="D130" s="25">
        <f>IFERROR((1/INDEX($AI$26:$AI$156,ROW()-25)-INDEX($AM$26:$AM$156,ROW()-25)/100)*10000,"")</f>
        <v/>
      </c>
      <c r="E130" s="25">
        <f>IFERROR((1/INDEX($AQ$26:$AQ$156,ROW()-25)-INDEX($AU$26:$AU$156,ROW()-25)/100)*10000,"")</f>
        <v/>
      </c>
      <c r="F130" s="25">
        <f>IFERROR((1/INDEX($AY$26:$AY$156,ROW()-25)-INDEX($BC$26:$BC$156,ROW()-25)/100)*10000,"")</f>
        <v/>
      </c>
    </row>
    <row r="131">
      <c r="A131" s="43">
        <f>IFERROR(INDEX($R$26:$R$156,ROW()-25),"")</f>
        <v/>
      </c>
      <c r="B131" s="25">
        <f>IFERROR((1/INDEX($S$26:$S$156,ROW()-25)-INDEX($W$26:$W$156,ROW()-25)/100)*10000,"")</f>
        <v/>
      </c>
      <c r="C131" s="25">
        <f>IFERROR((1/INDEX($AA$26:$AA$156,ROW()-25)-INDEX($AE$26:$AE$156,ROW()-25)/100)*10000,"")</f>
        <v/>
      </c>
      <c r="D131" s="25">
        <f>IFERROR((1/INDEX($AI$26:$AI$156,ROW()-25)-INDEX($AM$26:$AM$156,ROW()-25)/100)*10000,"")</f>
        <v/>
      </c>
      <c r="E131" s="25">
        <f>IFERROR((1/INDEX($AQ$26:$AQ$156,ROW()-25)-INDEX($AU$26:$AU$156,ROW()-25)/100)*10000,"")</f>
        <v/>
      </c>
      <c r="F131" s="25">
        <f>IFERROR((1/INDEX($AY$26:$AY$156,ROW()-25)-INDEX($BC$26:$BC$156,ROW()-25)/100)*10000,"")</f>
        <v/>
      </c>
    </row>
    <row r="132">
      <c r="A132" s="43">
        <f>IFERROR(INDEX($R$26:$R$156,ROW()-25),"")</f>
        <v/>
      </c>
      <c r="B132" s="25">
        <f>IFERROR((1/INDEX($S$26:$S$156,ROW()-25)-INDEX($W$26:$W$156,ROW()-25)/100)*10000,"")</f>
        <v/>
      </c>
      <c r="C132" s="25">
        <f>IFERROR((1/INDEX($AA$26:$AA$156,ROW()-25)-INDEX($AE$26:$AE$156,ROW()-25)/100)*10000,"")</f>
        <v/>
      </c>
      <c r="D132" s="25">
        <f>IFERROR((1/INDEX($AI$26:$AI$156,ROW()-25)-INDEX($AM$26:$AM$156,ROW()-25)/100)*10000,"")</f>
        <v/>
      </c>
      <c r="E132" s="25">
        <f>IFERROR((1/INDEX($AQ$26:$AQ$156,ROW()-25)-INDEX($AU$26:$AU$156,ROW()-25)/100)*10000,"")</f>
        <v/>
      </c>
      <c r="F132" s="25">
        <f>IFERROR((1/INDEX($AY$26:$AY$156,ROW()-25)-INDEX($BC$26:$BC$156,ROW()-25)/100)*10000,"")</f>
        <v/>
      </c>
    </row>
    <row r="133">
      <c r="A133" s="43">
        <f>IFERROR(INDEX($R$26:$R$156,ROW()-25),"")</f>
        <v/>
      </c>
      <c r="B133" s="25">
        <f>IFERROR((1/INDEX($S$26:$S$156,ROW()-25)-INDEX($W$26:$W$156,ROW()-25)/100)*10000,"")</f>
        <v/>
      </c>
      <c r="C133" s="25">
        <f>IFERROR((1/INDEX($AA$26:$AA$156,ROW()-25)-INDEX($AE$26:$AE$156,ROW()-25)/100)*10000,"")</f>
        <v/>
      </c>
      <c r="D133" s="25">
        <f>IFERROR((1/INDEX($AI$26:$AI$156,ROW()-25)-INDEX($AM$26:$AM$156,ROW()-25)/100)*10000,"")</f>
        <v/>
      </c>
      <c r="E133" s="25">
        <f>IFERROR((1/INDEX($AQ$26:$AQ$156,ROW()-25)-INDEX($AU$26:$AU$156,ROW()-25)/100)*10000,"")</f>
        <v/>
      </c>
      <c r="F133" s="25">
        <f>IFERROR((1/INDEX($AY$26:$AY$156,ROW()-25)-INDEX($BC$26:$BC$156,ROW()-25)/100)*10000,"")</f>
        <v/>
      </c>
    </row>
    <row r="134">
      <c r="A134" s="43">
        <f>IFERROR(INDEX($R$26:$R$156,ROW()-25),"")</f>
        <v/>
      </c>
      <c r="B134" s="25">
        <f>IFERROR((1/INDEX($S$26:$S$156,ROW()-25)-INDEX($W$26:$W$156,ROW()-25)/100)*10000,"")</f>
        <v/>
      </c>
      <c r="C134" s="25">
        <f>IFERROR((1/INDEX($AA$26:$AA$156,ROW()-25)-INDEX($AE$26:$AE$156,ROW()-25)/100)*10000,"")</f>
        <v/>
      </c>
      <c r="D134" s="25">
        <f>IFERROR((1/INDEX($AI$26:$AI$156,ROW()-25)-INDEX($AM$26:$AM$156,ROW()-25)/100)*10000,"")</f>
        <v/>
      </c>
      <c r="E134" s="25">
        <f>IFERROR((1/INDEX($AQ$26:$AQ$156,ROW()-25)-INDEX($AU$26:$AU$156,ROW()-25)/100)*10000,"")</f>
        <v/>
      </c>
      <c r="F134" s="25">
        <f>IFERROR((1/INDEX($AY$26:$AY$156,ROW()-25)-INDEX($BC$26:$BC$156,ROW()-25)/100)*10000,"")</f>
        <v/>
      </c>
    </row>
    <row r="135">
      <c r="A135" s="43">
        <f>IFERROR(INDEX($R$26:$R$156,ROW()-25),"")</f>
        <v/>
      </c>
      <c r="B135" s="25">
        <f>IFERROR((1/INDEX($S$26:$S$156,ROW()-25)-INDEX($W$26:$W$156,ROW()-25)/100)*10000,"")</f>
        <v/>
      </c>
      <c r="C135" s="25">
        <f>IFERROR((1/INDEX($AA$26:$AA$156,ROW()-25)-INDEX($AE$26:$AE$156,ROW()-25)/100)*10000,"")</f>
        <v/>
      </c>
      <c r="D135" s="25">
        <f>IFERROR((1/INDEX($AI$26:$AI$156,ROW()-25)-INDEX($AM$26:$AM$156,ROW()-25)/100)*10000,"")</f>
        <v/>
      </c>
      <c r="E135" s="25">
        <f>IFERROR((1/INDEX($AQ$26:$AQ$156,ROW()-25)-INDEX($AU$26:$AU$156,ROW()-25)/100)*10000,"")</f>
        <v/>
      </c>
      <c r="F135" s="25">
        <f>IFERROR((1/INDEX($AY$26:$AY$156,ROW()-25)-INDEX($BC$26:$BC$156,ROW()-25)/100)*10000,"")</f>
        <v/>
      </c>
    </row>
    <row r="136">
      <c r="A136" s="43">
        <f>IFERROR(INDEX($R$26:$R$156,ROW()-25),"")</f>
        <v/>
      </c>
      <c r="B136" s="25">
        <f>IFERROR((1/INDEX($S$26:$S$156,ROW()-25)-INDEX($W$26:$W$156,ROW()-25)/100)*10000,"")</f>
        <v/>
      </c>
      <c r="C136" s="25">
        <f>IFERROR((1/INDEX($AA$26:$AA$156,ROW()-25)-INDEX($AE$26:$AE$156,ROW()-25)/100)*10000,"")</f>
        <v/>
      </c>
      <c r="D136" s="25">
        <f>IFERROR((1/INDEX($AI$26:$AI$156,ROW()-25)-INDEX($AM$26:$AM$156,ROW()-25)/100)*10000,"")</f>
        <v/>
      </c>
      <c r="E136" s="25">
        <f>IFERROR((1/INDEX($AQ$26:$AQ$156,ROW()-25)-INDEX($AU$26:$AU$156,ROW()-25)/100)*10000,"")</f>
        <v/>
      </c>
      <c r="F136" s="25">
        <f>IFERROR((1/INDEX($AY$26:$AY$156,ROW()-25)-INDEX($BC$26:$BC$156,ROW()-25)/100)*10000,"")</f>
        <v/>
      </c>
    </row>
    <row r="137">
      <c r="A137" s="43">
        <f>IFERROR(INDEX($R$26:$R$156,ROW()-25),"")</f>
        <v/>
      </c>
      <c r="B137" s="25">
        <f>IFERROR((1/INDEX($S$26:$S$156,ROW()-25)-INDEX($W$26:$W$156,ROW()-25)/100)*10000,"")</f>
        <v/>
      </c>
      <c r="C137" s="25">
        <f>IFERROR((1/INDEX($AA$26:$AA$156,ROW()-25)-INDEX($AE$26:$AE$156,ROW()-25)/100)*10000,"")</f>
        <v/>
      </c>
      <c r="D137" s="25">
        <f>IFERROR((1/INDEX($AI$26:$AI$156,ROW()-25)-INDEX($AM$26:$AM$156,ROW()-25)/100)*10000,"")</f>
        <v/>
      </c>
      <c r="E137" s="25">
        <f>IFERROR((1/INDEX($AQ$26:$AQ$156,ROW()-25)-INDEX($AU$26:$AU$156,ROW()-25)/100)*10000,"")</f>
        <v/>
      </c>
      <c r="F137" s="25">
        <f>IFERROR((1/INDEX($AY$26:$AY$156,ROW()-25)-INDEX($BC$26:$BC$156,ROW()-25)/100)*10000,"")</f>
        <v/>
      </c>
    </row>
    <row r="138">
      <c r="A138" s="43">
        <f>IFERROR(INDEX($R$26:$R$156,ROW()-25),"")</f>
        <v/>
      </c>
      <c r="B138" s="25">
        <f>IFERROR((1/INDEX($S$26:$S$156,ROW()-25)-INDEX($W$26:$W$156,ROW()-25)/100)*10000,"")</f>
        <v/>
      </c>
      <c r="C138" s="25">
        <f>IFERROR((1/INDEX($AA$26:$AA$156,ROW()-25)-INDEX($AE$26:$AE$156,ROW()-25)/100)*10000,"")</f>
        <v/>
      </c>
      <c r="D138" s="25">
        <f>IFERROR((1/INDEX($AI$26:$AI$156,ROW()-25)-INDEX($AM$26:$AM$156,ROW()-25)/100)*10000,"")</f>
        <v/>
      </c>
      <c r="E138" s="25">
        <f>IFERROR((1/INDEX($AQ$26:$AQ$156,ROW()-25)-INDEX($AU$26:$AU$156,ROW()-25)/100)*10000,"")</f>
        <v/>
      </c>
      <c r="F138" s="25">
        <f>IFERROR((1/INDEX($AY$26:$AY$156,ROW()-25)-INDEX($BC$26:$BC$156,ROW()-25)/100)*10000,"")</f>
        <v/>
      </c>
    </row>
    <row r="139">
      <c r="A139" s="43">
        <f>IFERROR(INDEX($R$26:$R$156,ROW()-25),"")</f>
        <v/>
      </c>
      <c r="B139" s="25">
        <f>IFERROR((1/INDEX($S$26:$S$156,ROW()-25)-INDEX($W$26:$W$156,ROW()-25)/100)*10000,"")</f>
        <v/>
      </c>
      <c r="C139" s="25">
        <f>IFERROR((1/INDEX($AA$26:$AA$156,ROW()-25)-INDEX($AE$26:$AE$156,ROW()-25)/100)*10000,"")</f>
        <v/>
      </c>
      <c r="D139" s="25">
        <f>IFERROR((1/INDEX($AI$26:$AI$156,ROW()-25)-INDEX($AM$26:$AM$156,ROW()-25)/100)*10000,"")</f>
        <v/>
      </c>
      <c r="E139" s="25">
        <f>IFERROR((1/INDEX($AQ$26:$AQ$156,ROW()-25)-INDEX($AU$26:$AU$156,ROW()-25)/100)*10000,"")</f>
        <v/>
      </c>
      <c r="F139" s="25">
        <f>IFERROR((1/INDEX($AY$26:$AY$156,ROW()-25)-INDEX($BC$26:$BC$156,ROW()-25)/100)*10000,"")</f>
        <v/>
      </c>
    </row>
    <row r="140">
      <c r="A140" s="43">
        <f>IFERROR(INDEX($R$26:$R$156,ROW()-25),"")</f>
        <v/>
      </c>
      <c r="B140" s="25">
        <f>IFERROR((1/INDEX($S$26:$S$156,ROW()-25)-INDEX($W$26:$W$156,ROW()-25)/100)*10000,"")</f>
        <v/>
      </c>
      <c r="C140" s="25">
        <f>IFERROR((1/INDEX($AA$26:$AA$156,ROW()-25)-INDEX($AE$26:$AE$156,ROW()-25)/100)*10000,"")</f>
        <v/>
      </c>
      <c r="D140" s="25">
        <f>IFERROR((1/INDEX($AI$26:$AI$156,ROW()-25)-INDEX($AM$26:$AM$156,ROW()-25)/100)*10000,"")</f>
        <v/>
      </c>
      <c r="E140" s="25">
        <f>IFERROR((1/INDEX($AQ$26:$AQ$156,ROW()-25)-INDEX($AU$26:$AU$156,ROW()-25)/100)*10000,"")</f>
        <v/>
      </c>
      <c r="F140" s="25">
        <f>IFERROR((1/INDEX($AY$26:$AY$156,ROW()-25)-INDEX($BC$26:$BC$156,ROW()-25)/100)*10000,"")</f>
        <v/>
      </c>
    </row>
    <row r="141">
      <c r="A141" s="43">
        <f>IFERROR(INDEX($R$26:$R$156,ROW()-25),"")</f>
        <v/>
      </c>
      <c r="B141" s="25">
        <f>IFERROR((1/INDEX($S$26:$S$156,ROW()-25)-INDEX($W$26:$W$156,ROW()-25)/100)*10000,"")</f>
        <v/>
      </c>
      <c r="C141" s="25">
        <f>IFERROR((1/INDEX($AA$26:$AA$156,ROW()-25)-INDEX($AE$26:$AE$156,ROW()-25)/100)*10000,"")</f>
        <v/>
      </c>
      <c r="D141" s="25">
        <f>IFERROR((1/INDEX($AI$26:$AI$156,ROW()-25)-INDEX($AM$26:$AM$156,ROW()-25)/100)*10000,"")</f>
        <v/>
      </c>
      <c r="E141" s="25">
        <f>IFERROR((1/INDEX($AQ$26:$AQ$156,ROW()-25)-INDEX($AU$26:$AU$156,ROW()-25)/100)*10000,"")</f>
        <v/>
      </c>
      <c r="F141" s="25">
        <f>IFERROR((1/INDEX($AY$26:$AY$156,ROW()-25)-INDEX($BC$26:$BC$156,ROW()-25)/100)*10000,"")</f>
        <v/>
      </c>
    </row>
    <row r="142">
      <c r="A142" s="43">
        <f>IFERROR(INDEX($R$26:$R$156,ROW()-25),"")</f>
        <v/>
      </c>
      <c r="B142" s="25">
        <f>IFERROR((1/INDEX($S$26:$S$156,ROW()-25)-INDEX($W$26:$W$156,ROW()-25)/100)*10000,"")</f>
        <v/>
      </c>
      <c r="C142" s="25">
        <f>IFERROR((1/INDEX($AA$26:$AA$156,ROW()-25)-INDEX($AE$26:$AE$156,ROW()-25)/100)*10000,"")</f>
        <v/>
      </c>
      <c r="D142" s="25">
        <f>IFERROR((1/INDEX($AI$26:$AI$156,ROW()-25)-INDEX($AM$26:$AM$156,ROW()-25)/100)*10000,"")</f>
        <v/>
      </c>
      <c r="E142" s="25">
        <f>IFERROR((1/INDEX($AQ$26:$AQ$156,ROW()-25)-INDEX($AU$26:$AU$156,ROW()-25)/100)*10000,"")</f>
        <v/>
      </c>
      <c r="F142" s="25">
        <f>IFERROR((1/INDEX($AY$26:$AY$156,ROW()-25)-INDEX($BC$26:$BC$156,ROW()-25)/100)*10000,"")</f>
        <v/>
      </c>
    </row>
    <row r="143">
      <c r="A143" s="43">
        <f>IFERROR(INDEX($R$26:$R$156,ROW()-25),"")</f>
        <v/>
      </c>
      <c r="B143" s="25">
        <f>IFERROR((1/INDEX($S$26:$S$156,ROW()-25)-INDEX($W$26:$W$156,ROW()-25)/100)*10000,"")</f>
        <v/>
      </c>
      <c r="C143" s="25">
        <f>IFERROR((1/INDEX($AA$26:$AA$156,ROW()-25)-INDEX($AE$26:$AE$156,ROW()-25)/100)*10000,"")</f>
        <v/>
      </c>
      <c r="D143" s="25">
        <f>IFERROR((1/INDEX($AI$26:$AI$156,ROW()-25)-INDEX($AM$26:$AM$156,ROW()-25)/100)*10000,"")</f>
        <v/>
      </c>
      <c r="E143" s="25">
        <f>IFERROR((1/INDEX($AQ$26:$AQ$156,ROW()-25)-INDEX($AU$26:$AU$156,ROW()-25)/100)*10000,"")</f>
        <v/>
      </c>
      <c r="F143" s="25">
        <f>IFERROR((1/INDEX($AY$26:$AY$156,ROW()-25)-INDEX($BC$26:$BC$156,ROW()-25)/100)*10000,"")</f>
        <v/>
      </c>
    </row>
    <row r="144">
      <c r="A144" s="43">
        <f>IFERROR(INDEX($R$26:$R$156,ROW()-25),"")</f>
        <v/>
      </c>
      <c r="B144" s="25">
        <f>IFERROR((1/INDEX($S$26:$S$156,ROW()-25)-INDEX($W$26:$W$156,ROW()-25)/100)*10000,"")</f>
        <v/>
      </c>
      <c r="C144" s="25">
        <f>IFERROR((1/INDEX($AA$26:$AA$156,ROW()-25)-INDEX($AE$26:$AE$156,ROW()-25)/100)*10000,"")</f>
        <v/>
      </c>
      <c r="D144" s="25">
        <f>IFERROR((1/INDEX($AI$26:$AI$156,ROW()-25)-INDEX($AM$26:$AM$156,ROW()-25)/100)*10000,"")</f>
        <v/>
      </c>
      <c r="E144" s="25">
        <f>IFERROR((1/INDEX($AQ$26:$AQ$156,ROW()-25)-INDEX($AU$26:$AU$156,ROW()-25)/100)*10000,"")</f>
        <v/>
      </c>
      <c r="F144" s="25">
        <f>IFERROR((1/INDEX($AY$26:$AY$156,ROW()-25)-INDEX($BC$26:$BC$156,ROW()-25)/100)*10000,"")</f>
        <v/>
      </c>
    </row>
    <row r="145">
      <c r="A145" s="43">
        <f>IFERROR(INDEX($R$26:$R$156,ROW()-25),"")</f>
        <v/>
      </c>
      <c r="B145" s="25">
        <f>IFERROR((1/INDEX($S$26:$S$156,ROW()-25)-INDEX($W$26:$W$156,ROW()-25)/100)*10000,"")</f>
        <v/>
      </c>
      <c r="C145" s="25">
        <f>IFERROR((1/INDEX($AA$26:$AA$156,ROW()-25)-INDEX($AE$26:$AE$156,ROW()-25)/100)*10000,"")</f>
        <v/>
      </c>
      <c r="D145" s="25">
        <f>IFERROR((1/INDEX($AI$26:$AI$156,ROW()-25)-INDEX($AM$26:$AM$156,ROW()-25)/100)*10000,"")</f>
        <v/>
      </c>
      <c r="E145" s="25">
        <f>IFERROR((1/INDEX($AQ$26:$AQ$156,ROW()-25)-INDEX($AU$26:$AU$156,ROW()-25)/100)*10000,"")</f>
        <v/>
      </c>
      <c r="F145" s="25">
        <f>IFERROR((1/INDEX($AY$26:$AY$156,ROW()-25)-INDEX($BC$26:$BC$156,ROW()-25)/100)*10000,"")</f>
        <v/>
      </c>
    </row>
    <row r="146">
      <c r="A146" s="43">
        <f>IFERROR(INDEX($R$26:$R$156,ROW()-25),"")</f>
        <v/>
      </c>
      <c r="B146" s="25">
        <f>IFERROR((1/INDEX($S$26:$S$156,ROW()-25)-INDEX($W$26:$W$156,ROW()-25)/100)*10000,"")</f>
        <v/>
      </c>
      <c r="C146" s="25">
        <f>IFERROR((1/INDEX($AA$26:$AA$156,ROW()-25)-INDEX($AE$26:$AE$156,ROW()-25)/100)*10000,"")</f>
        <v/>
      </c>
      <c r="D146" s="25">
        <f>IFERROR((1/INDEX($AI$26:$AI$156,ROW()-25)-INDEX($AM$26:$AM$156,ROW()-25)/100)*10000,"")</f>
        <v/>
      </c>
      <c r="E146" s="25">
        <f>IFERROR((1/INDEX($AQ$26:$AQ$156,ROW()-25)-INDEX($AU$26:$AU$156,ROW()-25)/100)*10000,"")</f>
        <v/>
      </c>
      <c r="F146" s="25">
        <f>IFERROR((1/INDEX($AY$26:$AY$156,ROW()-25)-INDEX($BC$26:$BC$156,ROW()-25)/100)*10000,"")</f>
        <v/>
      </c>
    </row>
    <row r="147">
      <c r="A147" s="43">
        <f>IFERROR(INDEX($R$26:$R$156,ROW()-25),"")</f>
        <v/>
      </c>
      <c r="B147" s="25">
        <f>IFERROR((1/INDEX($S$26:$S$156,ROW()-25)-INDEX($W$26:$W$156,ROW()-25)/100)*10000,"")</f>
        <v/>
      </c>
      <c r="C147" s="25">
        <f>IFERROR((1/INDEX($AA$26:$AA$156,ROW()-25)-INDEX($AE$26:$AE$156,ROW()-25)/100)*10000,"")</f>
        <v/>
      </c>
      <c r="D147" s="25">
        <f>IFERROR((1/INDEX($AI$26:$AI$156,ROW()-25)-INDEX($AM$26:$AM$156,ROW()-25)/100)*10000,"")</f>
        <v/>
      </c>
      <c r="E147" s="25">
        <f>IFERROR((1/INDEX($AQ$26:$AQ$156,ROW()-25)-INDEX($AU$26:$AU$156,ROW()-25)/100)*10000,"")</f>
        <v/>
      </c>
      <c r="F147" s="25">
        <f>IFERROR((1/INDEX($AY$26:$AY$156,ROW()-25)-INDEX($BC$26:$BC$156,ROW()-25)/100)*10000,"")</f>
        <v/>
      </c>
    </row>
    <row r="148">
      <c r="A148" s="43">
        <f>IFERROR(INDEX($R$26:$R$156,ROW()-25),"")</f>
        <v/>
      </c>
      <c r="B148" s="25">
        <f>IFERROR((1/INDEX($S$26:$S$156,ROW()-25)-INDEX($W$26:$W$156,ROW()-25)/100)*10000,"")</f>
        <v/>
      </c>
      <c r="C148" s="25">
        <f>IFERROR((1/INDEX($AA$26:$AA$156,ROW()-25)-INDEX($AE$26:$AE$156,ROW()-25)/100)*10000,"")</f>
        <v/>
      </c>
      <c r="D148" s="25">
        <f>IFERROR((1/INDEX($AI$26:$AI$156,ROW()-25)-INDEX($AM$26:$AM$156,ROW()-25)/100)*10000,"")</f>
        <v/>
      </c>
      <c r="E148" s="25">
        <f>IFERROR((1/INDEX($AQ$26:$AQ$156,ROW()-25)-INDEX($AU$26:$AU$156,ROW()-25)/100)*10000,"")</f>
        <v/>
      </c>
      <c r="F148" s="25">
        <f>IFERROR((1/INDEX($AY$26:$AY$156,ROW()-25)-INDEX($BC$26:$BC$156,ROW()-25)/100)*10000,"")</f>
        <v/>
      </c>
    </row>
    <row r="149">
      <c r="A149" s="43">
        <f>IFERROR(INDEX($R$26:$R$156,ROW()-25),"")</f>
        <v/>
      </c>
      <c r="B149" s="25">
        <f>IFERROR((1/INDEX($S$26:$S$156,ROW()-25)-INDEX($W$26:$W$156,ROW()-25)/100)*10000,"")</f>
        <v/>
      </c>
      <c r="C149" s="25">
        <f>IFERROR((1/INDEX($AA$26:$AA$156,ROW()-25)-INDEX($AE$26:$AE$156,ROW()-25)/100)*10000,"")</f>
        <v/>
      </c>
      <c r="D149" s="25">
        <f>IFERROR((1/INDEX($AI$26:$AI$156,ROW()-25)-INDEX($AM$26:$AM$156,ROW()-25)/100)*10000,"")</f>
        <v/>
      </c>
      <c r="E149" s="25">
        <f>IFERROR((1/INDEX($AQ$26:$AQ$156,ROW()-25)-INDEX($AU$26:$AU$156,ROW()-25)/100)*10000,"")</f>
        <v/>
      </c>
      <c r="F149" s="25">
        <f>IFERROR((1/INDEX($AY$26:$AY$156,ROW()-25)-INDEX($BC$26:$BC$156,ROW()-25)/100)*10000,"")</f>
        <v/>
      </c>
    </row>
    <row r="150">
      <c r="A150" s="43">
        <f>IFERROR(INDEX($R$26:$R$156,ROW()-25),"")</f>
        <v/>
      </c>
      <c r="B150" s="25">
        <f>IFERROR((1/INDEX($S$26:$S$156,ROW()-25)-INDEX($W$26:$W$156,ROW()-25)/100)*10000,"")</f>
        <v/>
      </c>
      <c r="C150" s="25">
        <f>IFERROR((1/INDEX($AA$26:$AA$156,ROW()-25)-INDEX($AE$26:$AE$156,ROW()-25)/100)*10000,"")</f>
        <v/>
      </c>
      <c r="D150" s="25">
        <f>IFERROR((1/INDEX($AI$26:$AI$156,ROW()-25)-INDEX($AM$26:$AM$156,ROW()-25)/100)*10000,"")</f>
        <v/>
      </c>
      <c r="E150" s="25">
        <f>IFERROR((1/INDEX($AQ$26:$AQ$156,ROW()-25)-INDEX($AU$26:$AU$156,ROW()-25)/100)*10000,"")</f>
        <v/>
      </c>
      <c r="F150" s="25">
        <f>IFERROR((1/INDEX($AY$26:$AY$156,ROW()-25)-INDEX($BC$26:$BC$156,ROW()-25)/100)*10000,"")</f>
        <v/>
      </c>
    </row>
    <row r="151">
      <c r="A151" s="43">
        <f>IFERROR(INDEX($R$26:$R$156,ROW()-25),"")</f>
        <v/>
      </c>
      <c r="B151" s="25">
        <f>IFERROR((1/INDEX($S$26:$S$156,ROW()-25)-INDEX($W$26:$W$156,ROW()-25)/100)*10000,"")</f>
        <v/>
      </c>
      <c r="C151" s="25">
        <f>IFERROR((1/INDEX($AA$26:$AA$156,ROW()-25)-INDEX($AE$26:$AE$156,ROW()-25)/100)*10000,"")</f>
        <v/>
      </c>
      <c r="D151" s="25">
        <f>IFERROR((1/INDEX($AI$26:$AI$156,ROW()-25)-INDEX($AM$26:$AM$156,ROW()-25)/100)*10000,"")</f>
        <v/>
      </c>
      <c r="E151" s="25">
        <f>IFERROR((1/INDEX($AQ$26:$AQ$156,ROW()-25)-INDEX($AU$26:$AU$156,ROW()-25)/100)*10000,"")</f>
        <v/>
      </c>
      <c r="F151" s="25">
        <f>IFERROR((1/INDEX($AY$26:$AY$156,ROW()-25)-INDEX($BC$26:$BC$156,ROW()-25)/100)*10000,"")</f>
        <v/>
      </c>
    </row>
    <row r="152">
      <c r="A152" s="43">
        <f>IFERROR(INDEX($R$26:$R$156,ROW()-25),"")</f>
        <v/>
      </c>
      <c r="B152" s="25">
        <f>IFERROR((1/INDEX($S$26:$S$156,ROW()-25)-INDEX($W$26:$W$156,ROW()-25)/100)*10000,"")</f>
        <v/>
      </c>
      <c r="C152" s="25">
        <f>IFERROR((1/INDEX($AA$26:$AA$156,ROW()-25)-INDEX($AE$26:$AE$156,ROW()-25)/100)*10000,"")</f>
        <v/>
      </c>
      <c r="D152" s="25">
        <f>IFERROR((1/INDEX($AI$26:$AI$156,ROW()-25)-INDEX($AM$26:$AM$156,ROW()-25)/100)*10000,"")</f>
        <v/>
      </c>
      <c r="E152" s="25">
        <f>IFERROR((1/INDEX($AQ$26:$AQ$156,ROW()-25)-INDEX($AU$26:$AU$156,ROW()-25)/100)*10000,"")</f>
        <v/>
      </c>
      <c r="F152" s="25">
        <f>IFERROR((1/INDEX($AY$26:$AY$156,ROW()-25)-INDEX($BC$26:$BC$156,ROW()-25)/100)*10000,"")</f>
        <v/>
      </c>
    </row>
    <row r="153">
      <c r="A153" s="43">
        <f>IFERROR(INDEX($R$26:$R$156,ROW()-25),"")</f>
        <v/>
      </c>
      <c r="B153" s="25">
        <f>IFERROR((1/INDEX($S$26:$S$156,ROW()-25)-INDEX($W$26:$W$156,ROW()-25)/100)*10000,"")</f>
        <v/>
      </c>
      <c r="C153" s="25">
        <f>IFERROR((1/INDEX($AA$26:$AA$156,ROW()-25)-INDEX($AE$26:$AE$156,ROW()-25)/100)*10000,"")</f>
        <v/>
      </c>
      <c r="D153" s="25">
        <f>IFERROR((1/INDEX($AI$26:$AI$156,ROW()-25)-INDEX($AM$26:$AM$156,ROW()-25)/100)*10000,"")</f>
        <v/>
      </c>
      <c r="E153" s="25">
        <f>IFERROR((1/INDEX($AQ$26:$AQ$156,ROW()-25)-INDEX($AU$26:$AU$156,ROW()-25)/100)*10000,"")</f>
        <v/>
      </c>
      <c r="F153" s="25">
        <f>IFERROR((1/INDEX($AY$26:$AY$156,ROW()-25)-INDEX($BC$26:$BC$156,ROW()-25)/100)*10000,"")</f>
        <v/>
      </c>
    </row>
    <row r="154">
      <c r="A154" s="43">
        <f>IFERROR(INDEX($R$26:$R$156,ROW()-25),"")</f>
        <v/>
      </c>
      <c r="B154" s="25">
        <f>IFERROR((1/INDEX($S$26:$S$156,ROW()-25)-INDEX($W$26:$W$156,ROW()-25)/100)*10000,"")</f>
        <v/>
      </c>
      <c r="C154" s="25">
        <f>IFERROR((1/INDEX($AA$26:$AA$156,ROW()-25)-INDEX($AE$26:$AE$156,ROW()-25)/100)*10000,"")</f>
        <v/>
      </c>
      <c r="D154" s="25">
        <f>IFERROR((1/INDEX($AI$26:$AI$156,ROW()-25)-INDEX($AM$26:$AM$156,ROW()-25)/100)*10000,"")</f>
        <v/>
      </c>
      <c r="E154" s="25">
        <f>IFERROR((1/INDEX($AQ$26:$AQ$156,ROW()-25)-INDEX($AU$26:$AU$156,ROW()-25)/100)*10000,"")</f>
        <v/>
      </c>
      <c r="F154" s="25">
        <f>IFERROR((1/INDEX($AY$26:$AY$156,ROW()-25)-INDEX($BC$26:$BC$156,ROW()-25)/100)*10000,"")</f>
        <v/>
      </c>
    </row>
    <row r="155">
      <c r="A155" s="43">
        <f>IFERROR(INDEX($R$26:$R$156,ROW()-25),"")</f>
        <v/>
      </c>
      <c r="B155" s="25">
        <f>IFERROR((1/INDEX($S$26:$S$156,ROW()-25)-INDEX($W$26:$W$156,ROW()-25)/100)*10000,"")</f>
        <v/>
      </c>
      <c r="C155" s="25">
        <f>IFERROR((1/INDEX($AA$26:$AA$156,ROW()-25)-INDEX($AE$26:$AE$156,ROW()-25)/100)*10000,"")</f>
        <v/>
      </c>
      <c r="D155" s="25">
        <f>IFERROR((1/INDEX($AI$26:$AI$156,ROW()-25)-INDEX($AM$26:$AM$156,ROW()-25)/100)*10000,"")</f>
        <v/>
      </c>
      <c r="E155" s="25">
        <f>IFERROR((1/INDEX($AQ$26:$AQ$156,ROW()-25)-INDEX($AU$26:$AU$156,ROW()-25)/100)*10000,"")</f>
        <v/>
      </c>
      <c r="F155" s="25">
        <f>IFERROR((1/INDEX($AY$26:$AY$156,ROW()-25)-INDEX($BC$26:$BC$156,ROW()-25)/100)*10000,"")</f>
        <v/>
      </c>
    </row>
  </sheetData>
  <pageMargins left="0.75" right="0.75" top="1" bottom="1" header="0.5" footer="0.5"/>
  <drawing xmlns:r="http://schemas.openxmlformats.org/officeDocument/2006/relationships" r:id="rId1"/>
</worksheet>
</file>

<file path=xl/worksheets/sheet19.xml><?xml version="1.0" encoding="utf-8"?>
<worksheet xmlns="http://schemas.openxmlformats.org/spreadsheetml/2006/main">
  <sheetPr>
    <outlinePr summaryBelow="1" summaryRight="1"/>
    <pageSetUpPr/>
  </sheetPr>
  <dimension ref="A1:V387"/>
  <sheetViews>
    <sheetView showGridLines="0" workbookViewId="0">
      <pane ySplit="4" topLeftCell="A5" activePane="bottomLeft" state="frozen"/>
      <selection pane="bottomLeft" activeCell="A1" sqref="A1"/>
    </sheetView>
  </sheetViews>
  <sheetFormatPr baseColWidth="8" defaultRowHeight="15"/>
  <cols>
    <col width="12" customWidth="1" min="1" max="1"/>
    <col width="12" customWidth="1" min="2" max="2"/>
    <col width="12" customWidth="1" min="3" max="3"/>
    <col width="12" customWidth="1" min="4" max="4"/>
    <col width="11" customWidth="1" min="5" max="5"/>
    <col width="11" customWidth="1" min="6" max="6"/>
    <col width="11" customWidth="1" min="7" max="7"/>
    <col width="12" customWidth="1" min="8" max="8"/>
    <col width="11" customWidth="1" min="9" max="9"/>
    <col width="11" customWidth="1" min="10" max="10"/>
    <col width="12" customWidth="1" min="11" max="11"/>
  </cols>
  <sheetData>
    <row r="1">
      <c r="A1" s="1" t="inlineStr">
        <is>
          <t>JPY bull steepener — 2s10s</t>
        </is>
      </c>
    </row>
    <row r="2">
      <c r="A2" s="2" t="inlineStr">
        <is>
          <t>Receive 2y JPY OIS, pay 10y, DV01-neutral. Entry, exit and holding period come out of the mean-reversion tests below rather than out of a view.</t>
        </is>
      </c>
    </row>
    <row r="3" ht="4" customHeight="1">
      <c r="A3" s="3" t="n"/>
      <c r="B3" s="3" t="n"/>
      <c r="C3" s="3" t="n"/>
      <c r="D3" s="3" t="n"/>
      <c r="E3" s="3" t="n"/>
      <c r="F3" s="3" t="n"/>
      <c r="G3" s="3" t="n"/>
      <c r="H3" s="3" t="n"/>
      <c r="I3" s="3" t="n"/>
      <c r="J3" s="3" t="n"/>
      <c r="K3" s="3" t="n"/>
      <c r="L3" s="3" t="n"/>
    </row>
    <row r="5">
      <c r="A5" s="9" t="inlineStr">
        <is>
          <t>Why this trade — the four lines that carry it</t>
        </is>
      </c>
    </row>
    <row r="6" ht="30" customHeight="1">
      <c r="A6" s="5" t="inlineStr">
        <is>
          <t>The objection</t>
        </is>
      </c>
      <c r="B6" s="50" t="inlineStr">
        <is>
          <t>2s10s is at its steepest since 2010. That is the first question and it deserves the first answer.</t>
        </is>
      </c>
    </row>
    <row r="7" ht="30" customHeight="1">
      <c r="A7" s="5" t="inlineStr">
        <is>
          <t>The answer</t>
        </is>
      </c>
      <c r="B7" s="50" t="inlineStr">
        <is>
          <t>Every basis point of that steepening came from the long end selling off. The 2-year has never rallied in this cycle. In 2010 it sat near the policy rate with nothing to give back; today it prices about two more hikes. That inventory is the trade.</t>
        </is>
      </c>
    </row>
    <row r="8" ht="30" customHeight="1">
      <c r="A8" s="5" t="inlineStr">
        <is>
          <t>The mechanism</t>
        </is>
      </c>
      <c r="B8" s="50" t="inlineStr">
        <is>
          <t>Japan is the developed world's largest net energy importer. An energy shock is a terms-of-trade tax, not a demand-driven inflation. Real wages turn negative despite a 5%+ Shunto, consumption rolls, and the BoJ pauses. The front end is where that gets priced out.</t>
        </is>
      </c>
    </row>
    <row r="9" ht="30" customHeight="1">
      <c r="A9" s="5" t="inlineStr">
        <is>
          <t>Why it belongs in this book</t>
        </is>
      </c>
      <c r="B9" s="50" t="inlineStr">
        <is>
          <t>The book is long Japan banks on a rate-mechanical NIM story. This pays exactly when that fails. Two positions, negatively correlated through the same variable — the BoJ path.</t>
        </is>
      </c>
    </row>
    <row r="11">
      <c r="A11" s="9" t="inlineStr">
        <is>
          <t>Live indications — where the trade stands right now</t>
        </is>
      </c>
    </row>
    <row r="12" ht="18" customHeight="1">
      <c r="A12" s="4" t="inlineStr">
        <is>
          <t>Measure</t>
        </is>
      </c>
      <c r="B12" s="4" t="inlineStr">
        <is>
          <t>Ticker</t>
        </is>
      </c>
      <c r="C12" s="4" t="inlineStr">
        <is>
          <t>Value</t>
        </is>
      </c>
      <c r="D12" s="4" t="inlineStr">
        <is>
          <t>What it tells you</t>
        </is>
      </c>
    </row>
    <row r="13">
      <c r="A13" s="13" t="inlineStr">
        <is>
          <t>BoJ policy rate, %</t>
        </is>
      </c>
      <c r="B13" s="14" t="inlineStr">
        <is>
          <t>BOJDTR Index</t>
        </is>
      </c>
      <c r="C13" s="33">
        <f>BDP($B13,"PX_LAST")</f>
        <v/>
      </c>
      <c r="D13" s="7" t="inlineStr">
        <is>
          <t>1.00% since June. Held 8-1 in July.</t>
        </is>
      </c>
    </row>
    <row r="14">
      <c r="A14" s="13" t="inlineStr">
        <is>
          <t>JPY OIS 1y, %</t>
        </is>
      </c>
      <c r="B14" s="14" t="inlineStr">
        <is>
          <t>JYSO1 Curncy</t>
        </is>
      </c>
      <c r="C14" s="33">
        <f>BDP($B14,"PX_LAST")</f>
        <v/>
      </c>
      <c r="D14" s="7" t="inlineStr">
        <is>
          <t>Roll point for the front leg.</t>
        </is>
      </c>
    </row>
    <row r="15">
      <c r="A15" s="13" t="inlineStr">
        <is>
          <t>JPY OIS 2y, %</t>
        </is>
      </c>
      <c r="B15" s="14" t="inlineStr">
        <is>
          <t>JYSO2 Curncy</t>
        </is>
      </c>
      <c r="C15" s="33">
        <f>BDP($B15,"PX_LAST")</f>
        <v/>
      </c>
      <c r="D15" s="7" t="inlineStr">
        <is>
          <t>The leg we receive.</t>
        </is>
      </c>
    </row>
    <row r="16">
      <c r="A16" s="13" t="inlineStr">
        <is>
          <t>JPY OIS 5y, %</t>
        </is>
      </c>
      <c r="B16" s="14" t="inlineStr">
        <is>
          <t>JYSO5 Curncy</t>
        </is>
      </c>
      <c r="C16" s="33">
        <f>BDP($B16,"PX_LAST")</f>
        <v/>
      </c>
      <c r="D16" s="7" t="inlineStr">
        <is>
          <t>Interpolation point for the roll.</t>
        </is>
      </c>
    </row>
    <row r="17">
      <c r="A17" s="13" t="inlineStr">
        <is>
          <t>JPY OIS 10y, %</t>
        </is>
      </c>
      <c r="B17" s="14" t="inlineStr">
        <is>
          <t>JYSO10 Curncy</t>
        </is>
      </c>
      <c r="C17" s="33">
        <f>BDP($B17,"PX_LAST")</f>
        <v/>
      </c>
      <c r="D17" s="7" t="inlineStr">
        <is>
          <t>The leg we pay.</t>
        </is>
      </c>
    </row>
    <row r="18">
      <c r="A18" s="13" t="inlineStr">
        <is>
          <t>2s10s, bp</t>
        </is>
      </c>
      <c r="B18" s="29" t="n"/>
      <c r="C18" s="33">
        <f>IFERROR((C17-C15)*100,"")</f>
        <v/>
      </c>
      <c r="D18" s="7" t="inlineStr">
        <is>
          <t>The spread. Everything below is about this.</t>
        </is>
      </c>
    </row>
    <row r="19">
      <c r="A19" s="13" t="inlineStr">
        <is>
          <t>2y less policy rate, bp</t>
        </is>
      </c>
      <c r="B19" s="29" t="n"/>
      <c r="C19" s="33">
        <f>IFERROR((C15-C13)*100,"")</f>
        <v/>
      </c>
      <c r="D19" s="7" t="inlineStr">
        <is>
          <t>The inventory. This is what can be handed back.</t>
        </is>
      </c>
    </row>
    <row r="20">
      <c r="A20" s="13" t="inlineStr">
        <is>
          <t>Hikes priced to 1y, count</t>
        </is>
      </c>
      <c r="B20" s="29" t="n"/>
      <c r="C20" s="33">
        <f>IFERROR((C14-C13)/0.25,"")</f>
        <v/>
      </c>
      <c r="D20" s="7" t="inlineStr">
        <is>
          <t>Below about one, most of the trade has already happened.</t>
        </is>
      </c>
    </row>
    <row r="21">
      <c r="A21" s="13" t="inlineStr">
        <is>
          <t>2s10s percentile, 5y</t>
        </is>
      </c>
      <c r="B21" s="29" t="n"/>
      <c r="C21" s="54">
        <f>IFERROR(PERCENTRANK.INC($D$108:$D$387,C18),"")</f>
        <v/>
      </c>
      <c r="D21" s="7" t="inlineStr">
        <is>
          <t>Above 0.90 the level objection has teeth. Lead with the decomposition.</t>
        </is>
      </c>
    </row>
    <row r="22">
      <c r="A22" s="13" t="inlineStr">
        <is>
          <t>Current z-score</t>
        </is>
      </c>
      <c r="B22" s="29" t="n"/>
      <c r="C22" s="42">
        <f>IFERROR((C18-$C$24)/$C$25,"")</f>
        <v/>
      </c>
      <c r="D22" s="7" t="inlineStr">
        <is>
          <t>Standard deviations from the 5-year mean. The entry metric.</t>
        </is>
      </c>
    </row>
    <row r="24">
      <c r="A24" s="9" t="inlineStr">
        <is>
          <t>Is 2s10s mean-reverting? The tests, and what would fail them</t>
        </is>
      </c>
      <c r="C24" s="56">
        <f>IFERROR(AVERAGE($D$108:$D$387),"")</f>
        <v/>
      </c>
    </row>
    <row r="25">
      <c r="C25" s="56">
        <f>IFERROR(STDEV.S($D$108:$D$387),"")</f>
        <v/>
      </c>
    </row>
    <row r="26" ht="18" customHeight="1">
      <c r="A26" s="4" t="inlineStr">
        <is>
          <t>Test</t>
        </is>
      </c>
      <c r="B26" s="4" t="inlineStr">
        <is>
          <t>Statistic</t>
        </is>
      </c>
      <c r="C26" s="4" t="inlineStr">
        <is>
          <t>Value</t>
        </is>
      </c>
      <c r="D26" s="4" t="inlineStr">
        <is>
          <t>Threshold</t>
        </is>
      </c>
      <c r="E26" s="4" t="inlineStr">
        <is>
          <t>Verdict</t>
        </is>
      </c>
    </row>
    <row r="27">
      <c r="A27" s="13" t="inlineStr">
        <is>
          <t>5-year mean, bp</t>
        </is>
      </c>
      <c r="B27" s="14" t="inlineStr">
        <is>
          <t>AVERAGE</t>
        </is>
      </c>
      <c r="C27" s="57">
        <f>C24</f>
        <v/>
      </c>
      <c r="D27" s="14" t="inlineStr"/>
      <c r="E27" s="58" t="inlineStr"/>
    </row>
    <row r="28">
      <c r="A28" s="13" t="inlineStr">
        <is>
          <t>5-year standard deviation, bp</t>
        </is>
      </c>
      <c r="B28" s="14" t="inlineStr">
        <is>
          <t>STDEV.S</t>
        </is>
      </c>
      <c r="C28" s="57">
        <f>C25</f>
        <v/>
      </c>
      <c r="D28" s="14" t="inlineStr"/>
      <c r="E28" s="58" t="inlineStr"/>
    </row>
    <row r="29">
      <c r="A29" s="13" t="inlineStr">
        <is>
          <t>AR(1) mean-reversion speed</t>
        </is>
      </c>
      <c r="B29" s="14" t="inlineStr">
        <is>
          <t>SLOPE(dY, Y-1) = lambda</t>
        </is>
      </c>
      <c r="C29" s="59">
        <f>IFERROR(SLOPE($E$108:$E$387,$F$108:$F$387),"")</f>
        <v/>
      </c>
      <c r="D29" s="14" t="inlineStr">
        <is>
          <t>&lt; 0</t>
        </is>
      </c>
      <c r="E29" s="58">
        <f>IF(C29="","",IF(C29&lt;0,"Negative — the series pulls back toward its mean","Positive — no mean reversion. Do not size off these tests."))</f>
        <v/>
      </c>
    </row>
    <row r="30">
      <c r="A30" s="13" t="inlineStr">
        <is>
          <t>Implied long-run mean, bp</t>
        </is>
      </c>
      <c r="B30" s="14" t="inlineStr">
        <is>
          <t>-intercept / lambda</t>
        </is>
      </c>
      <c r="C30" s="57">
        <f>IFERROR(-INTERCEPT($E$108:$E$387,$F$108:$F$387)/C29,"")</f>
        <v/>
      </c>
      <c r="D30" s="14" t="inlineStr"/>
      <c r="E30" s="58" t="inlineStr">
        <is>
          <t>Where the AR(1) says the series is pulled to. Compare with the simple mean above.</t>
        </is>
      </c>
    </row>
    <row r="31">
      <c r="A31" s="13" t="inlineStr">
        <is>
          <t>Half-life of a deviation, weeks</t>
        </is>
      </c>
      <c r="B31" s="14" t="inlineStr">
        <is>
          <t>-LN(2) / LN(1+lambda)</t>
        </is>
      </c>
      <c r="C31" s="57">
        <f>IFERROR(IF(C29&lt;0,-LN(2)/LN(1+C29),""),"")</f>
        <v/>
      </c>
      <c r="D31" s="14" t="inlineStr"/>
      <c r="E31" s="58">
        <f>IF(C31="","",IF(C31&lt;40,"Inside a 3-6 month horizon — the trade has time to work","Longer than the horizon. Either widen the horizon or accept this is a carry trade."))</f>
        <v/>
      </c>
    </row>
    <row r="32">
      <c r="A32" s="13" t="inlineStr">
        <is>
          <t>Standard error of lambda</t>
        </is>
      </c>
      <c r="B32" s="14" t="inlineStr">
        <is>
          <t>STEYX / SQRT(DEVSQ)</t>
        </is>
      </c>
      <c r="C32" s="59">
        <f>IFERROR(STEYX($E$108:$E$387,$F$108:$F$387)/SQRT(DEVSQ($F$108:$F$387)),"")</f>
        <v/>
      </c>
      <c r="D32" s="14" t="inlineStr"/>
      <c r="E32" s="58" t="inlineStr"/>
    </row>
    <row r="33">
      <c r="A33" s="13" t="inlineStr">
        <is>
          <t>Dickey-Fuller t-statistic</t>
        </is>
      </c>
      <c r="B33" s="14" t="inlineStr">
        <is>
          <t>lambda / SE(lambda)</t>
        </is>
      </c>
      <c r="C33" s="59">
        <f>IFERROR(C29/C32,"")</f>
        <v/>
      </c>
      <c r="D33" s="14" t="inlineStr">
        <is>
          <t>&lt; -2.86</t>
        </is>
      </c>
      <c r="E33" s="58">
        <f>IF(C33="","",IF(C33&lt;-3.43,"Rejects a unit root at 1% — strong mean reversion",IF(C33&lt;-2.86,"Rejects at 5% — mean reverting",IF(C33&lt;-2.57,"Rejects at 10% only — weak","Cannot reject a unit root. The level tells you nothing about the next move."))))</f>
        <v/>
      </c>
    </row>
    <row r="34">
      <c r="A34" s="13" t="inlineStr">
        <is>
          <t>Variance ratio, 4 weeks</t>
        </is>
      </c>
      <c r="B34" s="14" t="inlineStr">
        <is>
          <t>Var(4w) / (4 x Var(1w))</t>
        </is>
      </c>
      <c r="C34" s="59">
        <f>IFERROR(VAR.S($I$108:$I$387)/(4*VAR.S($E$108:$E$387)),"")</f>
        <v/>
      </c>
      <c r="D34" s="14" t="inlineStr">
        <is>
          <t>&lt; 1</t>
        </is>
      </c>
      <c r="E34" s="58" t="inlineStr">
        <is>
          <t>Below 1 is mean reversion; above 1 is trending; 1 is a random walk.</t>
        </is>
      </c>
    </row>
    <row r="35">
      <c r="A35" s="13" t="inlineStr">
        <is>
          <t>Variance ratio, 13 weeks</t>
        </is>
      </c>
      <c r="B35" s="14" t="inlineStr">
        <is>
          <t>Var(13w) / (13 x Var(1w))</t>
        </is>
      </c>
      <c r="C35" s="59">
        <f>IFERROR(VAR.S($J$108:$J$387)/(13*VAR.S($E$108:$E$387)),"")</f>
        <v/>
      </c>
      <c r="D35" s="14" t="inlineStr">
        <is>
          <t>&lt; 1</t>
        </is>
      </c>
      <c r="E35" s="58">
        <f>IF(C35="","",IF(C35&lt;1,"Mean reverting over a quarter — consistent with the entry rule","Trending over a quarter. Momentum entry, not a value entry."))</f>
        <v/>
      </c>
    </row>
    <row r="36">
      <c r="A36" s="13" t="inlineStr">
        <is>
          <t>VR(13) z-statistic</t>
        </is>
      </c>
      <c r="B36" s="14" t="inlineStr">
        <is>
          <t>(VR-1) / SQRT(2(2q-1)(q-1)/(3qT))</t>
        </is>
      </c>
      <c r="C36" s="59">
        <f>IFERROR((C35-1)/SQRT(2*(2*13-1)*(13-1)/(3*13*COUNT($E$108:$E$387))),"")</f>
        <v/>
      </c>
      <c r="D36" s="14" t="inlineStr">
        <is>
          <t>&lt; -1.96</t>
        </is>
      </c>
      <c r="E36" s="58" t="inlineStr">
        <is>
          <t>Below -1.96 the variance ratio is significantly under 1 at 5%.</t>
        </is>
      </c>
    </row>
    <row r="37">
      <c r="A37" s="13" t="inlineStr">
        <is>
          <t>Autocorrelation of weekly changes, lag 1</t>
        </is>
      </c>
      <c r="B37" s="14" t="inlineStr">
        <is>
          <t>CORREL(dY_t, dY_t-1)</t>
        </is>
      </c>
      <c r="C37" s="59">
        <f>IFERROR(CORREL(OFFSET($E$108:$E$387,1,0),OFFSET($E$108:$E$387,0,0)),"")</f>
        <v/>
      </c>
      <c r="D37" s="14" t="inlineStr"/>
      <c r="E37" s="58" t="inlineStr">
        <is>
          <t>Negative supports reversion at weekly frequency; near zero is normal for a spread.</t>
        </is>
      </c>
    </row>
    <row r="38">
      <c r="A38" s="13" t="inlineStr">
        <is>
          <t>Observations</t>
        </is>
      </c>
      <c r="B38" s="14" t="inlineStr">
        <is>
          <t>COUNT</t>
        </is>
      </c>
      <c r="C38" s="22">
        <f>COUNT($E$108:$E$387)</f>
        <v/>
      </c>
      <c r="D38" s="14" t="inlineStr">
        <is>
          <t>&gt; 150</t>
        </is>
      </c>
      <c r="E38" s="58" t="inlineStr">
        <is>
          <t>Below about 150 weekly points the tests above are not worth quoting.</t>
        </is>
      </c>
    </row>
    <row r="40">
      <c r="A40" s="12" t="inlineStr">
        <is>
          <t>The Dickey-Fuller critical values (-2.57 / -2.86 / -3.43 at 10 / 5 / 1%) and the variance-ratio z threshold are statistical constants, not market data — they are the only hardcoded numbers on this tab. Everything else recomputes on refresh.</t>
        </is>
      </c>
    </row>
    <row r="42">
      <c r="A42" s="12" t="inlineStr">
        <is>
          <t>Read the tests in this order: if the Dickey-Fuller statistic does not reject a unit root, stop. The entry and exit levels below are derived from mean reversion, and without it they are decoration. Say that in the room before anyone else does.</t>
        </is>
      </c>
    </row>
    <row r="45">
      <c r="A45" s="9" t="inlineStr">
        <is>
          <t>Entry and exit — derived from the tests, not chosen</t>
        </is>
      </c>
    </row>
    <row r="46" ht="18" customHeight="1">
      <c r="A46" s="4" t="inlineStr">
        <is>
          <t>Rule</t>
        </is>
      </c>
      <c r="B46" s="4" t="inlineStr">
        <is>
          <t>Level, bp</t>
        </is>
      </c>
      <c r="C46" s="4" t="inlineStr">
        <is>
          <t>Basis</t>
        </is>
      </c>
      <c r="D46" s="4" t="inlineStr">
        <is>
          <t>Note</t>
        </is>
      </c>
    </row>
    <row r="47">
      <c r="A47" s="13" t="inlineStr">
        <is>
          <t>Entry — value</t>
        </is>
      </c>
      <c r="B47" s="22">
        <f>IFERROR($C$24-$C$25,"")</f>
        <v/>
      </c>
      <c r="C47" s="14" t="inlineStr">
        <is>
          <t>mean less 1 SD</t>
        </is>
      </c>
      <c r="D47" s="58" t="inlineStr">
        <is>
          <t>Where the curve is flat against its own history. The z-score entry.</t>
        </is>
      </c>
    </row>
    <row r="48">
      <c r="A48" s="13" t="inlineStr">
        <is>
          <t>Entry — catalyst</t>
        </is>
      </c>
      <c r="B48" s="22">
        <f>IFERROR($C$18-8,"")</f>
        <v/>
      </c>
      <c r="C48" s="14" t="inlineStr">
        <is>
          <t>sell the hike</t>
        </is>
      </c>
      <c r="D48" s="58" t="inlineStr">
        <is>
          <t>The better entry is the session after a delivered BoJ hike, when the front end has sold off. A level without a catalyst is hoping.</t>
        </is>
      </c>
    </row>
    <row r="49">
      <c r="A49" s="13" t="inlineStr">
        <is>
          <t>Target</t>
        </is>
      </c>
      <c r="B49" s="22">
        <f>IFERROR($C$24+$C$25,"")</f>
        <v/>
      </c>
      <c r="C49" s="14" t="inlineStr">
        <is>
          <t>mean plus 1 SD</t>
        </is>
      </c>
      <c r="D49" s="58" t="inlineStr">
        <is>
          <t>Symmetric with the entry. Take it off; do not hold for the tail.</t>
        </is>
      </c>
    </row>
    <row r="50">
      <c r="A50" s="13" t="inlineStr">
        <is>
          <t>Stretch target</t>
        </is>
      </c>
      <c r="B50" s="22">
        <f>IFERROR(PERCENTILE.INC($D$108:$D$387,0.9),"")</f>
        <v/>
      </c>
      <c r="C50" s="14" t="inlineStr">
        <is>
          <t>90th percentile, 5y</t>
        </is>
      </c>
      <c r="D50" s="58" t="inlineStr">
        <is>
          <t>Only if the front end has started doing the work — check the decomposition.</t>
        </is>
      </c>
    </row>
    <row r="51">
      <c r="A51" s="13" t="inlineStr">
        <is>
          <t>Stop</t>
        </is>
      </c>
      <c r="B51" s="22">
        <f>IFERROR($C$24-2*$C$25,"")</f>
        <v/>
      </c>
      <c r="C51" s="14" t="inlineStr">
        <is>
          <t>mean less 2 SD</t>
        </is>
      </c>
      <c r="D51" s="58" t="inlineStr">
        <is>
          <t>Two standard deviations wrong means the mean-reversion premise has broken, not that the trade is early.</t>
        </is>
      </c>
    </row>
    <row r="52">
      <c r="A52" s="13" t="inlineStr">
        <is>
          <t>Risk / reward at current level</t>
        </is>
      </c>
      <c r="B52" s="33">
        <f>IFERROR((B49-$C$18)/($C$18-B51),"")</f>
        <v/>
      </c>
      <c r="C52" s="14" t="inlineStr">
        <is>
          <t>derived</t>
        </is>
      </c>
      <c r="D52" s="58" t="inlineStr">
        <is>
          <t>Target less spot, over spot less stop. Recompute on the morning.</t>
        </is>
      </c>
    </row>
    <row r="53">
      <c r="A53" s="13" t="inlineStr">
        <is>
          <t>Expected time to target, weeks</t>
        </is>
      </c>
      <c r="B53" s="57">
        <f>IFERROR(IF(AND($C$31&gt;0,$C$18&lt;$C$24),$C$31*LN(ABS(($C$18-$C$24)/(($C$24+$C$25)-$C$24)))/LN(0.5),""),"")</f>
        <v/>
      </c>
      <c r="C53" s="14" t="inlineStr">
        <is>
          <t>half-life</t>
        </is>
      </c>
      <c r="D53" s="58" t="inlineStr">
        <is>
          <t>How long an OU process with this half-life takes to close the gap. Sets the horizon rather than guessing 3-6 months.</t>
        </is>
      </c>
    </row>
    <row r="56">
      <c r="A56" s="9" t="inlineStr">
        <is>
          <t>Backtest of the entry rule — 26 weeks forward, on this same history</t>
        </is>
      </c>
    </row>
    <row r="57">
      <c r="A57" s="12" t="inlineStr">
        <is>
          <t>Column H holds the change in 2s10s over the 26 weeks AFTER each observation. Conditioning it on the z-score at the time is the whole test: if a low z-score has not historically been followed by steepening, the entry rule is a story.</t>
        </is>
      </c>
    </row>
    <row r="59" ht="18" customHeight="1">
      <c r="A59" s="4" t="inlineStr">
        <is>
          <t>Condition at entry</t>
        </is>
      </c>
      <c r="B59" s="4" t="inlineStr">
        <is>
          <t>Observations</t>
        </is>
      </c>
      <c r="C59" s="4" t="inlineStr">
        <is>
          <t>Mean 26w change, bp</t>
        </is>
      </c>
      <c r="D59" s="4" t="inlineStr">
        <is>
          <t>Hit rate</t>
        </is>
      </c>
      <c r="E59" s="4" t="inlineStr">
        <is>
          <t>Worst 26w, bp</t>
        </is>
      </c>
    </row>
    <row r="60">
      <c r="A60" s="13" t="inlineStr">
        <is>
          <t>z &lt;= -1.0  (the entry rule)</t>
        </is>
      </c>
      <c r="B60" s="13">
        <f>COUNTIFS($G$108:$G$387,"&lt;=-1",$H$108:$H$387,"&lt;&gt;")</f>
        <v/>
      </c>
      <c r="C60" s="52">
        <f>IFERROR(AVERAGEIFS($H$108:$H$387,$G$108:$G$387,"&lt;=-1"),"")</f>
        <v/>
      </c>
      <c r="D60" s="54">
        <f>IFERROR(COUNTIFS($G$108:$G$387,"&lt;=-1",$H$108:$H$387,"&gt;0")/COUNTIFS($G$108:$G$387,"&lt;=-1",$H$108:$H$387,"&lt;&gt;"),"")</f>
        <v/>
      </c>
      <c r="E60" s="53">
        <f>IFERROR(MINIFS($H$108:$H$387,$G$108:$G$387,"&lt;=-1"),"")</f>
        <v/>
      </c>
    </row>
    <row r="61">
      <c r="A61" s="13" t="inlineStr">
        <is>
          <t>-1.0 &lt; z &lt;= 0</t>
        </is>
      </c>
      <c r="B61" s="13">
        <f>COUNTIFS($G$108:$G$387,"&gt;-1",$G$108:$G$387,"&lt;=0",$H$108:$H$387,"&lt;&gt;")</f>
        <v/>
      </c>
      <c r="C61" s="52">
        <f>IFERROR(AVERAGEIFS($H$108:$H$387,$G$108:$G$387,"&gt;-1",$G$108:$G$387,"&lt;=0"),"")</f>
        <v/>
      </c>
      <c r="D61" s="54">
        <f>IFERROR(COUNTIFS($G$108:$G$387,"&gt;-1",$G$108:$G$387,"&lt;=0",$H$108:$H$387,"&gt;0")/COUNTIFS($G$108:$G$387,"&gt;-1",$G$108:$G$387,"&lt;=0",$H$108:$H$387,"&lt;&gt;"),"")</f>
        <v/>
      </c>
      <c r="E61" s="60" t="n"/>
    </row>
    <row r="62">
      <c r="A62" s="13" t="inlineStr">
        <is>
          <t>z &gt; 0</t>
        </is>
      </c>
      <c r="B62" s="13">
        <f>COUNTIFS($G$108:$G$387,"&gt;0",$H$108:$H$387,"&lt;&gt;")</f>
        <v/>
      </c>
      <c r="C62" s="52">
        <f>IFERROR(AVERAGEIFS($H$108:$H$387,$G$108:$G$387,"&gt;0"),"")</f>
        <v/>
      </c>
      <c r="D62" s="54">
        <f>IFERROR(COUNTIFS($G$108:$G$387,"&gt;0",$H$108:$H$387,"&gt;0")/COUNTIFS($G$108:$G$387,"&gt;0",$H$108:$H$387,"&lt;&gt;"),"")</f>
        <v/>
      </c>
      <c r="E62" s="53">
        <f>IFERROR(MINIFS($H$108:$H$387,$G$108:$G$387,"&gt;0"),"")</f>
        <v/>
      </c>
    </row>
    <row r="63">
      <c r="A63" s="13" t="inlineStr">
        <is>
          <t>z &gt;= +1.0  (the exit zone)</t>
        </is>
      </c>
      <c r="B63" s="13">
        <f>COUNTIFS($G$108:$G$387,"&gt;=1",$H$108:$H$387,"&lt;&gt;")</f>
        <v/>
      </c>
      <c r="C63" s="52">
        <f>IFERROR(AVERAGEIFS($H$108:$H$387,$G$108:$G$387,"&gt;=1"),"")</f>
        <v/>
      </c>
      <c r="D63" s="54">
        <f>IFERROR(COUNTIFS($G$108:$G$387,"&gt;=1",$H$108:$H$387,"&gt;0")/COUNTIFS($G$108:$G$387,"&gt;=1",$H$108:$H$387,"&lt;&gt;"),"")</f>
        <v/>
      </c>
      <c r="E63" s="53">
        <f>IFERROR(MINIFS($H$108:$H$387,$G$108:$G$387,"&gt;=1"),"")</f>
        <v/>
      </c>
    </row>
    <row r="64">
      <c r="A64" s="13" t="inlineStr">
        <is>
          <t>All observations</t>
        </is>
      </c>
      <c r="B64" s="13">
        <f>COUNT($H$108:$H$387)</f>
        <v/>
      </c>
      <c r="C64" s="52">
        <f>IFERROR(AVERAGE($H$108:$H$387),"")</f>
        <v/>
      </c>
      <c r="D64" s="54">
        <f>IFERROR(COUNTIF($H$108:$H$387,"&gt;0")/COUNT($H$108:$H$387),"")</f>
        <v/>
      </c>
      <c r="E64" s="53">
        <f>IFERROR(MIN($H$108:$H$387),"")</f>
        <v/>
      </c>
    </row>
    <row r="66">
      <c r="A66" s="12" t="inlineStr">
        <is>
          <t>What good looks like: the z &lt;= -1 row should show a materially higher mean 26-week change and hit rate than the all-observations row. If it does not, the entry rule adds nothing over just being long the steepener all the time — which is a legitimate finding, and a much better thing to say than to discover it in Q&amp;A.</t>
        </is>
      </c>
    </row>
    <row r="68">
      <c r="A68" s="12" t="inlineStr">
        <is>
          <t>Two caveats to volunteer. The windows overlap, so the observation count overstates independence — treat the hit rate as indicative, not as a t-test. And five years covers one regime: BoJ normalisation. There is no 2s10s history here of a BoJ that pauses, which is exactly the state the trade is underwriting.</t>
        </is>
      </c>
    </row>
    <row r="71">
      <c r="A71" s="9" t="inlineStr">
        <is>
          <t>Instruments — what to actually put on</t>
        </is>
      </c>
    </row>
    <row r="72" ht="18" customHeight="1">
      <c r="A72" s="4" t="inlineStr">
        <is>
          <t>Expression</t>
        </is>
      </c>
      <c r="B72" s="4" t="inlineStr">
        <is>
          <t>What it isolates</t>
        </is>
      </c>
      <c r="C72" s="4" t="inlineStr">
        <is>
          <t>Hedge ratio</t>
        </is>
      </c>
      <c r="D72" s="4" t="inlineStr">
        <is>
          <t>Carry</t>
        </is>
      </c>
      <c r="E72" s="4" t="inlineStr">
        <is>
          <t>Best when</t>
        </is>
      </c>
    </row>
    <row r="73" ht="26" customHeight="1">
      <c r="A73" s="5" t="inlineStr">
        <is>
          <t>Receive 2y / pay 10y JPY OIS</t>
        </is>
      </c>
      <c r="B73" s="13" t="inlineStr">
        <is>
          <t>The BoJ path, cleanly</t>
        </is>
      </c>
      <c r="C73" s="61">
        <f>IFERROR($C$81,"")</f>
        <v/>
      </c>
      <c r="D73" s="13" t="inlineStr">
        <is>
          <t>Positive — see below</t>
        </is>
      </c>
      <c r="E73" s="58" t="inlineStr">
        <is>
          <t>Default. No repo, no specialness, no balance sheet, and OIS is where the policy path is actually priced.</t>
        </is>
      </c>
    </row>
    <row r="74" ht="26" customHeight="1">
      <c r="A74" s="5" t="inlineStr">
        <is>
          <t>Cash JGB 2s10s, DV01-weighted</t>
        </is>
      </c>
      <c r="B74" s="13" t="inlineStr">
        <is>
          <t>Same, plus JGB-specific supply</t>
        </is>
      </c>
      <c r="C74" s="61" t="inlineStr">
        <is>
          <t>same ratio</t>
        </is>
      </c>
      <c r="D74" s="13" t="inlineStr">
        <is>
          <t>Repo-dependent</t>
        </is>
      </c>
      <c r="E74" s="58" t="inlineStr">
        <is>
          <t>If swap lines are the binding constraint. Carries specialness risk in the 10y on-the-run.</t>
        </is>
      </c>
    </row>
    <row r="75" ht="26" customHeight="1">
      <c r="A75" s="5" t="inlineStr">
        <is>
          <t>Receive 2y OIS vs short JB futures</t>
        </is>
      </c>
      <c r="B75" s="13" t="inlineStr">
        <is>
          <t>The path, hedged with the liquid instrument</t>
        </is>
      </c>
      <c r="C75" s="61" t="inlineStr">
        <is>
          <t>by futures DV01</t>
        </is>
      </c>
      <c r="D75" s="13" t="inlineStr">
        <is>
          <t>Negative roll on futures</t>
        </is>
      </c>
      <c r="E75" s="58" t="inlineStr">
        <is>
          <t>Fastest to put on intraday. Basis between CTD and the 10y point is a real cost over a 3-6 month hold.</t>
        </is>
      </c>
    </row>
    <row r="76" ht="26" customHeight="1">
      <c r="A76" s="5" t="inlineStr">
        <is>
          <t>6m2y receiver vs 6m10y receiver</t>
        </is>
      </c>
      <c r="B76" s="13" t="inlineStr">
        <is>
          <t>The BULL path only</t>
        </is>
      </c>
      <c r="C76" s="61" t="inlineStr">
        <is>
          <t>premium-weighted</t>
        </is>
      </c>
      <c r="D76" s="13" t="inlineStr">
        <is>
          <t>Premium at risk</t>
        </is>
      </c>
      <c r="E76" s="58" t="inlineStr">
        <is>
          <t>The purest expression of this specific thesis: it pays if the front end rallies and expires worthless if the curve bear-steepens. Defined risk, and it does not lose in the bear-flattener state.</t>
        </is>
      </c>
    </row>
    <row r="77" ht="26" customHeight="1">
      <c r="A77" s="5" t="inlineStr">
        <is>
          <t>2s30s instead of 2s10s</t>
        </is>
      </c>
      <c r="B77" s="13" t="inlineStr">
        <is>
          <t>Path plus term premium</t>
        </is>
      </c>
      <c r="C77" s="61" t="inlineStr">
        <is>
          <t>lower ratio</t>
        </is>
      </c>
      <c r="D77" s="13" t="inlineStr">
        <is>
          <t>Higher positive</t>
        </is>
      </c>
      <c r="E77" s="58" t="inlineStr">
        <is>
          <t>Higher beta and better carry, but it mixes the BoJ view with a fiscal supply view. Use it if you want both; do not use it to argue this one.</t>
        </is>
      </c>
    </row>
    <row r="78">
      <c r="A78" s="9" t="inlineStr">
        <is>
          <t>Hedge ratio and carry — computed off the live curve</t>
        </is>
      </c>
    </row>
    <row r="79">
      <c r="A79" s="13" t="inlineStr">
        <is>
          <t>Modified duration, 2y par swap</t>
        </is>
      </c>
      <c r="B79" s="29" t="n"/>
      <c r="C79" s="33">
        <f>IFERROR((1-(1+C15/100)^-2)/(C15/100),"")</f>
        <v/>
      </c>
      <c r="D79" s="58" t="inlineStr">
        <is>
          <t>Closed form for a par swap. Shown so the ratio is checkable.</t>
        </is>
      </c>
    </row>
    <row r="80">
      <c r="A80" s="13" t="inlineStr">
        <is>
          <t>Modified duration, 10y par swap</t>
        </is>
      </c>
      <c r="B80" s="29" t="n"/>
      <c r="C80" s="33">
        <f>IFERROR((1-(1+C17/100)^-10)/(C17/100),"")</f>
        <v/>
      </c>
      <c r="D80" s="58" t="inlineStr"/>
    </row>
    <row r="81">
      <c r="A81" s="13" t="inlineStr">
        <is>
          <t>DV01 hedge ratio, 2y per 1 of 10y</t>
        </is>
      </c>
      <c r="B81" s="29" t="n"/>
      <c r="C81" s="33">
        <f>IFERROR(C80/C79,"")</f>
        <v/>
      </c>
      <c r="D81" s="58" t="inlineStr">
        <is>
          <t>Receive this many units of 2y for every unit of 10y paid.</t>
        </is>
      </c>
    </row>
    <row r="82">
      <c r="A82" s="13" t="inlineStr">
        <is>
          <t>1.75y yield, interpolated</t>
        </is>
      </c>
      <c r="B82" s="29" t="n"/>
      <c r="C82" s="33">
        <f>IFERROR(C14+(C15-C14)*0.75,"")</f>
        <v/>
      </c>
      <c r="D82" s="58" t="inlineStr">
        <is>
          <t>Where the 2y leg sits in 3 months.</t>
        </is>
      </c>
    </row>
    <row r="83">
      <c r="A83" s="13" t="inlineStr">
        <is>
          <t>9.75y yield, interpolated</t>
        </is>
      </c>
      <c r="B83" s="29" t="n"/>
      <c r="C83" s="33">
        <f>IFERROR(C16+(C17-C16)*(4.75/5),"")</f>
        <v/>
      </c>
      <c r="D83" s="58" t="inlineStr">
        <is>
          <t>Where the 10y leg sits in 3 months.</t>
        </is>
      </c>
    </row>
    <row r="84">
      <c r="A84" s="13" t="inlineStr">
        <is>
          <t>Carry and roll, bp of 2s10s per quarter</t>
        </is>
      </c>
      <c r="B84" s="29" t="n"/>
      <c r="C84" s="33">
        <f>IFERROR(((C83-C82)-(C17-C15))*100,"")</f>
        <v/>
      </c>
      <c r="D84" s="58" t="inlineStr">
        <is>
          <t>The spread you earn in three months if the curve does not move. Positive means you are paid to wait, which matters when the catalyst is a data path rather than an event.</t>
        </is>
      </c>
    </row>
    <row r="85">
      <c r="A85" s="13" t="inlineStr">
        <is>
          <t>Quarters of carry to cover the stop</t>
        </is>
      </c>
      <c r="B85" s="29" t="n"/>
      <c r="C85" s="33">
        <f>IFERROR(($C$18-$B$51)/C84,"")</f>
        <v/>
      </c>
      <c r="D85" s="58" t="inlineStr">
        <is>
          <t>How long carry alone funds the distance to the stop.</t>
        </is>
      </c>
    </row>
    <row r="88">
      <c r="A88" s="9" t="inlineStr">
        <is>
          <t>How the curve got here — the exhibit that answers the objection</t>
        </is>
      </c>
    </row>
    <row r="89" ht="18" customHeight="1">
      <c r="A89" s="4" t="inlineStr">
        <is>
          <t>Window</t>
        </is>
      </c>
      <c r="B89" s="4" t="inlineStr">
        <is>
          <t>2y change, bp</t>
        </is>
      </c>
      <c r="C89" s="4" t="inlineStr">
        <is>
          <t>10y change, bp</t>
        </is>
      </c>
      <c r="D89" s="4" t="inlineStr">
        <is>
          <t>2s10s change, bp</t>
        </is>
      </c>
      <c r="E89" s="4" t="inlineStr">
        <is>
          <t>Read</t>
        </is>
      </c>
    </row>
    <row r="90">
      <c r="A90" s="13" t="inlineStr">
        <is>
          <t>1 month</t>
        </is>
      </c>
      <c r="B90" s="53">
        <f>IFERROR((INDEX($B$108:$B$387,COUNT($D$108:$D$387))-INDEX($B$108:$B$387,COUNT($D$108:$D$387)-4))*100,"")</f>
        <v/>
      </c>
      <c r="C90" s="53">
        <f>IFERROR((INDEX($C$108:$C$387,COUNT($D$108:$D$387))-INDEX($C$108:$C$387,COUNT($D$108:$D$387)-4))*100,"")</f>
        <v/>
      </c>
      <c r="D90" s="52">
        <f>IFERROR(INDEX($D$108:$D$387,COUNT($D$108:$D$387))-INDEX($D$108:$D$387,COUNT($D$108:$D$387)-4),"")</f>
        <v/>
      </c>
      <c r="E90" s="7">
        <f>IF(D90="","",IF(AND(B90&gt;0,C90&gt;0,D90&gt;0),"BEAR steepening — long end did the work",IF(AND(B90&lt;0,C90&lt;0,D90&gt;0),"BULL steepening — the front end rallied",IF(D90&lt;0,"Flattening","Mixed"))))</f>
        <v/>
      </c>
    </row>
    <row r="91">
      <c r="A91" s="13" t="inlineStr">
        <is>
          <t>3 months</t>
        </is>
      </c>
      <c r="B91" s="53">
        <f>IFERROR((INDEX($B$108:$B$387,COUNT($D$108:$D$387))-INDEX($B$108:$B$387,COUNT($D$108:$D$387)-13))*100,"")</f>
        <v/>
      </c>
      <c r="C91" s="53">
        <f>IFERROR((INDEX($C$108:$C$387,COUNT($D$108:$D$387))-INDEX($C$108:$C$387,COUNT($D$108:$D$387)-13))*100,"")</f>
        <v/>
      </c>
      <c r="D91" s="52">
        <f>IFERROR(INDEX($D$108:$D$387,COUNT($D$108:$D$387))-INDEX($D$108:$D$387,COUNT($D$108:$D$387)-13),"")</f>
        <v/>
      </c>
      <c r="E91" s="7">
        <f>IF(D91="","",IF(AND(B91&gt;0,C91&gt;0,D91&gt;0),"BEAR steepening — long end did the work",IF(AND(B91&lt;0,C91&lt;0,D91&gt;0),"BULL steepening — the front end rallied",IF(D91&lt;0,"Flattening","Mixed"))))</f>
        <v/>
      </c>
    </row>
    <row r="92">
      <c r="A92" s="13" t="inlineStr">
        <is>
          <t>6 months</t>
        </is>
      </c>
      <c r="B92" s="53">
        <f>IFERROR((INDEX($B$108:$B$387,COUNT($D$108:$D$387))-INDEX($B$108:$B$387,COUNT($D$108:$D$387)-26))*100,"")</f>
        <v/>
      </c>
      <c r="C92" s="53">
        <f>IFERROR((INDEX($C$108:$C$387,COUNT($D$108:$D$387))-INDEX($C$108:$C$387,COUNT($D$108:$D$387)-26))*100,"")</f>
        <v/>
      </c>
      <c r="D92" s="52">
        <f>IFERROR(INDEX($D$108:$D$387,COUNT($D$108:$D$387))-INDEX($D$108:$D$387,COUNT($D$108:$D$387)-26),"")</f>
        <v/>
      </c>
      <c r="E92" s="7">
        <f>IF(D92="","",IF(AND(B92&gt;0,C92&gt;0,D92&gt;0),"BEAR steepening — long end did the work",IF(AND(B92&lt;0,C92&lt;0,D92&gt;0),"BULL steepening — the front end rallied",IF(D92&lt;0,"Flattening","Mixed"))))</f>
        <v/>
      </c>
    </row>
    <row r="93">
      <c r="A93" s="13" t="inlineStr">
        <is>
          <t>12 months</t>
        </is>
      </c>
      <c r="B93" s="53">
        <f>IFERROR((INDEX($B$108:$B$387,COUNT($D$108:$D$387))-INDEX($B$108:$B$387,COUNT($D$108:$D$387)-52))*100,"")</f>
        <v/>
      </c>
      <c r="C93" s="53">
        <f>IFERROR((INDEX($C$108:$C$387,COUNT($D$108:$D$387))-INDEX($C$108:$C$387,COUNT($D$108:$D$387)-52))*100,"")</f>
        <v/>
      </c>
      <c r="D93" s="52">
        <f>IFERROR(INDEX($D$108:$D$387,COUNT($D$108:$D$387))-INDEX($D$108:$D$387,COUNT($D$108:$D$387)-52),"")</f>
        <v/>
      </c>
      <c r="E93" s="7">
        <f>IF(D93="","",IF(AND(B93&gt;0,C93&gt;0,D93&gt;0),"BEAR steepening — long end did the work",IF(AND(B93&lt;0,C93&lt;0,D93&gt;0),"BULL steepening — the front end rallied",IF(D93&lt;0,"Flattening","Mixed"))))</f>
        <v/>
      </c>
    </row>
    <row r="94">
      <c r="A94" s="13" t="inlineStr">
        <is>
          <t>24 months</t>
        </is>
      </c>
      <c r="B94" s="53">
        <f>IFERROR((INDEX($B$108:$B$387,COUNT($D$108:$D$387))-INDEX($B$108:$B$387,COUNT($D$108:$D$387)-104))*100,"")</f>
        <v/>
      </c>
      <c r="C94" s="53">
        <f>IFERROR((INDEX($C$108:$C$387,COUNT($D$108:$D$387))-INDEX($C$108:$C$387,COUNT($D$108:$D$387)-104))*100,"")</f>
        <v/>
      </c>
      <c r="D94" s="52">
        <f>IFERROR(INDEX($D$108:$D$387,COUNT($D$108:$D$387))-INDEX($D$108:$D$387,COUNT($D$108:$D$387)-104),"")</f>
        <v/>
      </c>
      <c r="E94" s="7">
        <f>IF(D94="","",IF(AND(B94&gt;0,C94&gt;0,D94&gt;0),"BEAR steepening — long end did the work",IF(AND(B94&lt;0,C94&lt;0,D94&gt;0),"BULL steepening — the front end rallied",IF(D94&lt;0,"Flattening","Mixed"))))</f>
        <v/>
      </c>
    </row>
    <row r="96">
      <c r="A96" s="12" t="inlineStr">
        <is>
          <t>This is the table behind the argument. If every window reads BEAR steepening, the pitch is intact: the level is high because the long end sold off, and the front end has not participated. The moment a window flips to BULL, the thesis is confirming and the entry window is closing — that is the signal to size up, not to wait.</t>
        </is>
      </c>
    </row>
    <row r="99">
      <c r="A99" s="9" t="inlineStr">
        <is>
          <t>The line to say, built from the refreshed numbers</t>
        </is>
      </c>
    </row>
    <row r="100" ht="46" customHeight="1">
      <c r="A100" s="51">
        <f>IF(COUNT($D$108:$D$387)=0,"Refresh first — this sentence writes itself.","2s10s is at "&amp;TEXT($C$18,"0")&amp;"bp, the "&amp;TEXT($C$21,"0%")&amp;" of its five years — and that is the objection. But the 2-year sits "&amp;TEXT($C$19,"0")&amp;"bp above the policy rate with "&amp;TEXT($C$20,"0.0")&amp;" hikes priced. The half-life on this spread is "&amp;TEXT($C$31,"0")&amp;" weeks, so a "&amp;TEXT($C$25,"0")&amp;"bp standard deviation closes inside the horizon. The front end has never rallied in this cycle. That is the leg I am buying.")</f>
        <v/>
      </c>
      <c r="R100" s="12" t="inlineStr">
        <is>
          <t>Staging — one BQL call per security. Each spills DATE and value; the working columns on the left look them up by date. Blocks: R = JPY OIS 2y, weekly · V = JPY OIS 10y, weekly.  If a block comes back with an extra ID column, shift that block's value column by one — nothing else needs to change.</t>
        </is>
      </c>
    </row>
    <row r="103">
      <c r="R103" s="10">
        <f>BQL("JYSO2 Curncy","px_last(frq=W, dates=range("&amp;TEXT(Start5Y,"yyyy-mm-dd")&amp;","&amp;TEXT(AsOf,"yyyy-mm-dd")&amp;"), fill=prev)")</f>
        <v/>
      </c>
      <c r="V103" s="10">
        <f>BQL("JYSO10 Curncy","px_last(frq=W, dates=range("&amp;TEXT(Start5Y,"yyyy-mm-dd")&amp;","&amp;TEXT(AsOf,"yyyy-mm-dd")&amp;"), fill=prev)")</f>
        <v/>
      </c>
    </row>
    <row r="104">
      <c r="A104" s="9" t="inlineStr">
        <is>
          <t>Weekly history — 5 years. Everything above reads from here.</t>
        </is>
      </c>
    </row>
    <row r="105">
      <c r="A105" s="9" t="inlineStr">
        <is>
          <t>Date alignment check</t>
        </is>
      </c>
      <c r="C105" s="9">
        <f>IFERROR(SUMPRODUCT(--($R$108:$R$388&lt;&gt;"")*($V$108:$V$388&lt;&gt;"")*($R$108:$R$388&lt;&gt;$V$108:$V$388)),"")</f>
        <v/>
      </c>
      <c r="D105" s="2">
        <f>IF(C105="","",IF(C105=0,"OK — blocks are row-aligned","MISALIGNED: "&amp;C105&amp;" rows differ. Do not use these numbers; switch the value columns to INDEX/MATCH on the date."))</f>
        <v/>
      </c>
    </row>
    <row r="107" ht="18" customHeight="1">
      <c r="A107" s="4" t="inlineStr">
        <is>
          <t>Date</t>
        </is>
      </c>
      <c r="B107" s="4" t="inlineStr">
        <is>
          <t>2y OIS, %</t>
        </is>
      </c>
      <c r="C107" s="4" t="inlineStr">
        <is>
          <t>10y OIS, %</t>
        </is>
      </c>
      <c r="D107" s="4" t="inlineStr">
        <is>
          <t>2s10s, bp</t>
        </is>
      </c>
      <c r="E107" s="4" t="inlineStr">
        <is>
          <t>Weekly chg</t>
        </is>
      </c>
      <c r="F107" s="4" t="inlineStr">
        <is>
          <t>Lag level</t>
        </is>
      </c>
      <c r="G107" s="4" t="inlineStr">
        <is>
          <t>z-score</t>
        </is>
      </c>
      <c r="H107" s="4" t="inlineStr">
        <is>
          <t>Fwd 26w chg</t>
        </is>
      </c>
      <c r="I107" s="4" t="inlineStr">
        <is>
          <t>4w chg</t>
        </is>
      </c>
      <c r="J107" s="4" t="inlineStr">
        <is>
          <t>13w chg</t>
        </is>
      </c>
    </row>
    <row r="108">
      <c r="A108" s="23">
        <f>IFERROR(INDEX($R$108:$R$388,ROW()-107),"")</f>
        <v/>
      </c>
      <c r="B108">
        <f>IFERROR(INDEX($S$108:$S$388,ROW()-107),"")</f>
        <v/>
      </c>
      <c r="C108">
        <f>IFERROR(INDEX($W$108:$W$388,ROW()-107),"")</f>
        <v/>
      </c>
      <c r="D108" s="25">
        <f>IFERROR((C108-B108)*100,"")</f>
        <v/>
      </c>
      <c r="E108" s="25" t="n"/>
      <c r="F108" s="25" t="n"/>
      <c r="G108" s="62">
        <f>IFERROR((D108-$C$24)/$C$25,"")</f>
        <v/>
      </c>
      <c r="H108" s="25">
        <f>IFERROR(D134-D108,"")</f>
        <v/>
      </c>
      <c r="I108" s="25" t="n"/>
      <c r="J108" s="25" t="n"/>
      <c r="K108">
        <f>IF(A108="","",$C$24)</f>
        <v/>
      </c>
      <c r="L108">
        <f>IF(A108="","",$C$24-$C$25)</f>
        <v/>
      </c>
      <c r="M108">
        <f>IF(A108="","",$C$24+$C$25)</f>
        <v/>
      </c>
    </row>
    <row r="109">
      <c r="A109" s="23">
        <f>IFERROR(INDEX($R$108:$R$388,ROW()-107),"")</f>
        <v/>
      </c>
      <c r="B109">
        <f>IFERROR(INDEX($S$108:$S$388,ROW()-107),"")</f>
        <v/>
      </c>
      <c r="C109">
        <f>IFERROR(INDEX($W$108:$W$388,ROW()-107),"")</f>
        <v/>
      </c>
      <c r="D109" s="25">
        <f>IFERROR((C109-B109)*100,"")</f>
        <v/>
      </c>
      <c r="E109" s="25">
        <f>IFERROR(D109-D108,"")</f>
        <v/>
      </c>
      <c r="F109" s="25">
        <f>IFERROR(D108,"")</f>
        <v/>
      </c>
      <c r="G109" s="62">
        <f>IFERROR((D109-$C$24)/$C$25,"")</f>
        <v/>
      </c>
      <c r="H109" s="25">
        <f>IFERROR(D135-D109,"")</f>
        <v/>
      </c>
      <c r="I109" s="25" t="n"/>
      <c r="J109" s="25" t="n"/>
      <c r="K109">
        <f>IF(A109="","",$C$24)</f>
        <v/>
      </c>
      <c r="L109">
        <f>IF(A109="","",$C$24-$C$25)</f>
        <v/>
      </c>
      <c r="M109">
        <f>IF(A109="","",$C$24+$C$25)</f>
        <v/>
      </c>
    </row>
    <row r="110">
      <c r="A110" s="23">
        <f>IFERROR(INDEX($R$108:$R$388,ROW()-107),"")</f>
        <v/>
      </c>
      <c r="B110">
        <f>IFERROR(INDEX($S$108:$S$388,ROW()-107),"")</f>
        <v/>
      </c>
      <c r="C110">
        <f>IFERROR(INDEX($W$108:$W$388,ROW()-107),"")</f>
        <v/>
      </c>
      <c r="D110" s="25">
        <f>IFERROR((C110-B110)*100,"")</f>
        <v/>
      </c>
      <c r="E110" s="25">
        <f>IFERROR(D110-D109,"")</f>
        <v/>
      </c>
      <c r="F110" s="25">
        <f>IFERROR(D109,"")</f>
        <v/>
      </c>
      <c r="G110" s="62">
        <f>IFERROR((D110-$C$24)/$C$25,"")</f>
        <v/>
      </c>
      <c r="H110" s="25">
        <f>IFERROR(D136-D110,"")</f>
        <v/>
      </c>
      <c r="I110" s="25" t="n"/>
      <c r="J110" s="25" t="n"/>
      <c r="K110">
        <f>IF(A110="","",$C$24)</f>
        <v/>
      </c>
      <c r="L110">
        <f>IF(A110="","",$C$24-$C$25)</f>
        <v/>
      </c>
      <c r="M110">
        <f>IF(A110="","",$C$24+$C$25)</f>
        <v/>
      </c>
    </row>
    <row r="111">
      <c r="A111" s="23">
        <f>IFERROR(INDEX($R$108:$R$388,ROW()-107),"")</f>
        <v/>
      </c>
      <c r="B111">
        <f>IFERROR(INDEX($S$108:$S$388,ROW()-107),"")</f>
        <v/>
      </c>
      <c r="C111">
        <f>IFERROR(INDEX($W$108:$W$388,ROW()-107),"")</f>
        <v/>
      </c>
      <c r="D111" s="25">
        <f>IFERROR((C111-B111)*100,"")</f>
        <v/>
      </c>
      <c r="E111" s="25">
        <f>IFERROR(D111-D110,"")</f>
        <v/>
      </c>
      <c r="F111" s="25">
        <f>IFERROR(D110,"")</f>
        <v/>
      </c>
      <c r="G111" s="62">
        <f>IFERROR((D111-$C$24)/$C$25,"")</f>
        <v/>
      </c>
      <c r="H111" s="25">
        <f>IFERROR(D137-D111,"")</f>
        <v/>
      </c>
      <c r="I111" s="25" t="n"/>
      <c r="J111" s="25" t="n"/>
      <c r="K111">
        <f>IF(A111="","",$C$24)</f>
        <v/>
      </c>
      <c r="L111">
        <f>IF(A111="","",$C$24-$C$25)</f>
        <v/>
      </c>
      <c r="M111">
        <f>IF(A111="","",$C$24+$C$25)</f>
        <v/>
      </c>
    </row>
    <row r="112">
      <c r="A112" s="23">
        <f>IFERROR(INDEX($R$108:$R$388,ROW()-107),"")</f>
        <v/>
      </c>
      <c r="B112">
        <f>IFERROR(INDEX($S$108:$S$388,ROW()-107),"")</f>
        <v/>
      </c>
      <c r="C112">
        <f>IFERROR(INDEX($W$108:$W$388,ROW()-107),"")</f>
        <v/>
      </c>
      <c r="D112" s="25">
        <f>IFERROR((C112-B112)*100,"")</f>
        <v/>
      </c>
      <c r="E112" s="25">
        <f>IFERROR(D112-D111,"")</f>
        <v/>
      </c>
      <c r="F112" s="25">
        <f>IFERROR(D111,"")</f>
        <v/>
      </c>
      <c r="G112" s="62">
        <f>IFERROR((D112-$C$24)/$C$25,"")</f>
        <v/>
      </c>
      <c r="H112" s="25">
        <f>IFERROR(D138-D112,"")</f>
        <v/>
      </c>
      <c r="I112" s="25">
        <f>IFERROR(D112-D108,"")</f>
        <v/>
      </c>
      <c r="J112" s="25" t="n"/>
      <c r="K112">
        <f>IF(A112="","",$C$24)</f>
        <v/>
      </c>
      <c r="L112">
        <f>IF(A112="","",$C$24-$C$25)</f>
        <v/>
      </c>
      <c r="M112">
        <f>IF(A112="","",$C$24+$C$25)</f>
        <v/>
      </c>
    </row>
    <row r="113">
      <c r="A113" s="23">
        <f>IFERROR(INDEX($R$108:$R$388,ROW()-107),"")</f>
        <v/>
      </c>
      <c r="B113">
        <f>IFERROR(INDEX($S$108:$S$388,ROW()-107),"")</f>
        <v/>
      </c>
      <c r="C113">
        <f>IFERROR(INDEX($W$108:$W$388,ROW()-107),"")</f>
        <v/>
      </c>
      <c r="D113" s="25">
        <f>IFERROR((C113-B113)*100,"")</f>
        <v/>
      </c>
      <c r="E113" s="25">
        <f>IFERROR(D113-D112,"")</f>
        <v/>
      </c>
      <c r="F113" s="25">
        <f>IFERROR(D112,"")</f>
        <v/>
      </c>
      <c r="G113" s="62">
        <f>IFERROR((D113-$C$24)/$C$25,"")</f>
        <v/>
      </c>
      <c r="H113" s="25">
        <f>IFERROR(D139-D113,"")</f>
        <v/>
      </c>
      <c r="I113" s="25">
        <f>IFERROR(D113-D109,"")</f>
        <v/>
      </c>
      <c r="J113" s="25" t="n"/>
      <c r="K113">
        <f>IF(A113="","",$C$24)</f>
        <v/>
      </c>
      <c r="L113">
        <f>IF(A113="","",$C$24-$C$25)</f>
        <v/>
      </c>
      <c r="M113">
        <f>IF(A113="","",$C$24+$C$25)</f>
        <v/>
      </c>
    </row>
    <row r="114">
      <c r="A114" s="23">
        <f>IFERROR(INDEX($R$108:$R$388,ROW()-107),"")</f>
        <v/>
      </c>
      <c r="B114">
        <f>IFERROR(INDEX($S$108:$S$388,ROW()-107),"")</f>
        <v/>
      </c>
      <c r="C114">
        <f>IFERROR(INDEX($W$108:$W$388,ROW()-107),"")</f>
        <v/>
      </c>
      <c r="D114" s="25">
        <f>IFERROR((C114-B114)*100,"")</f>
        <v/>
      </c>
      <c r="E114" s="25">
        <f>IFERROR(D114-D113,"")</f>
        <v/>
      </c>
      <c r="F114" s="25">
        <f>IFERROR(D113,"")</f>
        <v/>
      </c>
      <c r="G114" s="62">
        <f>IFERROR((D114-$C$24)/$C$25,"")</f>
        <v/>
      </c>
      <c r="H114" s="25">
        <f>IFERROR(D140-D114,"")</f>
        <v/>
      </c>
      <c r="I114" s="25">
        <f>IFERROR(D114-D110,"")</f>
        <v/>
      </c>
      <c r="J114" s="25" t="n"/>
      <c r="K114">
        <f>IF(A114="","",$C$24)</f>
        <v/>
      </c>
      <c r="L114">
        <f>IF(A114="","",$C$24-$C$25)</f>
        <v/>
      </c>
      <c r="M114">
        <f>IF(A114="","",$C$24+$C$25)</f>
        <v/>
      </c>
    </row>
    <row r="115">
      <c r="A115" s="23">
        <f>IFERROR(INDEX($R$108:$R$388,ROW()-107),"")</f>
        <v/>
      </c>
      <c r="B115">
        <f>IFERROR(INDEX($S$108:$S$388,ROW()-107),"")</f>
        <v/>
      </c>
      <c r="C115">
        <f>IFERROR(INDEX($W$108:$W$388,ROW()-107),"")</f>
        <v/>
      </c>
      <c r="D115" s="25">
        <f>IFERROR((C115-B115)*100,"")</f>
        <v/>
      </c>
      <c r="E115" s="25">
        <f>IFERROR(D115-D114,"")</f>
        <v/>
      </c>
      <c r="F115" s="25">
        <f>IFERROR(D114,"")</f>
        <v/>
      </c>
      <c r="G115" s="62">
        <f>IFERROR((D115-$C$24)/$C$25,"")</f>
        <v/>
      </c>
      <c r="H115" s="25">
        <f>IFERROR(D141-D115,"")</f>
        <v/>
      </c>
      <c r="I115" s="25">
        <f>IFERROR(D115-D111,"")</f>
        <v/>
      </c>
      <c r="J115" s="25" t="n"/>
      <c r="K115">
        <f>IF(A115="","",$C$24)</f>
        <v/>
      </c>
      <c r="L115">
        <f>IF(A115="","",$C$24-$C$25)</f>
        <v/>
      </c>
      <c r="M115">
        <f>IF(A115="","",$C$24+$C$25)</f>
        <v/>
      </c>
    </row>
    <row r="116">
      <c r="A116" s="23">
        <f>IFERROR(INDEX($R$108:$R$388,ROW()-107),"")</f>
        <v/>
      </c>
      <c r="B116">
        <f>IFERROR(INDEX($S$108:$S$388,ROW()-107),"")</f>
        <v/>
      </c>
      <c r="C116">
        <f>IFERROR(INDEX($W$108:$W$388,ROW()-107),"")</f>
        <v/>
      </c>
      <c r="D116" s="25">
        <f>IFERROR((C116-B116)*100,"")</f>
        <v/>
      </c>
      <c r="E116" s="25">
        <f>IFERROR(D116-D115,"")</f>
        <v/>
      </c>
      <c r="F116" s="25">
        <f>IFERROR(D115,"")</f>
        <v/>
      </c>
      <c r="G116" s="62">
        <f>IFERROR((D116-$C$24)/$C$25,"")</f>
        <v/>
      </c>
      <c r="H116" s="25">
        <f>IFERROR(D142-D116,"")</f>
        <v/>
      </c>
      <c r="I116" s="25">
        <f>IFERROR(D116-D112,"")</f>
        <v/>
      </c>
      <c r="J116" s="25" t="n"/>
      <c r="K116">
        <f>IF(A116="","",$C$24)</f>
        <v/>
      </c>
      <c r="L116">
        <f>IF(A116="","",$C$24-$C$25)</f>
        <v/>
      </c>
      <c r="M116">
        <f>IF(A116="","",$C$24+$C$25)</f>
        <v/>
      </c>
    </row>
    <row r="117">
      <c r="A117" s="23">
        <f>IFERROR(INDEX($R$108:$R$388,ROW()-107),"")</f>
        <v/>
      </c>
      <c r="B117">
        <f>IFERROR(INDEX($S$108:$S$388,ROW()-107),"")</f>
        <v/>
      </c>
      <c r="C117">
        <f>IFERROR(INDEX($W$108:$W$388,ROW()-107),"")</f>
        <v/>
      </c>
      <c r="D117" s="25">
        <f>IFERROR((C117-B117)*100,"")</f>
        <v/>
      </c>
      <c r="E117" s="25">
        <f>IFERROR(D117-D116,"")</f>
        <v/>
      </c>
      <c r="F117" s="25">
        <f>IFERROR(D116,"")</f>
        <v/>
      </c>
      <c r="G117" s="62">
        <f>IFERROR((D117-$C$24)/$C$25,"")</f>
        <v/>
      </c>
      <c r="H117" s="25">
        <f>IFERROR(D143-D117,"")</f>
        <v/>
      </c>
      <c r="I117" s="25">
        <f>IFERROR(D117-D113,"")</f>
        <v/>
      </c>
      <c r="J117" s="25" t="n"/>
      <c r="K117">
        <f>IF(A117="","",$C$24)</f>
        <v/>
      </c>
      <c r="L117">
        <f>IF(A117="","",$C$24-$C$25)</f>
        <v/>
      </c>
      <c r="M117">
        <f>IF(A117="","",$C$24+$C$25)</f>
        <v/>
      </c>
    </row>
    <row r="118">
      <c r="A118" s="23">
        <f>IFERROR(INDEX($R$108:$R$388,ROW()-107),"")</f>
        <v/>
      </c>
      <c r="B118">
        <f>IFERROR(INDEX($S$108:$S$388,ROW()-107),"")</f>
        <v/>
      </c>
      <c r="C118">
        <f>IFERROR(INDEX($W$108:$W$388,ROW()-107),"")</f>
        <v/>
      </c>
      <c r="D118" s="25">
        <f>IFERROR((C118-B118)*100,"")</f>
        <v/>
      </c>
      <c r="E118" s="25">
        <f>IFERROR(D118-D117,"")</f>
        <v/>
      </c>
      <c r="F118" s="25">
        <f>IFERROR(D117,"")</f>
        <v/>
      </c>
      <c r="G118" s="62">
        <f>IFERROR((D118-$C$24)/$C$25,"")</f>
        <v/>
      </c>
      <c r="H118" s="25">
        <f>IFERROR(D144-D118,"")</f>
        <v/>
      </c>
      <c r="I118" s="25">
        <f>IFERROR(D118-D114,"")</f>
        <v/>
      </c>
      <c r="J118" s="25" t="n"/>
      <c r="K118">
        <f>IF(A118="","",$C$24)</f>
        <v/>
      </c>
      <c r="L118">
        <f>IF(A118="","",$C$24-$C$25)</f>
        <v/>
      </c>
      <c r="M118">
        <f>IF(A118="","",$C$24+$C$25)</f>
        <v/>
      </c>
    </row>
    <row r="119">
      <c r="A119" s="23">
        <f>IFERROR(INDEX($R$108:$R$388,ROW()-107),"")</f>
        <v/>
      </c>
      <c r="B119">
        <f>IFERROR(INDEX($S$108:$S$388,ROW()-107),"")</f>
        <v/>
      </c>
      <c r="C119">
        <f>IFERROR(INDEX($W$108:$W$388,ROW()-107),"")</f>
        <v/>
      </c>
      <c r="D119" s="25">
        <f>IFERROR((C119-B119)*100,"")</f>
        <v/>
      </c>
      <c r="E119" s="25">
        <f>IFERROR(D119-D118,"")</f>
        <v/>
      </c>
      <c r="F119" s="25">
        <f>IFERROR(D118,"")</f>
        <v/>
      </c>
      <c r="G119" s="62">
        <f>IFERROR((D119-$C$24)/$C$25,"")</f>
        <v/>
      </c>
      <c r="H119" s="25">
        <f>IFERROR(D145-D119,"")</f>
        <v/>
      </c>
      <c r="I119" s="25">
        <f>IFERROR(D119-D115,"")</f>
        <v/>
      </c>
      <c r="J119" s="25" t="n"/>
      <c r="K119">
        <f>IF(A119="","",$C$24)</f>
        <v/>
      </c>
      <c r="L119">
        <f>IF(A119="","",$C$24-$C$25)</f>
        <v/>
      </c>
      <c r="M119">
        <f>IF(A119="","",$C$24+$C$25)</f>
        <v/>
      </c>
    </row>
    <row r="120">
      <c r="A120" s="23">
        <f>IFERROR(INDEX($R$108:$R$388,ROW()-107),"")</f>
        <v/>
      </c>
      <c r="B120">
        <f>IFERROR(INDEX($S$108:$S$388,ROW()-107),"")</f>
        <v/>
      </c>
      <c r="C120">
        <f>IFERROR(INDEX($W$108:$W$388,ROW()-107),"")</f>
        <v/>
      </c>
      <c r="D120" s="25">
        <f>IFERROR((C120-B120)*100,"")</f>
        <v/>
      </c>
      <c r="E120" s="25">
        <f>IFERROR(D120-D119,"")</f>
        <v/>
      </c>
      <c r="F120" s="25">
        <f>IFERROR(D119,"")</f>
        <v/>
      </c>
      <c r="G120" s="62">
        <f>IFERROR((D120-$C$24)/$C$25,"")</f>
        <v/>
      </c>
      <c r="H120" s="25">
        <f>IFERROR(D146-D120,"")</f>
        <v/>
      </c>
      <c r="I120" s="25">
        <f>IFERROR(D120-D116,"")</f>
        <v/>
      </c>
      <c r="J120" s="25" t="n"/>
      <c r="K120">
        <f>IF(A120="","",$C$24)</f>
        <v/>
      </c>
      <c r="L120">
        <f>IF(A120="","",$C$24-$C$25)</f>
        <v/>
      </c>
      <c r="M120">
        <f>IF(A120="","",$C$24+$C$25)</f>
        <v/>
      </c>
    </row>
    <row r="121">
      <c r="A121" s="23">
        <f>IFERROR(INDEX($R$108:$R$388,ROW()-107),"")</f>
        <v/>
      </c>
      <c r="B121">
        <f>IFERROR(INDEX($S$108:$S$388,ROW()-107),"")</f>
        <v/>
      </c>
      <c r="C121">
        <f>IFERROR(INDEX($W$108:$W$388,ROW()-107),"")</f>
        <v/>
      </c>
      <c r="D121" s="25">
        <f>IFERROR((C121-B121)*100,"")</f>
        <v/>
      </c>
      <c r="E121" s="25">
        <f>IFERROR(D121-D120,"")</f>
        <v/>
      </c>
      <c r="F121" s="25">
        <f>IFERROR(D120,"")</f>
        <v/>
      </c>
      <c r="G121" s="62">
        <f>IFERROR((D121-$C$24)/$C$25,"")</f>
        <v/>
      </c>
      <c r="H121" s="25">
        <f>IFERROR(D147-D121,"")</f>
        <v/>
      </c>
      <c r="I121" s="25">
        <f>IFERROR(D121-D117,"")</f>
        <v/>
      </c>
      <c r="J121" s="25">
        <f>IFERROR(D121-D108,"")</f>
        <v/>
      </c>
      <c r="K121">
        <f>IF(A121="","",$C$24)</f>
        <v/>
      </c>
      <c r="L121">
        <f>IF(A121="","",$C$24-$C$25)</f>
        <v/>
      </c>
      <c r="M121">
        <f>IF(A121="","",$C$24+$C$25)</f>
        <v/>
      </c>
    </row>
    <row r="122">
      <c r="A122" s="23">
        <f>IFERROR(INDEX($R$108:$R$388,ROW()-107),"")</f>
        <v/>
      </c>
      <c r="B122">
        <f>IFERROR(INDEX($S$108:$S$388,ROW()-107),"")</f>
        <v/>
      </c>
      <c r="C122">
        <f>IFERROR(INDEX($W$108:$W$388,ROW()-107),"")</f>
        <v/>
      </c>
      <c r="D122" s="25">
        <f>IFERROR((C122-B122)*100,"")</f>
        <v/>
      </c>
      <c r="E122" s="25">
        <f>IFERROR(D122-D121,"")</f>
        <v/>
      </c>
      <c r="F122" s="25">
        <f>IFERROR(D121,"")</f>
        <v/>
      </c>
      <c r="G122" s="62">
        <f>IFERROR((D122-$C$24)/$C$25,"")</f>
        <v/>
      </c>
      <c r="H122" s="25">
        <f>IFERROR(D148-D122,"")</f>
        <v/>
      </c>
      <c r="I122" s="25">
        <f>IFERROR(D122-D118,"")</f>
        <v/>
      </c>
      <c r="J122" s="25">
        <f>IFERROR(D122-D109,"")</f>
        <v/>
      </c>
      <c r="K122">
        <f>IF(A122="","",$C$24)</f>
        <v/>
      </c>
      <c r="L122">
        <f>IF(A122="","",$C$24-$C$25)</f>
        <v/>
      </c>
      <c r="M122">
        <f>IF(A122="","",$C$24+$C$25)</f>
        <v/>
      </c>
    </row>
    <row r="123">
      <c r="A123" s="23">
        <f>IFERROR(INDEX($R$108:$R$388,ROW()-107),"")</f>
        <v/>
      </c>
      <c r="B123">
        <f>IFERROR(INDEX($S$108:$S$388,ROW()-107),"")</f>
        <v/>
      </c>
      <c r="C123">
        <f>IFERROR(INDEX($W$108:$W$388,ROW()-107),"")</f>
        <v/>
      </c>
      <c r="D123" s="25">
        <f>IFERROR((C123-B123)*100,"")</f>
        <v/>
      </c>
      <c r="E123" s="25">
        <f>IFERROR(D123-D122,"")</f>
        <v/>
      </c>
      <c r="F123" s="25">
        <f>IFERROR(D122,"")</f>
        <v/>
      </c>
      <c r="G123" s="62">
        <f>IFERROR((D123-$C$24)/$C$25,"")</f>
        <v/>
      </c>
      <c r="H123" s="25">
        <f>IFERROR(D149-D123,"")</f>
        <v/>
      </c>
      <c r="I123" s="25">
        <f>IFERROR(D123-D119,"")</f>
        <v/>
      </c>
      <c r="J123" s="25">
        <f>IFERROR(D123-D110,"")</f>
        <v/>
      </c>
      <c r="K123">
        <f>IF(A123="","",$C$24)</f>
        <v/>
      </c>
      <c r="L123">
        <f>IF(A123="","",$C$24-$C$25)</f>
        <v/>
      </c>
      <c r="M123">
        <f>IF(A123="","",$C$24+$C$25)</f>
        <v/>
      </c>
    </row>
    <row r="124">
      <c r="A124" s="23">
        <f>IFERROR(INDEX($R$108:$R$388,ROW()-107),"")</f>
        <v/>
      </c>
      <c r="B124">
        <f>IFERROR(INDEX($S$108:$S$388,ROW()-107),"")</f>
        <v/>
      </c>
      <c r="C124">
        <f>IFERROR(INDEX($W$108:$W$388,ROW()-107),"")</f>
        <v/>
      </c>
      <c r="D124" s="25">
        <f>IFERROR((C124-B124)*100,"")</f>
        <v/>
      </c>
      <c r="E124" s="25">
        <f>IFERROR(D124-D123,"")</f>
        <v/>
      </c>
      <c r="F124" s="25">
        <f>IFERROR(D123,"")</f>
        <v/>
      </c>
      <c r="G124" s="62">
        <f>IFERROR((D124-$C$24)/$C$25,"")</f>
        <v/>
      </c>
      <c r="H124" s="25">
        <f>IFERROR(D150-D124,"")</f>
        <v/>
      </c>
      <c r="I124" s="25">
        <f>IFERROR(D124-D120,"")</f>
        <v/>
      </c>
      <c r="J124" s="25">
        <f>IFERROR(D124-D111,"")</f>
        <v/>
      </c>
      <c r="K124">
        <f>IF(A124="","",$C$24)</f>
        <v/>
      </c>
      <c r="L124">
        <f>IF(A124="","",$C$24-$C$25)</f>
        <v/>
      </c>
      <c r="M124">
        <f>IF(A124="","",$C$24+$C$25)</f>
        <v/>
      </c>
    </row>
    <row r="125">
      <c r="A125" s="23">
        <f>IFERROR(INDEX($R$108:$R$388,ROW()-107),"")</f>
        <v/>
      </c>
      <c r="B125">
        <f>IFERROR(INDEX($S$108:$S$388,ROW()-107),"")</f>
        <v/>
      </c>
      <c r="C125">
        <f>IFERROR(INDEX($W$108:$W$388,ROW()-107),"")</f>
        <v/>
      </c>
      <c r="D125" s="25">
        <f>IFERROR((C125-B125)*100,"")</f>
        <v/>
      </c>
      <c r="E125" s="25">
        <f>IFERROR(D125-D124,"")</f>
        <v/>
      </c>
      <c r="F125" s="25">
        <f>IFERROR(D124,"")</f>
        <v/>
      </c>
      <c r="G125" s="62">
        <f>IFERROR((D125-$C$24)/$C$25,"")</f>
        <v/>
      </c>
      <c r="H125" s="25">
        <f>IFERROR(D151-D125,"")</f>
        <v/>
      </c>
      <c r="I125" s="25">
        <f>IFERROR(D125-D121,"")</f>
        <v/>
      </c>
      <c r="J125" s="25">
        <f>IFERROR(D125-D112,"")</f>
        <v/>
      </c>
      <c r="K125">
        <f>IF(A125="","",$C$24)</f>
        <v/>
      </c>
      <c r="L125">
        <f>IF(A125="","",$C$24-$C$25)</f>
        <v/>
      </c>
      <c r="M125">
        <f>IF(A125="","",$C$24+$C$25)</f>
        <v/>
      </c>
    </row>
    <row r="126">
      <c r="A126" s="23">
        <f>IFERROR(INDEX($R$108:$R$388,ROW()-107),"")</f>
        <v/>
      </c>
      <c r="B126">
        <f>IFERROR(INDEX($S$108:$S$388,ROW()-107),"")</f>
        <v/>
      </c>
      <c r="C126">
        <f>IFERROR(INDEX($W$108:$W$388,ROW()-107),"")</f>
        <v/>
      </c>
      <c r="D126" s="25">
        <f>IFERROR((C126-B126)*100,"")</f>
        <v/>
      </c>
      <c r="E126" s="25">
        <f>IFERROR(D126-D125,"")</f>
        <v/>
      </c>
      <c r="F126" s="25">
        <f>IFERROR(D125,"")</f>
        <v/>
      </c>
      <c r="G126" s="62">
        <f>IFERROR((D126-$C$24)/$C$25,"")</f>
        <v/>
      </c>
      <c r="H126" s="25">
        <f>IFERROR(D152-D126,"")</f>
        <v/>
      </c>
      <c r="I126" s="25">
        <f>IFERROR(D126-D122,"")</f>
        <v/>
      </c>
      <c r="J126" s="25">
        <f>IFERROR(D126-D113,"")</f>
        <v/>
      </c>
      <c r="K126">
        <f>IF(A126="","",$C$24)</f>
        <v/>
      </c>
      <c r="L126">
        <f>IF(A126="","",$C$24-$C$25)</f>
        <v/>
      </c>
      <c r="M126">
        <f>IF(A126="","",$C$24+$C$25)</f>
        <v/>
      </c>
    </row>
    <row r="127">
      <c r="A127" s="23">
        <f>IFERROR(INDEX($R$108:$R$388,ROW()-107),"")</f>
        <v/>
      </c>
      <c r="B127">
        <f>IFERROR(INDEX($S$108:$S$388,ROW()-107),"")</f>
        <v/>
      </c>
      <c r="C127">
        <f>IFERROR(INDEX($W$108:$W$388,ROW()-107),"")</f>
        <v/>
      </c>
      <c r="D127" s="25">
        <f>IFERROR((C127-B127)*100,"")</f>
        <v/>
      </c>
      <c r="E127" s="25">
        <f>IFERROR(D127-D126,"")</f>
        <v/>
      </c>
      <c r="F127" s="25">
        <f>IFERROR(D126,"")</f>
        <v/>
      </c>
      <c r="G127" s="62">
        <f>IFERROR((D127-$C$24)/$C$25,"")</f>
        <v/>
      </c>
      <c r="H127" s="25">
        <f>IFERROR(D153-D127,"")</f>
        <v/>
      </c>
      <c r="I127" s="25">
        <f>IFERROR(D127-D123,"")</f>
        <v/>
      </c>
      <c r="J127" s="25">
        <f>IFERROR(D127-D114,"")</f>
        <v/>
      </c>
      <c r="K127">
        <f>IF(A127="","",$C$24)</f>
        <v/>
      </c>
      <c r="L127">
        <f>IF(A127="","",$C$24-$C$25)</f>
        <v/>
      </c>
      <c r="M127">
        <f>IF(A127="","",$C$24+$C$25)</f>
        <v/>
      </c>
    </row>
    <row r="128">
      <c r="A128" s="23">
        <f>IFERROR(INDEX($R$108:$R$388,ROW()-107),"")</f>
        <v/>
      </c>
      <c r="B128">
        <f>IFERROR(INDEX($S$108:$S$388,ROW()-107),"")</f>
        <v/>
      </c>
      <c r="C128">
        <f>IFERROR(INDEX($W$108:$W$388,ROW()-107),"")</f>
        <v/>
      </c>
      <c r="D128" s="25">
        <f>IFERROR((C128-B128)*100,"")</f>
        <v/>
      </c>
      <c r="E128" s="25">
        <f>IFERROR(D128-D127,"")</f>
        <v/>
      </c>
      <c r="F128" s="25">
        <f>IFERROR(D127,"")</f>
        <v/>
      </c>
      <c r="G128" s="62">
        <f>IFERROR((D128-$C$24)/$C$25,"")</f>
        <v/>
      </c>
      <c r="H128" s="25">
        <f>IFERROR(D154-D128,"")</f>
        <v/>
      </c>
      <c r="I128" s="25">
        <f>IFERROR(D128-D124,"")</f>
        <v/>
      </c>
      <c r="J128" s="25">
        <f>IFERROR(D128-D115,"")</f>
        <v/>
      </c>
      <c r="K128">
        <f>IF(A128="","",$C$24)</f>
        <v/>
      </c>
      <c r="L128">
        <f>IF(A128="","",$C$24-$C$25)</f>
        <v/>
      </c>
      <c r="M128">
        <f>IF(A128="","",$C$24+$C$25)</f>
        <v/>
      </c>
    </row>
    <row r="129">
      <c r="A129" s="23">
        <f>IFERROR(INDEX($R$108:$R$388,ROW()-107),"")</f>
        <v/>
      </c>
      <c r="B129">
        <f>IFERROR(INDEX($S$108:$S$388,ROW()-107),"")</f>
        <v/>
      </c>
      <c r="C129">
        <f>IFERROR(INDEX($W$108:$W$388,ROW()-107),"")</f>
        <v/>
      </c>
      <c r="D129" s="25">
        <f>IFERROR((C129-B129)*100,"")</f>
        <v/>
      </c>
      <c r="E129" s="25">
        <f>IFERROR(D129-D128,"")</f>
        <v/>
      </c>
      <c r="F129" s="25">
        <f>IFERROR(D128,"")</f>
        <v/>
      </c>
      <c r="G129" s="62">
        <f>IFERROR((D129-$C$24)/$C$25,"")</f>
        <v/>
      </c>
      <c r="H129" s="25">
        <f>IFERROR(D155-D129,"")</f>
        <v/>
      </c>
      <c r="I129" s="25">
        <f>IFERROR(D129-D125,"")</f>
        <v/>
      </c>
      <c r="J129" s="25">
        <f>IFERROR(D129-D116,"")</f>
        <v/>
      </c>
      <c r="K129">
        <f>IF(A129="","",$C$24)</f>
        <v/>
      </c>
      <c r="L129">
        <f>IF(A129="","",$C$24-$C$25)</f>
        <v/>
      </c>
      <c r="M129">
        <f>IF(A129="","",$C$24+$C$25)</f>
        <v/>
      </c>
    </row>
    <row r="130">
      <c r="A130" s="23">
        <f>IFERROR(INDEX($R$108:$R$388,ROW()-107),"")</f>
        <v/>
      </c>
      <c r="B130">
        <f>IFERROR(INDEX($S$108:$S$388,ROW()-107),"")</f>
        <v/>
      </c>
      <c r="C130">
        <f>IFERROR(INDEX($W$108:$W$388,ROW()-107),"")</f>
        <v/>
      </c>
      <c r="D130" s="25">
        <f>IFERROR((C130-B130)*100,"")</f>
        <v/>
      </c>
      <c r="E130" s="25">
        <f>IFERROR(D130-D129,"")</f>
        <v/>
      </c>
      <c r="F130" s="25">
        <f>IFERROR(D129,"")</f>
        <v/>
      </c>
      <c r="G130" s="62">
        <f>IFERROR((D130-$C$24)/$C$25,"")</f>
        <v/>
      </c>
      <c r="H130" s="25">
        <f>IFERROR(D156-D130,"")</f>
        <v/>
      </c>
      <c r="I130" s="25">
        <f>IFERROR(D130-D126,"")</f>
        <v/>
      </c>
      <c r="J130" s="25">
        <f>IFERROR(D130-D117,"")</f>
        <v/>
      </c>
      <c r="K130">
        <f>IF(A130="","",$C$24)</f>
        <v/>
      </c>
      <c r="L130">
        <f>IF(A130="","",$C$24-$C$25)</f>
        <v/>
      </c>
      <c r="M130">
        <f>IF(A130="","",$C$24+$C$25)</f>
        <v/>
      </c>
    </row>
    <row r="131">
      <c r="A131" s="23">
        <f>IFERROR(INDEX($R$108:$R$388,ROW()-107),"")</f>
        <v/>
      </c>
      <c r="B131">
        <f>IFERROR(INDEX($S$108:$S$388,ROW()-107),"")</f>
        <v/>
      </c>
      <c r="C131">
        <f>IFERROR(INDEX($W$108:$W$388,ROW()-107),"")</f>
        <v/>
      </c>
      <c r="D131" s="25">
        <f>IFERROR((C131-B131)*100,"")</f>
        <v/>
      </c>
      <c r="E131" s="25">
        <f>IFERROR(D131-D130,"")</f>
        <v/>
      </c>
      <c r="F131" s="25">
        <f>IFERROR(D130,"")</f>
        <v/>
      </c>
      <c r="G131" s="62">
        <f>IFERROR((D131-$C$24)/$C$25,"")</f>
        <v/>
      </c>
      <c r="H131" s="25">
        <f>IFERROR(D157-D131,"")</f>
        <v/>
      </c>
      <c r="I131" s="25">
        <f>IFERROR(D131-D127,"")</f>
        <v/>
      </c>
      <c r="J131" s="25">
        <f>IFERROR(D131-D118,"")</f>
        <v/>
      </c>
      <c r="K131">
        <f>IF(A131="","",$C$24)</f>
        <v/>
      </c>
      <c r="L131">
        <f>IF(A131="","",$C$24-$C$25)</f>
        <v/>
      </c>
      <c r="M131">
        <f>IF(A131="","",$C$24+$C$25)</f>
        <v/>
      </c>
    </row>
    <row r="132">
      <c r="A132" s="23">
        <f>IFERROR(INDEX($R$108:$R$388,ROW()-107),"")</f>
        <v/>
      </c>
      <c r="B132">
        <f>IFERROR(INDEX($S$108:$S$388,ROW()-107),"")</f>
        <v/>
      </c>
      <c r="C132">
        <f>IFERROR(INDEX($W$108:$W$388,ROW()-107),"")</f>
        <v/>
      </c>
      <c r="D132" s="25">
        <f>IFERROR((C132-B132)*100,"")</f>
        <v/>
      </c>
      <c r="E132" s="25">
        <f>IFERROR(D132-D131,"")</f>
        <v/>
      </c>
      <c r="F132" s="25">
        <f>IFERROR(D131,"")</f>
        <v/>
      </c>
      <c r="G132" s="62">
        <f>IFERROR((D132-$C$24)/$C$25,"")</f>
        <v/>
      </c>
      <c r="H132" s="25">
        <f>IFERROR(D158-D132,"")</f>
        <v/>
      </c>
      <c r="I132" s="25">
        <f>IFERROR(D132-D128,"")</f>
        <v/>
      </c>
      <c r="J132" s="25">
        <f>IFERROR(D132-D119,"")</f>
        <v/>
      </c>
      <c r="K132">
        <f>IF(A132="","",$C$24)</f>
        <v/>
      </c>
      <c r="L132">
        <f>IF(A132="","",$C$24-$C$25)</f>
        <v/>
      </c>
      <c r="M132">
        <f>IF(A132="","",$C$24+$C$25)</f>
        <v/>
      </c>
    </row>
    <row r="133">
      <c r="A133" s="23">
        <f>IFERROR(INDEX($R$108:$R$388,ROW()-107),"")</f>
        <v/>
      </c>
      <c r="B133">
        <f>IFERROR(INDEX($S$108:$S$388,ROW()-107),"")</f>
        <v/>
      </c>
      <c r="C133">
        <f>IFERROR(INDEX($W$108:$W$388,ROW()-107),"")</f>
        <v/>
      </c>
      <c r="D133" s="25">
        <f>IFERROR((C133-B133)*100,"")</f>
        <v/>
      </c>
      <c r="E133" s="25">
        <f>IFERROR(D133-D132,"")</f>
        <v/>
      </c>
      <c r="F133" s="25">
        <f>IFERROR(D132,"")</f>
        <v/>
      </c>
      <c r="G133" s="62">
        <f>IFERROR((D133-$C$24)/$C$25,"")</f>
        <v/>
      </c>
      <c r="H133" s="25">
        <f>IFERROR(D159-D133,"")</f>
        <v/>
      </c>
      <c r="I133" s="25">
        <f>IFERROR(D133-D129,"")</f>
        <v/>
      </c>
      <c r="J133" s="25">
        <f>IFERROR(D133-D120,"")</f>
        <v/>
      </c>
      <c r="K133">
        <f>IF(A133="","",$C$24)</f>
        <v/>
      </c>
      <c r="L133">
        <f>IF(A133="","",$C$24-$C$25)</f>
        <v/>
      </c>
      <c r="M133">
        <f>IF(A133="","",$C$24+$C$25)</f>
        <v/>
      </c>
    </row>
    <row r="134">
      <c r="A134" s="23">
        <f>IFERROR(INDEX($R$108:$R$388,ROW()-107),"")</f>
        <v/>
      </c>
      <c r="B134">
        <f>IFERROR(INDEX($S$108:$S$388,ROW()-107),"")</f>
        <v/>
      </c>
      <c r="C134">
        <f>IFERROR(INDEX($W$108:$W$388,ROW()-107),"")</f>
        <v/>
      </c>
      <c r="D134" s="25">
        <f>IFERROR((C134-B134)*100,"")</f>
        <v/>
      </c>
      <c r="E134" s="25">
        <f>IFERROR(D134-D133,"")</f>
        <v/>
      </c>
      <c r="F134" s="25">
        <f>IFERROR(D133,"")</f>
        <v/>
      </c>
      <c r="G134" s="62">
        <f>IFERROR((D134-$C$24)/$C$25,"")</f>
        <v/>
      </c>
      <c r="H134" s="25">
        <f>IFERROR(D160-D134,"")</f>
        <v/>
      </c>
      <c r="I134" s="25">
        <f>IFERROR(D134-D130,"")</f>
        <v/>
      </c>
      <c r="J134" s="25">
        <f>IFERROR(D134-D121,"")</f>
        <v/>
      </c>
      <c r="K134">
        <f>IF(A134="","",$C$24)</f>
        <v/>
      </c>
      <c r="L134">
        <f>IF(A134="","",$C$24-$C$25)</f>
        <v/>
      </c>
      <c r="M134">
        <f>IF(A134="","",$C$24+$C$25)</f>
        <v/>
      </c>
    </row>
    <row r="135">
      <c r="A135" s="23">
        <f>IFERROR(INDEX($R$108:$R$388,ROW()-107),"")</f>
        <v/>
      </c>
      <c r="B135">
        <f>IFERROR(INDEX($S$108:$S$388,ROW()-107),"")</f>
        <v/>
      </c>
      <c r="C135">
        <f>IFERROR(INDEX($W$108:$W$388,ROW()-107),"")</f>
        <v/>
      </c>
      <c r="D135" s="25">
        <f>IFERROR((C135-B135)*100,"")</f>
        <v/>
      </c>
      <c r="E135" s="25">
        <f>IFERROR(D135-D134,"")</f>
        <v/>
      </c>
      <c r="F135" s="25">
        <f>IFERROR(D134,"")</f>
        <v/>
      </c>
      <c r="G135" s="62">
        <f>IFERROR((D135-$C$24)/$C$25,"")</f>
        <v/>
      </c>
      <c r="H135" s="25">
        <f>IFERROR(D161-D135,"")</f>
        <v/>
      </c>
      <c r="I135" s="25">
        <f>IFERROR(D135-D131,"")</f>
        <v/>
      </c>
      <c r="J135" s="25">
        <f>IFERROR(D135-D122,"")</f>
        <v/>
      </c>
      <c r="K135">
        <f>IF(A135="","",$C$24)</f>
        <v/>
      </c>
      <c r="L135">
        <f>IF(A135="","",$C$24-$C$25)</f>
        <v/>
      </c>
      <c r="M135">
        <f>IF(A135="","",$C$24+$C$25)</f>
        <v/>
      </c>
    </row>
    <row r="136">
      <c r="A136" s="23">
        <f>IFERROR(INDEX($R$108:$R$388,ROW()-107),"")</f>
        <v/>
      </c>
      <c r="B136">
        <f>IFERROR(INDEX($S$108:$S$388,ROW()-107),"")</f>
        <v/>
      </c>
      <c r="C136">
        <f>IFERROR(INDEX($W$108:$W$388,ROW()-107),"")</f>
        <v/>
      </c>
      <c r="D136" s="25">
        <f>IFERROR((C136-B136)*100,"")</f>
        <v/>
      </c>
      <c r="E136" s="25">
        <f>IFERROR(D136-D135,"")</f>
        <v/>
      </c>
      <c r="F136" s="25">
        <f>IFERROR(D135,"")</f>
        <v/>
      </c>
      <c r="G136" s="62">
        <f>IFERROR((D136-$C$24)/$C$25,"")</f>
        <v/>
      </c>
      <c r="H136" s="25">
        <f>IFERROR(D162-D136,"")</f>
        <v/>
      </c>
      <c r="I136" s="25">
        <f>IFERROR(D136-D132,"")</f>
        <v/>
      </c>
      <c r="J136" s="25">
        <f>IFERROR(D136-D123,"")</f>
        <v/>
      </c>
      <c r="K136">
        <f>IF(A136="","",$C$24)</f>
        <v/>
      </c>
      <c r="L136">
        <f>IF(A136="","",$C$24-$C$25)</f>
        <v/>
      </c>
      <c r="M136">
        <f>IF(A136="","",$C$24+$C$25)</f>
        <v/>
      </c>
    </row>
    <row r="137">
      <c r="A137" s="23">
        <f>IFERROR(INDEX($R$108:$R$388,ROW()-107),"")</f>
        <v/>
      </c>
      <c r="B137">
        <f>IFERROR(INDEX($S$108:$S$388,ROW()-107),"")</f>
        <v/>
      </c>
      <c r="C137">
        <f>IFERROR(INDEX($W$108:$W$388,ROW()-107),"")</f>
        <v/>
      </c>
      <c r="D137" s="25">
        <f>IFERROR((C137-B137)*100,"")</f>
        <v/>
      </c>
      <c r="E137" s="25">
        <f>IFERROR(D137-D136,"")</f>
        <v/>
      </c>
      <c r="F137" s="25">
        <f>IFERROR(D136,"")</f>
        <v/>
      </c>
      <c r="G137" s="62">
        <f>IFERROR((D137-$C$24)/$C$25,"")</f>
        <v/>
      </c>
      <c r="H137" s="25">
        <f>IFERROR(D163-D137,"")</f>
        <v/>
      </c>
      <c r="I137" s="25">
        <f>IFERROR(D137-D133,"")</f>
        <v/>
      </c>
      <c r="J137" s="25">
        <f>IFERROR(D137-D124,"")</f>
        <v/>
      </c>
      <c r="K137">
        <f>IF(A137="","",$C$24)</f>
        <v/>
      </c>
      <c r="L137">
        <f>IF(A137="","",$C$24-$C$25)</f>
        <v/>
      </c>
      <c r="M137">
        <f>IF(A137="","",$C$24+$C$25)</f>
        <v/>
      </c>
    </row>
    <row r="138">
      <c r="A138" s="23">
        <f>IFERROR(INDEX($R$108:$R$388,ROW()-107),"")</f>
        <v/>
      </c>
      <c r="B138">
        <f>IFERROR(INDEX($S$108:$S$388,ROW()-107),"")</f>
        <v/>
      </c>
      <c r="C138">
        <f>IFERROR(INDEX($W$108:$W$388,ROW()-107),"")</f>
        <v/>
      </c>
      <c r="D138" s="25">
        <f>IFERROR((C138-B138)*100,"")</f>
        <v/>
      </c>
      <c r="E138" s="25">
        <f>IFERROR(D138-D137,"")</f>
        <v/>
      </c>
      <c r="F138" s="25">
        <f>IFERROR(D137,"")</f>
        <v/>
      </c>
      <c r="G138" s="62">
        <f>IFERROR((D138-$C$24)/$C$25,"")</f>
        <v/>
      </c>
      <c r="H138" s="25">
        <f>IFERROR(D164-D138,"")</f>
        <v/>
      </c>
      <c r="I138" s="25">
        <f>IFERROR(D138-D134,"")</f>
        <v/>
      </c>
      <c r="J138" s="25">
        <f>IFERROR(D138-D125,"")</f>
        <v/>
      </c>
      <c r="K138">
        <f>IF(A138="","",$C$24)</f>
        <v/>
      </c>
      <c r="L138">
        <f>IF(A138="","",$C$24-$C$25)</f>
        <v/>
      </c>
      <c r="M138">
        <f>IF(A138="","",$C$24+$C$25)</f>
        <v/>
      </c>
    </row>
    <row r="139">
      <c r="A139" s="23">
        <f>IFERROR(INDEX($R$108:$R$388,ROW()-107),"")</f>
        <v/>
      </c>
      <c r="B139">
        <f>IFERROR(INDEX($S$108:$S$388,ROW()-107),"")</f>
        <v/>
      </c>
      <c r="C139">
        <f>IFERROR(INDEX($W$108:$W$388,ROW()-107),"")</f>
        <v/>
      </c>
      <c r="D139" s="25">
        <f>IFERROR((C139-B139)*100,"")</f>
        <v/>
      </c>
      <c r="E139" s="25">
        <f>IFERROR(D139-D138,"")</f>
        <v/>
      </c>
      <c r="F139" s="25">
        <f>IFERROR(D138,"")</f>
        <v/>
      </c>
      <c r="G139" s="62">
        <f>IFERROR((D139-$C$24)/$C$25,"")</f>
        <v/>
      </c>
      <c r="H139" s="25">
        <f>IFERROR(D165-D139,"")</f>
        <v/>
      </c>
      <c r="I139" s="25">
        <f>IFERROR(D139-D135,"")</f>
        <v/>
      </c>
      <c r="J139" s="25">
        <f>IFERROR(D139-D126,"")</f>
        <v/>
      </c>
      <c r="K139">
        <f>IF(A139="","",$C$24)</f>
        <v/>
      </c>
      <c r="L139">
        <f>IF(A139="","",$C$24-$C$25)</f>
        <v/>
      </c>
      <c r="M139">
        <f>IF(A139="","",$C$24+$C$25)</f>
        <v/>
      </c>
    </row>
    <row r="140">
      <c r="A140" s="23">
        <f>IFERROR(INDEX($R$108:$R$388,ROW()-107),"")</f>
        <v/>
      </c>
      <c r="B140">
        <f>IFERROR(INDEX($S$108:$S$388,ROW()-107),"")</f>
        <v/>
      </c>
      <c r="C140">
        <f>IFERROR(INDEX($W$108:$W$388,ROW()-107),"")</f>
        <v/>
      </c>
      <c r="D140" s="25">
        <f>IFERROR((C140-B140)*100,"")</f>
        <v/>
      </c>
      <c r="E140" s="25">
        <f>IFERROR(D140-D139,"")</f>
        <v/>
      </c>
      <c r="F140" s="25">
        <f>IFERROR(D139,"")</f>
        <v/>
      </c>
      <c r="G140" s="62">
        <f>IFERROR((D140-$C$24)/$C$25,"")</f>
        <v/>
      </c>
      <c r="H140" s="25">
        <f>IFERROR(D166-D140,"")</f>
        <v/>
      </c>
      <c r="I140" s="25">
        <f>IFERROR(D140-D136,"")</f>
        <v/>
      </c>
      <c r="J140" s="25">
        <f>IFERROR(D140-D127,"")</f>
        <v/>
      </c>
      <c r="K140">
        <f>IF(A140="","",$C$24)</f>
        <v/>
      </c>
      <c r="L140">
        <f>IF(A140="","",$C$24-$C$25)</f>
        <v/>
      </c>
      <c r="M140">
        <f>IF(A140="","",$C$24+$C$25)</f>
        <v/>
      </c>
    </row>
    <row r="141">
      <c r="A141" s="23">
        <f>IFERROR(INDEX($R$108:$R$388,ROW()-107),"")</f>
        <v/>
      </c>
      <c r="B141">
        <f>IFERROR(INDEX($S$108:$S$388,ROW()-107),"")</f>
        <v/>
      </c>
      <c r="C141">
        <f>IFERROR(INDEX($W$108:$W$388,ROW()-107),"")</f>
        <v/>
      </c>
      <c r="D141" s="25">
        <f>IFERROR((C141-B141)*100,"")</f>
        <v/>
      </c>
      <c r="E141" s="25">
        <f>IFERROR(D141-D140,"")</f>
        <v/>
      </c>
      <c r="F141" s="25">
        <f>IFERROR(D140,"")</f>
        <v/>
      </c>
      <c r="G141" s="62">
        <f>IFERROR((D141-$C$24)/$C$25,"")</f>
        <v/>
      </c>
      <c r="H141" s="25">
        <f>IFERROR(D167-D141,"")</f>
        <v/>
      </c>
      <c r="I141" s="25">
        <f>IFERROR(D141-D137,"")</f>
        <v/>
      </c>
      <c r="J141" s="25">
        <f>IFERROR(D141-D128,"")</f>
        <v/>
      </c>
      <c r="K141">
        <f>IF(A141="","",$C$24)</f>
        <v/>
      </c>
      <c r="L141">
        <f>IF(A141="","",$C$24-$C$25)</f>
        <v/>
      </c>
      <c r="M141">
        <f>IF(A141="","",$C$24+$C$25)</f>
        <v/>
      </c>
    </row>
    <row r="142">
      <c r="A142" s="23">
        <f>IFERROR(INDEX($R$108:$R$388,ROW()-107),"")</f>
        <v/>
      </c>
      <c r="B142">
        <f>IFERROR(INDEX($S$108:$S$388,ROW()-107),"")</f>
        <v/>
      </c>
      <c r="C142">
        <f>IFERROR(INDEX($W$108:$W$388,ROW()-107),"")</f>
        <v/>
      </c>
      <c r="D142" s="25">
        <f>IFERROR((C142-B142)*100,"")</f>
        <v/>
      </c>
      <c r="E142" s="25">
        <f>IFERROR(D142-D141,"")</f>
        <v/>
      </c>
      <c r="F142" s="25">
        <f>IFERROR(D141,"")</f>
        <v/>
      </c>
      <c r="G142" s="62">
        <f>IFERROR((D142-$C$24)/$C$25,"")</f>
        <v/>
      </c>
      <c r="H142" s="25">
        <f>IFERROR(D168-D142,"")</f>
        <v/>
      </c>
      <c r="I142" s="25">
        <f>IFERROR(D142-D138,"")</f>
        <v/>
      </c>
      <c r="J142" s="25">
        <f>IFERROR(D142-D129,"")</f>
        <v/>
      </c>
      <c r="K142">
        <f>IF(A142="","",$C$24)</f>
        <v/>
      </c>
      <c r="L142">
        <f>IF(A142="","",$C$24-$C$25)</f>
        <v/>
      </c>
      <c r="M142">
        <f>IF(A142="","",$C$24+$C$25)</f>
        <v/>
      </c>
    </row>
    <row r="143">
      <c r="A143" s="23">
        <f>IFERROR(INDEX($R$108:$R$388,ROW()-107),"")</f>
        <v/>
      </c>
      <c r="B143">
        <f>IFERROR(INDEX($S$108:$S$388,ROW()-107),"")</f>
        <v/>
      </c>
      <c r="C143">
        <f>IFERROR(INDEX($W$108:$W$388,ROW()-107),"")</f>
        <v/>
      </c>
      <c r="D143" s="25">
        <f>IFERROR((C143-B143)*100,"")</f>
        <v/>
      </c>
      <c r="E143" s="25">
        <f>IFERROR(D143-D142,"")</f>
        <v/>
      </c>
      <c r="F143" s="25">
        <f>IFERROR(D142,"")</f>
        <v/>
      </c>
      <c r="G143" s="62">
        <f>IFERROR((D143-$C$24)/$C$25,"")</f>
        <v/>
      </c>
      <c r="H143" s="25">
        <f>IFERROR(D169-D143,"")</f>
        <v/>
      </c>
      <c r="I143" s="25">
        <f>IFERROR(D143-D139,"")</f>
        <v/>
      </c>
      <c r="J143" s="25">
        <f>IFERROR(D143-D130,"")</f>
        <v/>
      </c>
      <c r="K143">
        <f>IF(A143="","",$C$24)</f>
        <v/>
      </c>
      <c r="L143">
        <f>IF(A143="","",$C$24-$C$25)</f>
        <v/>
      </c>
      <c r="M143">
        <f>IF(A143="","",$C$24+$C$25)</f>
        <v/>
      </c>
    </row>
    <row r="144">
      <c r="A144" s="23">
        <f>IFERROR(INDEX($R$108:$R$388,ROW()-107),"")</f>
        <v/>
      </c>
      <c r="B144">
        <f>IFERROR(INDEX($S$108:$S$388,ROW()-107),"")</f>
        <v/>
      </c>
      <c r="C144">
        <f>IFERROR(INDEX($W$108:$W$388,ROW()-107),"")</f>
        <v/>
      </c>
      <c r="D144" s="25">
        <f>IFERROR((C144-B144)*100,"")</f>
        <v/>
      </c>
      <c r="E144" s="25">
        <f>IFERROR(D144-D143,"")</f>
        <v/>
      </c>
      <c r="F144" s="25">
        <f>IFERROR(D143,"")</f>
        <v/>
      </c>
      <c r="G144" s="62">
        <f>IFERROR((D144-$C$24)/$C$25,"")</f>
        <v/>
      </c>
      <c r="H144" s="25">
        <f>IFERROR(D170-D144,"")</f>
        <v/>
      </c>
      <c r="I144" s="25">
        <f>IFERROR(D144-D140,"")</f>
        <v/>
      </c>
      <c r="J144" s="25">
        <f>IFERROR(D144-D131,"")</f>
        <v/>
      </c>
      <c r="K144">
        <f>IF(A144="","",$C$24)</f>
        <v/>
      </c>
      <c r="L144">
        <f>IF(A144="","",$C$24-$C$25)</f>
        <v/>
      </c>
      <c r="M144">
        <f>IF(A144="","",$C$24+$C$25)</f>
        <v/>
      </c>
    </row>
    <row r="145">
      <c r="A145" s="23">
        <f>IFERROR(INDEX($R$108:$R$388,ROW()-107),"")</f>
        <v/>
      </c>
      <c r="B145">
        <f>IFERROR(INDEX($S$108:$S$388,ROW()-107),"")</f>
        <v/>
      </c>
      <c r="C145">
        <f>IFERROR(INDEX($W$108:$W$388,ROW()-107),"")</f>
        <v/>
      </c>
      <c r="D145" s="25">
        <f>IFERROR((C145-B145)*100,"")</f>
        <v/>
      </c>
      <c r="E145" s="25">
        <f>IFERROR(D145-D144,"")</f>
        <v/>
      </c>
      <c r="F145" s="25">
        <f>IFERROR(D144,"")</f>
        <v/>
      </c>
      <c r="G145" s="62">
        <f>IFERROR((D145-$C$24)/$C$25,"")</f>
        <v/>
      </c>
      <c r="H145" s="25">
        <f>IFERROR(D171-D145,"")</f>
        <v/>
      </c>
      <c r="I145" s="25">
        <f>IFERROR(D145-D141,"")</f>
        <v/>
      </c>
      <c r="J145" s="25">
        <f>IFERROR(D145-D132,"")</f>
        <v/>
      </c>
      <c r="K145">
        <f>IF(A145="","",$C$24)</f>
        <v/>
      </c>
      <c r="L145">
        <f>IF(A145="","",$C$24-$C$25)</f>
        <v/>
      </c>
      <c r="M145">
        <f>IF(A145="","",$C$24+$C$25)</f>
        <v/>
      </c>
    </row>
    <row r="146">
      <c r="A146" s="23">
        <f>IFERROR(INDEX($R$108:$R$388,ROW()-107),"")</f>
        <v/>
      </c>
      <c r="B146">
        <f>IFERROR(INDEX($S$108:$S$388,ROW()-107),"")</f>
        <v/>
      </c>
      <c r="C146">
        <f>IFERROR(INDEX($W$108:$W$388,ROW()-107),"")</f>
        <v/>
      </c>
      <c r="D146" s="25">
        <f>IFERROR((C146-B146)*100,"")</f>
        <v/>
      </c>
      <c r="E146" s="25">
        <f>IFERROR(D146-D145,"")</f>
        <v/>
      </c>
      <c r="F146" s="25">
        <f>IFERROR(D145,"")</f>
        <v/>
      </c>
      <c r="G146" s="62">
        <f>IFERROR((D146-$C$24)/$C$25,"")</f>
        <v/>
      </c>
      <c r="H146" s="25">
        <f>IFERROR(D172-D146,"")</f>
        <v/>
      </c>
      <c r="I146" s="25">
        <f>IFERROR(D146-D142,"")</f>
        <v/>
      </c>
      <c r="J146" s="25">
        <f>IFERROR(D146-D133,"")</f>
        <v/>
      </c>
      <c r="K146">
        <f>IF(A146="","",$C$24)</f>
        <v/>
      </c>
      <c r="L146">
        <f>IF(A146="","",$C$24-$C$25)</f>
        <v/>
      </c>
      <c r="M146">
        <f>IF(A146="","",$C$24+$C$25)</f>
        <v/>
      </c>
    </row>
    <row r="147">
      <c r="A147" s="23">
        <f>IFERROR(INDEX($R$108:$R$388,ROW()-107),"")</f>
        <v/>
      </c>
      <c r="B147">
        <f>IFERROR(INDEX($S$108:$S$388,ROW()-107),"")</f>
        <v/>
      </c>
      <c r="C147">
        <f>IFERROR(INDEX($W$108:$W$388,ROW()-107),"")</f>
        <v/>
      </c>
      <c r="D147" s="25">
        <f>IFERROR((C147-B147)*100,"")</f>
        <v/>
      </c>
      <c r="E147" s="25">
        <f>IFERROR(D147-D146,"")</f>
        <v/>
      </c>
      <c r="F147" s="25">
        <f>IFERROR(D146,"")</f>
        <v/>
      </c>
      <c r="G147" s="62">
        <f>IFERROR((D147-$C$24)/$C$25,"")</f>
        <v/>
      </c>
      <c r="H147" s="25">
        <f>IFERROR(D173-D147,"")</f>
        <v/>
      </c>
      <c r="I147" s="25">
        <f>IFERROR(D147-D143,"")</f>
        <v/>
      </c>
      <c r="J147" s="25">
        <f>IFERROR(D147-D134,"")</f>
        <v/>
      </c>
      <c r="K147">
        <f>IF(A147="","",$C$24)</f>
        <v/>
      </c>
      <c r="L147">
        <f>IF(A147="","",$C$24-$C$25)</f>
        <v/>
      </c>
      <c r="M147">
        <f>IF(A147="","",$C$24+$C$25)</f>
        <v/>
      </c>
    </row>
    <row r="148">
      <c r="A148" s="23">
        <f>IFERROR(INDEX($R$108:$R$388,ROW()-107),"")</f>
        <v/>
      </c>
      <c r="B148">
        <f>IFERROR(INDEX($S$108:$S$388,ROW()-107),"")</f>
        <v/>
      </c>
      <c r="C148">
        <f>IFERROR(INDEX($W$108:$W$388,ROW()-107),"")</f>
        <v/>
      </c>
      <c r="D148" s="25">
        <f>IFERROR((C148-B148)*100,"")</f>
        <v/>
      </c>
      <c r="E148" s="25">
        <f>IFERROR(D148-D147,"")</f>
        <v/>
      </c>
      <c r="F148" s="25">
        <f>IFERROR(D147,"")</f>
        <v/>
      </c>
      <c r="G148" s="62">
        <f>IFERROR((D148-$C$24)/$C$25,"")</f>
        <v/>
      </c>
      <c r="H148" s="25">
        <f>IFERROR(D174-D148,"")</f>
        <v/>
      </c>
      <c r="I148" s="25">
        <f>IFERROR(D148-D144,"")</f>
        <v/>
      </c>
      <c r="J148" s="25">
        <f>IFERROR(D148-D135,"")</f>
        <v/>
      </c>
      <c r="K148">
        <f>IF(A148="","",$C$24)</f>
        <v/>
      </c>
      <c r="L148">
        <f>IF(A148="","",$C$24-$C$25)</f>
        <v/>
      </c>
      <c r="M148">
        <f>IF(A148="","",$C$24+$C$25)</f>
        <v/>
      </c>
    </row>
    <row r="149">
      <c r="A149" s="23">
        <f>IFERROR(INDEX($R$108:$R$388,ROW()-107),"")</f>
        <v/>
      </c>
      <c r="B149">
        <f>IFERROR(INDEX($S$108:$S$388,ROW()-107),"")</f>
        <v/>
      </c>
      <c r="C149">
        <f>IFERROR(INDEX($W$108:$W$388,ROW()-107),"")</f>
        <v/>
      </c>
      <c r="D149" s="25">
        <f>IFERROR((C149-B149)*100,"")</f>
        <v/>
      </c>
      <c r="E149" s="25">
        <f>IFERROR(D149-D148,"")</f>
        <v/>
      </c>
      <c r="F149" s="25">
        <f>IFERROR(D148,"")</f>
        <v/>
      </c>
      <c r="G149" s="62">
        <f>IFERROR((D149-$C$24)/$C$25,"")</f>
        <v/>
      </c>
      <c r="H149" s="25">
        <f>IFERROR(D175-D149,"")</f>
        <v/>
      </c>
      <c r="I149" s="25">
        <f>IFERROR(D149-D145,"")</f>
        <v/>
      </c>
      <c r="J149" s="25">
        <f>IFERROR(D149-D136,"")</f>
        <v/>
      </c>
      <c r="K149">
        <f>IF(A149="","",$C$24)</f>
        <v/>
      </c>
      <c r="L149">
        <f>IF(A149="","",$C$24-$C$25)</f>
        <v/>
      </c>
      <c r="M149">
        <f>IF(A149="","",$C$24+$C$25)</f>
        <v/>
      </c>
    </row>
    <row r="150">
      <c r="A150" s="23">
        <f>IFERROR(INDEX($R$108:$R$388,ROW()-107),"")</f>
        <v/>
      </c>
      <c r="B150">
        <f>IFERROR(INDEX($S$108:$S$388,ROW()-107),"")</f>
        <v/>
      </c>
      <c r="C150">
        <f>IFERROR(INDEX($W$108:$W$388,ROW()-107),"")</f>
        <v/>
      </c>
      <c r="D150" s="25">
        <f>IFERROR((C150-B150)*100,"")</f>
        <v/>
      </c>
      <c r="E150" s="25">
        <f>IFERROR(D150-D149,"")</f>
        <v/>
      </c>
      <c r="F150" s="25">
        <f>IFERROR(D149,"")</f>
        <v/>
      </c>
      <c r="G150" s="62">
        <f>IFERROR((D150-$C$24)/$C$25,"")</f>
        <v/>
      </c>
      <c r="H150" s="25">
        <f>IFERROR(D176-D150,"")</f>
        <v/>
      </c>
      <c r="I150" s="25">
        <f>IFERROR(D150-D146,"")</f>
        <v/>
      </c>
      <c r="J150" s="25">
        <f>IFERROR(D150-D137,"")</f>
        <v/>
      </c>
      <c r="K150">
        <f>IF(A150="","",$C$24)</f>
        <v/>
      </c>
      <c r="L150">
        <f>IF(A150="","",$C$24-$C$25)</f>
        <v/>
      </c>
      <c r="M150">
        <f>IF(A150="","",$C$24+$C$25)</f>
        <v/>
      </c>
    </row>
    <row r="151">
      <c r="A151" s="23">
        <f>IFERROR(INDEX($R$108:$R$388,ROW()-107),"")</f>
        <v/>
      </c>
      <c r="B151">
        <f>IFERROR(INDEX($S$108:$S$388,ROW()-107),"")</f>
        <v/>
      </c>
      <c r="C151">
        <f>IFERROR(INDEX($W$108:$W$388,ROW()-107),"")</f>
        <v/>
      </c>
      <c r="D151" s="25">
        <f>IFERROR((C151-B151)*100,"")</f>
        <v/>
      </c>
      <c r="E151" s="25">
        <f>IFERROR(D151-D150,"")</f>
        <v/>
      </c>
      <c r="F151" s="25">
        <f>IFERROR(D150,"")</f>
        <v/>
      </c>
      <c r="G151" s="62">
        <f>IFERROR((D151-$C$24)/$C$25,"")</f>
        <v/>
      </c>
      <c r="H151" s="25">
        <f>IFERROR(D177-D151,"")</f>
        <v/>
      </c>
      <c r="I151" s="25">
        <f>IFERROR(D151-D147,"")</f>
        <v/>
      </c>
      <c r="J151" s="25">
        <f>IFERROR(D151-D138,"")</f>
        <v/>
      </c>
      <c r="K151">
        <f>IF(A151="","",$C$24)</f>
        <v/>
      </c>
      <c r="L151">
        <f>IF(A151="","",$C$24-$C$25)</f>
        <v/>
      </c>
      <c r="M151">
        <f>IF(A151="","",$C$24+$C$25)</f>
        <v/>
      </c>
    </row>
    <row r="152">
      <c r="A152" s="23">
        <f>IFERROR(INDEX($R$108:$R$388,ROW()-107),"")</f>
        <v/>
      </c>
      <c r="B152">
        <f>IFERROR(INDEX($S$108:$S$388,ROW()-107),"")</f>
        <v/>
      </c>
      <c r="C152">
        <f>IFERROR(INDEX($W$108:$W$388,ROW()-107),"")</f>
        <v/>
      </c>
      <c r="D152" s="25">
        <f>IFERROR((C152-B152)*100,"")</f>
        <v/>
      </c>
      <c r="E152" s="25">
        <f>IFERROR(D152-D151,"")</f>
        <v/>
      </c>
      <c r="F152" s="25">
        <f>IFERROR(D151,"")</f>
        <v/>
      </c>
      <c r="G152" s="62">
        <f>IFERROR((D152-$C$24)/$C$25,"")</f>
        <v/>
      </c>
      <c r="H152" s="25">
        <f>IFERROR(D178-D152,"")</f>
        <v/>
      </c>
      <c r="I152" s="25">
        <f>IFERROR(D152-D148,"")</f>
        <v/>
      </c>
      <c r="J152" s="25">
        <f>IFERROR(D152-D139,"")</f>
        <v/>
      </c>
      <c r="K152">
        <f>IF(A152="","",$C$24)</f>
        <v/>
      </c>
      <c r="L152">
        <f>IF(A152="","",$C$24-$C$25)</f>
        <v/>
      </c>
      <c r="M152">
        <f>IF(A152="","",$C$24+$C$25)</f>
        <v/>
      </c>
    </row>
    <row r="153">
      <c r="A153" s="23">
        <f>IFERROR(INDEX($R$108:$R$388,ROW()-107),"")</f>
        <v/>
      </c>
      <c r="B153">
        <f>IFERROR(INDEX($S$108:$S$388,ROW()-107),"")</f>
        <v/>
      </c>
      <c r="C153">
        <f>IFERROR(INDEX($W$108:$W$388,ROW()-107),"")</f>
        <v/>
      </c>
      <c r="D153" s="25">
        <f>IFERROR((C153-B153)*100,"")</f>
        <v/>
      </c>
      <c r="E153" s="25">
        <f>IFERROR(D153-D152,"")</f>
        <v/>
      </c>
      <c r="F153" s="25">
        <f>IFERROR(D152,"")</f>
        <v/>
      </c>
      <c r="G153" s="62">
        <f>IFERROR((D153-$C$24)/$C$25,"")</f>
        <v/>
      </c>
      <c r="H153" s="25">
        <f>IFERROR(D179-D153,"")</f>
        <v/>
      </c>
      <c r="I153" s="25">
        <f>IFERROR(D153-D149,"")</f>
        <v/>
      </c>
      <c r="J153" s="25">
        <f>IFERROR(D153-D140,"")</f>
        <v/>
      </c>
      <c r="K153">
        <f>IF(A153="","",$C$24)</f>
        <v/>
      </c>
      <c r="L153">
        <f>IF(A153="","",$C$24-$C$25)</f>
        <v/>
      </c>
      <c r="M153">
        <f>IF(A153="","",$C$24+$C$25)</f>
        <v/>
      </c>
    </row>
    <row r="154">
      <c r="A154" s="23">
        <f>IFERROR(INDEX($R$108:$R$388,ROW()-107),"")</f>
        <v/>
      </c>
      <c r="B154">
        <f>IFERROR(INDEX($S$108:$S$388,ROW()-107),"")</f>
        <v/>
      </c>
      <c r="C154">
        <f>IFERROR(INDEX($W$108:$W$388,ROW()-107),"")</f>
        <v/>
      </c>
      <c r="D154" s="25">
        <f>IFERROR((C154-B154)*100,"")</f>
        <v/>
      </c>
      <c r="E154" s="25">
        <f>IFERROR(D154-D153,"")</f>
        <v/>
      </c>
      <c r="F154" s="25">
        <f>IFERROR(D153,"")</f>
        <v/>
      </c>
      <c r="G154" s="62">
        <f>IFERROR((D154-$C$24)/$C$25,"")</f>
        <v/>
      </c>
      <c r="H154" s="25">
        <f>IFERROR(D180-D154,"")</f>
        <v/>
      </c>
      <c r="I154" s="25">
        <f>IFERROR(D154-D150,"")</f>
        <v/>
      </c>
      <c r="J154" s="25">
        <f>IFERROR(D154-D141,"")</f>
        <v/>
      </c>
      <c r="K154">
        <f>IF(A154="","",$C$24)</f>
        <v/>
      </c>
      <c r="L154">
        <f>IF(A154="","",$C$24-$C$25)</f>
        <v/>
      </c>
      <c r="M154">
        <f>IF(A154="","",$C$24+$C$25)</f>
        <v/>
      </c>
    </row>
    <row r="155">
      <c r="A155" s="23">
        <f>IFERROR(INDEX($R$108:$R$388,ROW()-107),"")</f>
        <v/>
      </c>
      <c r="B155">
        <f>IFERROR(INDEX($S$108:$S$388,ROW()-107),"")</f>
        <v/>
      </c>
      <c r="C155">
        <f>IFERROR(INDEX($W$108:$W$388,ROW()-107),"")</f>
        <v/>
      </c>
      <c r="D155" s="25">
        <f>IFERROR((C155-B155)*100,"")</f>
        <v/>
      </c>
      <c r="E155" s="25">
        <f>IFERROR(D155-D154,"")</f>
        <v/>
      </c>
      <c r="F155" s="25">
        <f>IFERROR(D154,"")</f>
        <v/>
      </c>
      <c r="G155" s="62">
        <f>IFERROR((D155-$C$24)/$C$25,"")</f>
        <v/>
      </c>
      <c r="H155" s="25">
        <f>IFERROR(D181-D155,"")</f>
        <v/>
      </c>
      <c r="I155" s="25">
        <f>IFERROR(D155-D151,"")</f>
        <v/>
      </c>
      <c r="J155" s="25">
        <f>IFERROR(D155-D142,"")</f>
        <v/>
      </c>
      <c r="K155">
        <f>IF(A155="","",$C$24)</f>
        <v/>
      </c>
      <c r="L155">
        <f>IF(A155="","",$C$24-$C$25)</f>
        <v/>
      </c>
      <c r="M155">
        <f>IF(A155="","",$C$24+$C$25)</f>
        <v/>
      </c>
    </row>
    <row r="156">
      <c r="A156" s="23">
        <f>IFERROR(INDEX($R$108:$R$388,ROW()-107),"")</f>
        <v/>
      </c>
      <c r="B156">
        <f>IFERROR(INDEX($S$108:$S$388,ROW()-107),"")</f>
        <v/>
      </c>
      <c r="C156">
        <f>IFERROR(INDEX($W$108:$W$388,ROW()-107),"")</f>
        <v/>
      </c>
      <c r="D156" s="25">
        <f>IFERROR((C156-B156)*100,"")</f>
        <v/>
      </c>
      <c r="E156" s="25">
        <f>IFERROR(D156-D155,"")</f>
        <v/>
      </c>
      <c r="F156" s="25">
        <f>IFERROR(D155,"")</f>
        <v/>
      </c>
      <c r="G156" s="62">
        <f>IFERROR((D156-$C$24)/$C$25,"")</f>
        <v/>
      </c>
      <c r="H156" s="25">
        <f>IFERROR(D182-D156,"")</f>
        <v/>
      </c>
      <c r="I156" s="25">
        <f>IFERROR(D156-D152,"")</f>
        <v/>
      </c>
      <c r="J156" s="25">
        <f>IFERROR(D156-D143,"")</f>
        <v/>
      </c>
      <c r="K156">
        <f>IF(A156="","",$C$24)</f>
        <v/>
      </c>
      <c r="L156">
        <f>IF(A156="","",$C$24-$C$25)</f>
        <v/>
      </c>
      <c r="M156">
        <f>IF(A156="","",$C$24+$C$25)</f>
        <v/>
      </c>
    </row>
    <row r="157">
      <c r="A157" s="23">
        <f>IFERROR(INDEX($R$108:$R$388,ROW()-107),"")</f>
        <v/>
      </c>
      <c r="B157">
        <f>IFERROR(INDEX($S$108:$S$388,ROW()-107),"")</f>
        <v/>
      </c>
      <c r="C157">
        <f>IFERROR(INDEX($W$108:$W$388,ROW()-107),"")</f>
        <v/>
      </c>
      <c r="D157" s="25">
        <f>IFERROR((C157-B157)*100,"")</f>
        <v/>
      </c>
      <c r="E157" s="25">
        <f>IFERROR(D157-D156,"")</f>
        <v/>
      </c>
      <c r="F157" s="25">
        <f>IFERROR(D156,"")</f>
        <v/>
      </c>
      <c r="G157" s="62">
        <f>IFERROR((D157-$C$24)/$C$25,"")</f>
        <v/>
      </c>
      <c r="H157" s="25">
        <f>IFERROR(D183-D157,"")</f>
        <v/>
      </c>
      <c r="I157" s="25">
        <f>IFERROR(D157-D153,"")</f>
        <v/>
      </c>
      <c r="J157" s="25">
        <f>IFERROR(D157-D144,"")</f>
        <v/>
      </c>
      <c r="K157">
        <f>IF(A157="","",$C$24)</f>
        <v/>
      </c>
      <c r="L157">
        <f>IF(A157="","",$C$24-$C$25)</f>
        <v/>
      </c>
      <c r="M157">
        <f>IF(A157="","",$C$24+$C$25)</f>
        <v/>
      </c>
    </row>
    <row r="158">
      <c r="A158" s="23">
        <f>IFERROR(INDEX($R$108:$R$388,ROW()-107),"")</f>
        <v/>
      </c>
      <c r="B158">
        <f>IFERROR(INDEX($S$108:$S$388,ROW()-107),"")</f>
        <v/>
      </c>
      <c r="C158">
        <f>IFERROR(INDEX($W$108:$W$388,ROW()-107),"")</f>
        <v/>
      </c>
      <c r="D158" s="25">
        <f>IFERROR((C158-B158)*100,"")</f>
        <v/>
      </c>
      <c r="E158" s="25">
        <f>IFERROR(D158-D157,"")</f>
        <v/>
      </c>
      <c r="F158" s="25">
        <f>IFERROR(D157,"")</f>
        <v/>
      </c>
      <c r="G158" s="62">
        <f>IFERROR((D158-$C$24)/$C$25,"")</f>
        <v/>
      </c>
      <c r="H158" s="25">
        <f>IFERROR(D184-D158,"")</f>
        <v/>
      </c>
      <c r="I158" s="25">
        <f>IFERROR(D158-D154,"")</f>
        <v/>
      </c>
      <c r="J158" s="25">
        <f>IFERROR(D158-D145,"")</f>
        <v/>
      </c>
      <c r="K158">
        <f>IF(A158="","",$C$24)</f>
        <v/>
      </c>
      <c r="L158">
        <f>IF(A158="","",$C$24-$C$25)</f>
        <v/>
      </c>
      <c r="M158">
        <f>IF(A158="","",$C$24+$C$25)</f>
        <v/>
      </c>
    </row>
    <row r="159">
      <c r="A159" s="23">
        <f>IFERROR(INDEX($R$108:$R$388,ROW()-107),"")</f>
        <v/>
      </c>
      <c r="B159">
        <f>IFERROR(INDEX($S$108:$S$388,ROW()-107),"")</f>
        <v/>
      </c>
      <c r="C159">
        <f>IFERROR(INDEX($W$108:$W$388,ROW()-107),"")</f>
        <v/>
      </c>
      <c r="D159" s="25">
        <f>IFERROR((C159-B159)*100,"")</f>
        <v/>
      </c>
      <c r="E159" s="25">
        <f>IFERROR(D159-D158,"")</f>
        <v/>
      </c>
      <c r="F159" s="25">
        <f>IFERROR(D158,"")</f>
        <v/>
      </c>
      <c r="G159" s="62">
        <f>IFERROR((D159-$C$24)/$C$25,"")</f>
        <v/>
      </c>
      <c r="H159" s="25">
        <f>IFERROR(D185-D159,"")</f>
        <v/>
      </c>
      <c r="I159" s="25">
        <f>IFERROR(D159-D155,"")</f>
        <v/>
      </c>
      <c r="J159" s="25">
        <f>IFERROR(D159-D146,"")</f>
        <v/>
      </c>
      <c r="K159">
        <f>IF(A159="","",$C$24)</f>
        <v/>
      </c>
      <c r="L159">
        <f>IF(A159="","",$C$24-$C$25)</f>
        <v/>
      </c>
      <c r="M159">
        <f>IF(A159="","",$C$24+$C$25)</f>
        <v/>
      </c>
    </row>
    <row r="160">
      <c r="A160" s="23">
        <f>IFERROR(INDEX($R$108:$R$388,ROW()-107),"")</f>
        <v/>
      </c>
      <c r="B160">
        <f>IFERROR(INDEX($S$108:$S$388,ROW()-107),"")</f>
        <v/>
      </c>
      <c r="C160">
        <f>IFERROR(INDEX($W$108:$W$388,ROW()-107),"")</f>
        <v/>
      </c>
      <c r="D160" s="25">
        <f>IFERROR((C160-B160)*100,"")</f>
        <v/>
      </c>
      <c r="E160" s="25">
        <f>IFERROR(D160-D159,"")</f>
        <v/>
      </c>
      <c r="F160" s="25">
        <f>IFERROR(D159,"")</f>
        <v/>
      </c>
      <c r="G160" s="62">
        <f>IFERROR((D160-$C$24)/$C$25,"")</f>
        <v/>
      </c>
      <c r="H160" s="25">
        <f>IFERROR(D186-D160,"")</f>
        <v/>
      </c>
      <c r="I160" s="25">
        <f>IFERROR(D160-D156,"")</f>
        <v/>
      </c>
      <c r="J160" s="25">
        <f>IFERROR(D160-D147,"")</f>
        <v/>
      </c>
      <c r="K160">
        <f>IF(A160="","",$C$24)</f>
        <v/>
      </c>
      <c r="L160">
        <f>IF(A160="","",$C$24-$C$25)</f>
        <v/>
      </c>
      <c r="M160">
        <f>IF(A160="","",$C$24+$C$25)</f>
        <v/>
      </c>
    </row>
    <row r="161">
      <c r="A161" s="23">
        <f>IFERROR(INDEX($R$108:$R$388,ROW()-107),"")</f>
        <v/>
      </c>
      <c r="B161">
        <f>IFERROR(INDEX($S$108:$S$388,ROW()-107),"")</f>
        <v/>
      </c>
      <c r="C161">
        <f>IFERROR(INDEX($W$108:$W$388,ROW()-107),"")</f>
        <v/>
      </c>
      <c r="D161" s="25">
        <f>IFERROR((C161-B161)*100,"")</f>
        <v/>
      </c>
      <c r="E161" s="25">
        <f>IFERROR(D161-D160,"")</f>
        <v/>
      </c>
      <c r="F161" s="25">
        <f>IFERROR(D160,"")</f>
        <v/>
      </c>
      <c r="G161" s="62">
        <f>IFERROR((D161-$C$24)/$C$25,"")</f>
        <v/>
      </c>
      <c r="H161" s="25">
        <f>IFERROR(D187-D161,"")</f>
        <v/>
      </c>
      <c r="I161" s="25">
        <f>IFERROR(D161-D157,"")</f>
        <v/>
      </c>
      <c r="J161" s="25">
        <f>IFERROR(D161-D148,"")</f>
        <v/>
      </c>
      <c r="K161">
        <f>IF(A161="","",$C$24)</f>
        <v/>
      </c>
      <c r="L161">
        <f>IF(A161="","",$C$24-$C$25)</f>
        <v/>
      </c>
      <c r="M161">
        <f>IF(A161="","",$C$24+$C$25)</f>
        <v/>
      </c>
    </row>
    <row r="162">
      <c r="A162" s="23">
        <f>IFERROR(INDEX($R$108:$R$388,ROW()-107),"")</f>
        <v/>
      </c>
      <c r="B162">
        <f>IFERROR(INDEX($S$108:$S$388,ROW()-107),"")</f>
        <v/>
      </c>
      <c r="C162">
        <f>IFERROR(INDEX($W$108:$W$388,ROW()-107),"")</f>
        <v/>
      </c>
      <c r="D162" s="25">
        <f>IFERROR((C162-B162)*100,"")</f>
        <v/>
      </c>
      <c r="E162" s="25">
        <f>IFERROR(D162-D161,"")</f>
        <v/>
      </c>
      <c r="F162" s="25">
        <f>IFERROR(D161,"")</f>
        <v/>
      </c>
      <c r="G162" s="62">
        <f>IFERROR((D162-$C$24)/$C$25,"")</f>
        <v/>
      </c>
      <c r="H162" s="25">
        <f>IFERROR(D188-D162,"")</f>
        <v/>
      </c>
      <c r="I162" s="25">
        <f>IFERROR(D162-D158,"")</f>
        <v/>
      </c>
      <c r="J162" s="25">
        <f>IFERROR(D162-D149,"")</f>
        <v/>
      </c>
      <c r="K162">
        <f>IF(A162="","",$C$24)</f>
        <v/>
      </c>
      <c r="L162">
        <f>IF(A162="","",$C$24-$C$25)</f>
        <v/>
      </c>
      <c r="M162">
        <f>IF(A162="","",$C$24+$C$25)</f>
        <v/>
      </c>
    </row>
    <row r="163">
      <c r="A163" s="23">
        <f>IFERROR(INDEX($R$108:$R$388,ROW()-107),"")</f>
        <v/>
      </c>
      <c r="B163">
        <f>IFERROR(INDEX($S$108:$S$388,ROW()-107),"")</f>
        <v/>
      </c>
      <c r="C163">
        <f>IFERROR(INDEX($W$108:$W$388,ROW()-107),"")</f>
        <v/>
      </c>
      <c r="D163" s="25">
        <f>IFERROR((C163-B163)*100,"")</f>
        <v/>
      </c>
      <c r="E163" s="25">
        <f>IFERROR(D163-D162,"")</f>
        <v/>
      </c>
      <c r="F163" s="25">
        <f>IFERROR(D162,"")</f>
        <v/>
      </c>
      <c r="G163" s="62">
        <f>IFERROR((D163-$C$24)/$C$25,"")</f>
        <v/>
      </c>
      <c r="H163" s="25">
        <f>IFERROR(D189-D163,"")</f>
        <v/>
      </c>
      <c r="I163" s="25">
        <f>IFERROR(D163-D159,"")</f>
        <v/>
      </c>
      <c r="J163" s="25">
        <f>IFERROR(D163-D150,"")</f>
        <v/>
      </c>
      <c r="K163">
        <f>IF(A163="","",$C$24)</f>
        <v/>
      </c>
      <c r="L163">
        <f>IF(A163="","",$C$24-$C$25)</f>
        <v/>
      </c>
      <c r="M163">
        <f>IF(A163="","",$C$24+$C$25)</f>
        <v/>
      </c>
    </row>
    <row r="164">
      <c r="A164" s="23">
        <f>IFERROR(INDEX($R$108:$R$388,ROW()-107),"")</f>
        <v/>
      </c>
      <c r="B164">
        <f>IFERROR(INDEX($S$108:$S$388,ROW()-107),"")</f>
        <v/>
      </c>
      <c r="C164">
        <f>IFERROR(INDEX($W$108:$W$388,ROW()-107),"")</f>
        <v/>
      </c>
      <c r="D164" s="25">
        <f>IFERROR((C164-B164)*100,"")</f>
        <v/>
      </c>
      <c r="E164" s="25">
        <f>IFERROR(D164-D163,"")</f>
        <v/>
      </c>
      <c r="F164" s="25">
        <f>IFERROR(D163,"")</f>
        <v/>
      </c>
      <c r="G164" s="62">
        <f>IFERROR((D164-$C$24)/$C$25,"")</f>
        <v/>
      </c>
      <c r="H164" s="25">
        <f>IFERROR(D190-D164,"")</f>
        <v/>
      </c>
      <c r="I164" s="25">
        <f>IFERROR(D164-D160,"")</f>
        <v/>
      </c>
      <c r="J164" s="25">
        <f>IFERROR(D164-D151,"")</f>
        <v/>
      </c>
      <c r="K164">
        <f>IF(A164="","",$C$24)</f>
        <v/>
      </c>
      <c r="L164">
        <f>IF(A164="","",$C$24-$C$25)</f>
        <v/>
      </c>
      <c r="M164">
        <f>IF(A164="","",$C$24+$C$25)</f>
        <v/>
      </c>
    </row>
    <row r="165">
      <c r="A165" s="23">
        <f>IFERROR(INDEX($R$108:$R$388,ROW()-107),"")</f>
        <v/>
      </c>
      <c r="B165">
        <f>IFERROR(INDEX($S$108:$S$388,ROW()-107),"")</f>
        <v/>
      </c>
      <c r="C165">
        <f>IFERROR(INDEX($W$108:$W$388,ROW()-107),"")</f>
        <v/>
      </c>
      <c r="D165" s="25">
        <f>IFERROR((C165-B165)*100,"")</f>
        <v/>
      </c>
      <c r="E165" s="25">
        <f>IFERROR(D165-D164,"")</f>
        <v/>
      </c>
      <c r="F165" s="25">
        <f>IFERROR(D164,"")</f>
        <v/>
      </c>
      <c r="G165" s="62">
        <f>IFERROR((D165-$C$24)/$C$25,"")</f>
        <v/>
      </c>
      <c r="H165" s="25">
        <f>IFERROR(D191-D165,"")</f>
        <v/>
      </c>
      <c r="I165" s="25">
        <f>IFERROR(D165-D161,"")</f>
        <v/>
      </c>
      <c r="J165" s="25">
        <f>IFERROR(D165-D152,"")</f>
        <v/>
      </c>
      <c r="K165">
        <f>IF(A165="","",$C$24)</f>
        <v/>
      </c>
      <c r="L165">
        <f>IF(A165="","",$C$24-$C$25)</f>
        <v/>
      </c>
      <c r="M165">
        <f>IF(A165="","",$C$24+$C$25)</f>
        <v/>
      </c>
    </row>
    <row r="166">
      <c r="A166" s="23">
        <f>IFERROR(INDEX($R$108:$R$388,ROW()-107),"")</f>
        <v/>
      </c>
      <c r="B166">
        <f>IFERROR(INDEX($S$108:$S$388,ROW()-107),"")</f>
        <v/>
      </c>
      <c r="C166">
        <f>IFERROR(INDEX($W$108:$W$388,ROW()-107),"")</f>
        <v/>
      </c>
      <c r="D166" s="25">
        <f>IFERROR((C166-B166)*100,"")</f>
        <v/>
      </c>
      <c r="E166" s="25">
        <f>IFERROR(D166-D165,"")</f>
        <v/>
      </c>
      <c r="F166" s="25">
        <f>IFERROR(D165,"")</f>
        <v/>
      </c>
      <c r="G166" s="62">
        <f>IFERROR((D166-$C$24)/$C$25,"")</f>
        <v/>
      </c>
      <c r="H166" s="25">
        <f>IFERROR(D192-D166,"")</f>
        <v/>
      </c>
      <c r="I166" s="25">
        <f>IFERROR(D166-D162,"")</f>
        <v/>
      </c>
      <c r="J166" s="25">
        <f>IFERROR(D166-D153,"")</f>
        <v/>
      </c>
      <c r="K166">
        <f>IF(A166="","",$C$24)</f>
        <v/>
      </c>
      <c r="L166">
        <f>IF(A166="","",$C$24-$C$25)</f>
        <v/>
      </c>
      <c r="M166">
        <f>IF(A166="","",$C$24+$C$25)</f>
        <v/>
      </c>
    </row>
    <row r="167">
      <c r="A167" s="23">
        <f>IFERROR(INDEX($R$108:$R$388,ROW()-107),"")</f>
        <v/>
      </c>
      <c r="B167">
        <f>IFERROR(INDEX($S$108:$S$388,ROW()-107),"")</f>
        <v/>
      </c>
      <c r="C167">
        <f>IFERROR(INDEX($W$108:$W$388,ROW()-107),"")</f>
        <v/>
      </c>
      <c r="D167" s="25">
        <f>IFERROR((C167-B167)*100,"")</f>
        <v/>
      </c>
      <c r="E167" s="25">
        <f>IFERROR(D167-D166,"")</f>
        <v/>
      </c>
      <c r="F167" s="25">
        <f>IFERROR(D166,"")</f>
        <v/>
      </c>
      <c r="G167" s="62">
        <f>IFERROR((D167-$C$24)/$C$25,"")</f>
        <v/>
      </c>
      <c r="H167" s="25">
        <f>IFERROR(D193-D167,"")</f>
        <v/>
      </c>
      <c r="I167" s="25">
        <f>IFERROR(D167-D163,"")</f>
        <v/>
      </c>
      <c r="J167" s="25">
        <f>IFERROR(D167-D154,"")</f>
        <v/>
      </c>
      <c r="K167">
        <f>IF(A167="","",$C$24)</f>
        <v/>
      </c>
      <c r="L167">
        <f>IF(A167="","",$C$24-$C$25)</f>
        <v/>
      </c>
      <c r="M167">
        <f>IF(A167="","",$C$24+$C$25)</f>
        <v/>
      </c>
    </row>
    <row r="168">
      <c r="A168" s="23">
        <f>IFERROR(INDEX($R$108:$R$388,ROW()-107),"")</f>
        <v/>
      </c>
      <c r="B168">
        <f>IFERROR(INDEX($S$108:$S$388,ROW()-107),"")</f>
        <v/>
      </c>
      <c r="C168">
        <f>IFERROR(INDEX($W$108:$W$388,ROW()-107),"")</f>
        <v/>
      </c>
      <c r="D168" s="25">
        <f>IFERROR((C168-B168)*100,"")</f>
        <v/>
      </c>
      <c r="E168" s="25">
        <f>IFERROR(D168-D167,"")</f>
        <v/>
      </c>
      <c r="F168" s="25">
        <f>IFERROR(D167,"")</f>
        <v/>
      </c>
      <c r="G168" s="62">
        <f>IFERROR((D168-$C$24)/$C$25,"")</f>
        <v/>
      </c>
      <c r="H168" s="25">
        <f>IFERROR(D194-D168,"")</f>
        <v/>
      </c>
      <c r="I168" s="25">
        <f>IFERROR(D168-D164,"")</f>
        <v/>
      </c>
      <c r="J168" s="25">
        <f>IFERROR(D168-D155,"")</f>
        <v/>
      </c>
      <c r="K168">
        <f>IF(A168="","",$C$24)</f>
        <v/>
      </c>
      <c r="L168">
        <f>IF(A168="","",$C$24-$C$25)</f>
        <v/>
      </c>
      <c r="M168">
        <f>IF(A168="","",$C$24+$C$25)</f>
        <v/>
      </c>
    </row>
    <row r="169">
      <c r="A169" s="23">
        <f>IFERROR(INDEX($R$108:$R$388,ROW()-107),"")</f>
        <v/>
      </c>
      <c r="B169">
        <f>IFERROR(INDEX($S$108:$S$388,ROW()-107),"")</f>
        <v/>
      </c>
      <c r="C169">
        <f>IFERROR(INDEX($W$108:$W$388,ROW()-107),"")</f>
        <v/>
      </c>
      <c r="D169" s="25">
        <f>IFERROR((C169-B169)*100,"")</f>
        <v/>
      </c>
      <c r="E169" s="25">
        <f>IFERROR(D169-D168,"")</f>
        <v/>
      </c>
      <c r="F169" s="25">
        <f>IFERROR(D168,"")</f>
        <v/>
      </c>
      <c r="G169" s="62">
        <f>IFERROR((D169-$C$24)/$C$25,"")</f>
        <v/>
      </c>
      <c r="H169" s="25">
        <f>IFERROR(D195-D169,"")</f>
        <v/>
      </c>
      <c r="I169" s="25">
        <f>IFERROR(D169-D165,"")</f>
        <v/>
      </c>
      <c r="J169" s="25">
        <f>IFERROR(D169-D156,"")</f>
        <v/>
      </c>
      <c r="K169">
        <f>IF(A169="","",$C$24)</f>
        <v/>
      </c>
      <c r="L169">
        <f>IF(A169="","",$C$24-$C$25)</f>
        <v/>
      </c>
      <c r="M169">
        <f>IF(A169="","",$C$24+$C$25)</f>
        <v/>
      </c>
    </row>
    <row r="170">
      <c r="A170" s="23">
        <f>IFERROR(INDEX($R$108:$R$388,ROW()-107),"")</f>
        <v/>
      </c>
      <c r="B170">
        <f>IFERROR(INDEX($S$108:$S$388,ROW()-107),"")</f>
        <v/>
      </c>
      <c r="C170">
        <f>IFERROR(INDEX($W$108:$W$388,ROW()-107),"")</f>
        <v/>
      </c>
      <c r="D170" s="25">
        <f>IFERROR((C170-B170)*100,"")</f>
        <v/>
      </c>
      <c r="E170" s="25">
        <f>IFERROR(D170-D169,"")</f>
        <v/>
      </c>
      <c r="F170" s="25">
        <f>IFERROR(D169,"")</f>
        <v/>
      </c>
      <c r="G170" s="62">
        <f>IFERROR((D170-$C$24)/$C$25,"")</f>
        <v/>
      </c>
      <c r="H170" s="25">
        <f>IFERROR(D196-D170,"")</f>
        <v/>
      </c>
      <c r="I170" s="25">
        <f>IFERROR(D170-D166,"")</f>
        <v/>
      </c>
      <c r="J170" s="25">
        <f>IFERROR(D170-D157,"")</f>
        <v/>
      </c>
      <c r="K170">
        <f>IF(A170="","",$C$24)</f>
        <v/>
      </c>
      <c r="L170">
        <f>IF(A170="","",$C$24-$C$25)</f>
        <v/>
      </c>
      <c r="M170">
        <f>IF(A170="","",$C$24+$C$25)</f>
        <v/>
      </c>
    </row>
    <row r="171">
      <c r="A171" s="23">
        <f>IFERROR(INDEX($R$108:$R$388,ROW()-107),"")</f>
        <v/>
      </c>
      <c r="B171">
        <f>IFERROR(INDEX($S$108:$S$388,ROW()-107),"")</f>
        <v/>
      </c>
      <c r="C171">
        <f>IFERROR(INDEX($W$108:$W$388,ROW()-107),"")</f>
        <v/>
      </c>
      <c r="D171" s="25">
        <f>IFERROR((C171-B171)*100,"")</f>
        <v/>
      </c>
      <c r="E171" s="25">
        <f>IFERROR(D171-D170,"")</f>
        <v/>
      </c>
      <c r="F171" s="25">
        <f>IFERROR(D170,"")</f>
        <v/>
      </c>
      <c r="G171" s="62">
        <f>IFERROR((D171-$C$24)/$C$25,"")</f>
        <v/>
      </c>
      <c r="H171" s="25">
        <f>IFERROR(D197-D171,"")</f>
        <v/>
      </c>
      <c r="I171" s="25">
        <f>IFERROR(D171-D167,"")</f>
        <v/>
      </c>
      <c r="J171" s="25">
        <f>IFERROR(D171-D158,"")</f>
        <v/>
      </c>
      <c r="K171">
        <f>IF(A171="","",$C$24)</f>
        <v/>
      </c>
      <c r="L171">
        <f>IF(A171="","",$C$24-$C$25)</f>
        <v/>
      </c>
      <c r="M171">
        <f>IF(A171="","",$C$24+$C$25)</f>
        <v/>
      </c>
    </row>
    <row r="172">
      <c r="A172" s="23">
        <f>IFERROR(INDEX($R$108:$R$388,ROW()-107),"")</f>
        <v/>
      </c>
      <c r="B172">
        <f>IFERROR(INDEX($S$108:$S$388,ROW()-107),"")</f>
        <v/>
      </c>
      <c r="C172">
        <f>IFERROR(INDEX($W$108:$W$388,ROW()-107),"")</f>
        <v/>
      </c>
      <c r="D172" s="25">
        <f>IFERROR((C172-B172)*100,"")</f>
        <v/>
      </c>
      <c r="E172" s="25">
        <f>IFERROR(D172-D171,"")</f>
        <v/>
      </c>
      <c r="F172" s="25">
        <f>IFERROR(D171,"")</f>
        <v/>
      </c>
      <c r="G172" s="62">
        <f>IFERROR((D172-$C$24)/$C$25,"")</f>
        <v/>
      </c>
      <c r="H172" s="25">
        <f>IFERROR(D198-D172,"")</f>
        <v/>
      </c>
      <c r="I172" s="25">
        <f>IFERROR(D172-D168,"")</f>
        <v/>
      </c>
      <c r="J172" s="25">
        <f>IFERROR(D172-D159,"")</f>
        <v/>
      </c>
      <c r="K172">
        <f>IF(A172="","",$C$24)</f>
        <v/>
      </c>
      <c r="L172">
        <f>IF(A172="","",$C$24-$C$25)</f>
        <v/>
      </c>
      <c r="M172">
        <f>IF(A172="","",$C$24+$C$25)</f>
        <v/>
      </c>
    </row>
    <row r="173">
      <c r="A173" s="23">
        <f>IFERROR(INDEX($R$108:$R$388,ROW()-107),"")</f>
        <v/>
      </c>
      <c r="B173">
        <f>IFERROR(INDEX($S$108:$S$388,ROW()-107),"")</f>
        <v/>
      </c>
      <c r="C173">
        <f>IFERROR(INDEX($W$108:$W$388,ROW()-107),"")</f>
        <v/>
      </c>
      <c r="D173" s="25">
        <f>IFERROR((C173-B173)*100,"")</f>
        <v/>
      </c>
      <c r="E173" s="25">
        <f>IFERROR(D173-D172,"")</f>
        <v/>
      </c>
      <c r="F173" s="25">
        <f>IFERROR(D172,"")</f>
        <v/>
      </c>
      <c r="G173" s="62">
        <f>IFERROR((D173-$C$24)/$C$25,"")</f>
        <v/>
      </c>
      <c r="H173" s="25">
        <f>IFERROR(D199-D173,"")</f>
        <v/>
      </c>
      <c r="I173" s="25">
        <f>IFERROR(D173-D169,"")</f>
        <v/>
      </c>
      <c r="J173" s="25">
        <f>IFERROR(D173-D160,"")</f>
        <v/>
      </c>
      <c r="K173">
        <f>IF(A173="","",$C$24)</f>
        <v/>
      </c>
      <c r="L173">
        <f>IF(A173="","",$C$24-$C$25)</f>
        <v/>
      </c>
      <c r="M173">
        <f>IF(A173="","",$C$24+$C$25)</f>
        <v/>
      </c>
    </row>
    <row r="174">
      <c r="A174" s="23">
        <f>IFERROR(INDEX($R$108:$R$388,ROW()-107),"")</f>
        <v/>
      </c>
      <c r="B174">
        <f>IFERROR(INDEX($S$108:$S$388,ROW()-107),"")</f>
        <v/>
      </c>
      <c r="C174">
        <f>IFERROR(INDEX($W$108:$W$388,ROW()-107),"")</f>
        <v/>
      </c>
      <c r="D174" s="25">
        <f>IFERROR((C174-B174)*100,"")</f>
        <v/>
      </c>
      <c r="E174" s="25">
        <f>IFERROR(D174-D173,"")</f>
        <v/>
      </c>
      <c r="F174" s="25">
        <f>IFERROR(D173,"")</f>
        <v/>
      </c>
      <c r="G174" s="62">
        <f>IFERROR((D174-$C$24)/$C$25,"")</f>
        <v/>
      </c>
      <c r="H174" s="25">
        <f>IFERROR(D200-D174,"")</f>
        <v/>
      </c>
      <c r="I174" s="25">
        <f>IFERROR(D174-D170,"")</f>
        <v/>
      </c>
      <c r="J174" s="25">
        <f>IFERROR(D174-D161,"")</f>
        <v/>
      </c>
      <c r="K174">
        <f>IF(A174="","",$C$24)</f>
        <v/>
      </c>
      <c r="L174">
        <f>IF(A174="","",$C$24-$C$25)</f>
        <v/>
      </c>
      <c r="M174">
        <f>IF(A174="","",$C$24+$C$25)</f>
        <v/>
      </c>
    </row>
    <row r="175">
      <c r="A175" s="23">
        <f>IFERROR(INDEX($R$108:$R$388,ROW()-107),"")</f>
        <v/>
      </c>
      <c r="B175">
        <f>IFERROR(INDEX($S$108:$S$388,ROW()-107),"")</f>
        <v/>
      </c>
      <c r="C175">
        <f>IFERROR(INDEX($W$108:$W$388,ROW()-107),"")</f>
        <v/>
      </c>
      <c r="D175" s="25">
        <f>IFERROR((C175-B175)*100,"")</f>
        <v/>
      </c>
      <c r="E175" s="25">
        <f>IFERROR(D175-D174,"")</f>
        <v/>
      </c>
      <c r="F175" s="25">
        <f>IFERROR(D174,"")</f>
        <v/>
      </c>
      <c r="G175" s="62">
        <f>IFERROR((D175-$C$24)/$C$25,"")</f>
        <v/>
      </c>
      <c r="H175" s="25">
        <f>IFERROR(D201-D175,"")</f>
        <v/>
      </c>
      <c r="I175" s="25">
        <f>IFERROR(D175-D171,"")</f>
        <v/>
      </c>
      <c r="J175" s="25">
        <f>IFERROR(D175-D162,"")</f>
        <v/>
      </c>
      <c r="K175">
        <f>IF(A175="","",$C$24)</f>
        <v/>
      </c>
      <c r="L175">
        <f>IF(A175="","",$C$24-$C$25)</f>
        <v/>
      </c>
      <c r="M175">
        <f>IF(A175="","",$C$24+$C$25)</f>
        <v/>
      </c>
    </row>
    <row r="176">
      <c r="A176" s="23">
        <f>IFERROR(INDEX($R$108:$R$388,ROW()-107),"")</f>
        <v/>
      </c>
      <c r="B176">
        <f>IFERROR(INDEX($S$108:$S$388,ROW()-107),"")</f>
        <v/>
      </c>
      <c r="C176">
        <f>IFERROR(INDEX($W$108:$W$388,ROW()-107),"")</f>
        <v/>
      </c>
      <c r="D176" s="25">
        <f>IFERROR((C176-B176)*100,"")</f>
        <v/>
      </c>
      <c r="E176" s="25">
        <f>IFERROR(D176-D175,"")</f>
        <v/>
      </c>
      <c r="F176" s="25">
        <f>IFERROR(D175,"")</f>
        <v/>
      </c>
      <c r="G176" s="62">
        <f>IFERROR((D176-$C$24)/$C$25,"")</f>
        <v/>
      </c>
      <c r="H176" s="25">
        <f>IFERROR(D202-D176,"")</f>
        <v/>
      </c>
      <c r="I176" s="25">
        <f>IFERROR(D176-D172,"")</f>
        <v/>
      </c>
      <c r="J176" s="25">
        <f>IFERROR(D176-D163,"")</f>
        <v/>
      </c>
      <c r="K176">
        <f>IF(A176="","",$C$24)</f>
        <v/>
      </c>
      <c r="L176">
        <f>IF(A176="","",$C$24-$C$25)</f>
        <v/>
      </c>
      <c r="M176">
        <f>IF(A176="","",$C$24+$C$25)</f>
        <v/>
      </c>
    </row>
    <row r="177">
      <c r="A177" s="23">
        <f>IFERROR(INDEX($R$108:$R$388,ROW()-107),"")</f>
        <v/>
      </c>
      <c r="B177">
        <f>IFERROR(INDEX($S$108:$S$388,ROW()-107),"")</f>
        <v/>
      </c>
      <c r="C177">
        <f>IFERROR(INDEX($W$108:$W$388,ROW()-107),"")</f>
        <v/>
      </c>
      <c r="D177" s="25">
        <f>IFERROR((C177-B177)*100,"")</f>
        <v/>
      </c>
      <c r="E177" s="25">
        <f>IFERROR(D177-D176,"")</f>
        <v/>
      </c>
      <c r="F177" s="25">
        <f>IFERROR(D176,"")</f>
        <v/>
      </c>
      <c r="G177" s="62">
        <f>IFERROR((D177-$C$24)/$C$25,"")</f>
        <v/>
      </c>
      <c r="H177" s="25">
        <f>IFERROR(D203-D177,"")</f>
        <v/>
      </c>
      <c r="I177" s="25">
        <f>IFERROR(D177-D173,"")</f>
        <v/>
      </c>
      <c r="J177" s="25">
        <f>IFERROR(D177-D164,"")</f>
        <v/>
      </c>
      <c r="K177">
        <f>IF(A177="","",$C$24)</f>
        <v/>
      </c>
      <c r="L177">
        <f>IF(A177="","",$C$24-$C$25)</f>
        <v/>
      </c>
      <c r="M177">
        <f>IF(A177="","",$C$24+$C$25)</f>
        <v/>
      </c>
    </row>
    <row r="178">
      <c r="A178" s="23">
        <f>IFERROR(INDEX($R$108:$R$388,ROW()-107),"")</f>
        <v/>
      </c>
      <c r="B178">
        <f>IFERROR(INDEX($S$108:$S$388,ROW()-107),"")</f>
        <v/>
      </c>
      <c r="C178">
        <f>IFERROR(INDEX($W$108:$W$388,ROW()-107),"")</f>
        <v/>
      </c>
      <c r="D178" s="25">
        <f>IFERROR((C178-B178)*100,"")</f>
        <v/>
      </c>
      <c r="E178" s="25">
        <f>IFERROR(D178-D177,"")</f>
        <v/>
      </c>
      <c r="F178" s="25">
        <f>IFERROR(D177,"")</f>
        <v/>
      </c>
      <c r="G178" s="62">
        <f>IFERROR((D178-$C$24)/$C$25,"")</f>
        <v/>
      </c>
      <c r="H178" s="25">
        <f>IFERROR(D204-D178,"")</f>
        <v/>
      </c>
      <c r="I178" s="25">
        <f>IFERROR(D178-D174,"")</f>
        <v/>
      </c>
      <c r="J178" s="25">
        <f>IFERROR(D178-D165,"")</f>
        <v/>
      </c>
      <c r="K178">
        <f>IF(A178="","",$C$24)</f>
        <v/>
      </c>
      <c r="L178">
        <f>IF(A178="","",$C$24-$C$25)</f>
        <v/>
      </c>
      <c r="M178">
        <f>IF(A178="","",$C$24+$C$25)</f>
        <v/>
      </c>
    </row>
    <row r="179">
      <c r="A179" s="23">
        <f>IFERROR(INDEX($R$108:$R$388,ROW()-107),"")</f>
        <v/>
      </c>
      <c r="B179">
        <f>IFERROR(INDEX($S$108:$S$388,ROW()-107),"")</f>
        <v/>
      </c>
      <c r="C179">
        <f>IFERROR(INDEX($W$108:$W$388,ROW()-107),"")</f>
        <v/>
      </c>
      <c r="D179" s="25">
        <f>IFERROR((C179-B179)*100,"")</f>
        <v/>
      </c>
      <c r="E179" s="25">
        <f>IFERROR(D179-D178,"")</f>
        <v/>
      </c>
      <c r="F179" s="25">
        <f>IFERROR(D178,"")</f>
        <v/>
      </c>
      <c r="G179" s="62">
        <f>IFERROR((D179-$C$24)/$C$25,"")</f>
        <v/>
      </c>
      <c r="H179" s="25">
        <f>IFERROR(D205-D179,"")</f>
        <v/>
      </c>
      <c r="I179" s="25">
        <f>IFERROR(D179-D175,"")</f>
        <v/>
      </c>
      <c r="J179" s="25">
        <f>IFERROR(D179-D166,"")</f>
        <v/>
      </c>
      <c r="K179">
        <f>IF(A179="","",$C$24)</f>
        <v/>
      </c>
      <c r="L179">
        <f>IF(A179="","",$C$24-$C$25)</f>
        <v/>
      </c>
      <c r="M179">
        <f>IF(A179="","",$C$24+$C$25)</f>
        <v/>
      </c>
    </row>
    <row r="180">
      <c r="A180" s="23">
        <f>IFERROR(INDEX($R$108:$R$388,ROW()-107),"")</f>
        <v/>
      </c>
      <c r="B180">
        <f>IFERROR(INDEX($S$108:$S$388,ROW()-107),"")</f>
        <v/>
      </c>
      <c r="C180">
        <f>IFERROR(INDEX($W$108:$W$388,ROW()-107),"")</f>
        <v/>
      </c>
      <c r="D180" s="25">
        <f>IFERROR((C180-B180)*100,"")</f>
        <v/>
      </c>
      <c r="E180" s="25">
        <f>IFERROR(D180-D179,"")</f>
        <v/>
      </c>
      <c r="F180" s="25">
        <f>IFERROR(D179,"")</f>
        <v/>
      </c>
      <c r="G180" s="62">
        <f>IFERROR((D180-$C$24)/$C$25,"")</f>
        <v/>
      </c>
      <c r="H180" s="25">
        <f>IFERROR(D206-D180,"")</f>
        <v/>
      </c>
      <c r="I180" s="25">
        <f>IFERROR(D180-D176,"")</f>
        <v/>
      </c>
      <c r="J180" s="25">
        <f>IFERROR(D180-D167,"")</f>
        <v/>
      </c>
      <c r="K180">
        <f>IF(A180="","",$C$24)</f>
        <v/>
      </c>
      <c r="L180">
        <f>IF(A180="","",$C$24-$C$25)</f>
        <v/>
      </c>
      <c r="M180">
        <f>IF(A180="","",$C$24+$C$25)</f>
        <v/>
      </c>
    </row>
    <row r="181">
      <c r="A181" s="23">
        <f>IFERROR(INDEX($R$108:$R$388,ROW()-107),"")</f>
        <v/>
      </c>
      <c r="B181">
        <f>IFERROR(INDEX($S$108:$S$388,ROW()-107),"")</f>
        <v/>
      </c>
      <c r="C181">
        <f>IFERROR(INDEX($W$108:$W$388,ROW()-107),"")</f>
        <v/>
      </c>
      <c r="D181" s="25">
        <f>IFERROR((C181-B181)*100,"")</f>
        <v/>
      </c>
      <c r="E181" s="25">
        <f>IFERROR(D181-D180,"")</f>
        <v/>
      </c>
      <c r="F181" s="25">
        <f>IFERROR(D180,"")</f>
        <v/>
      </c>
      <c r="G181" s="62">
        <f>IFERROR((D181-$C$24)/$C$25,"")</f>
        <v/>
      </c>
      <c r="H181" s="25">
        <f>IFERROR(D207-D181,"")</f>
        <v/>
      </c>
      <c r="I181" s="25">
        <f>IFERROR(D181-D177,"")</f>
        <v/>
      </c>
      <c r="J181" s="25">
        <f>IFERROR(D181-D168,"")</f>
        <v/>
      </c>
      <c r="K181">
        <f>IF(A181="","",$C$24)</f>
        <v/>
      </c>
      <c r="L181">
        <f>IF(A181="","",$C$24-$C$25)</f>
        <v/>
      </c>
      <c r="M181">
        <f>IF(A181="","",$C$24+$C$25)</f>
        <v/>
      </c>
    </row>
    <row r="182">
      <c r="A182" s="23">
        <f>IFERROR(INDEX($R$108:$R$388,ROW()-107),"")</f>
        <v/>
      </c>
      <c r="B182">
        <f>IFERROR(INDEX($S$108:$S$388,ROW()-107),"")</f>
        <v/>
      </c>
      <c r="C182">
        <f>IFERROR(INDEX($W$108:$W$388,ROW()-107),"")</f>
        <v/>
      </c>
      <c r="D182" s="25">
        <f>IFERROR((C182-B182)*100,"")</f>
        <v/>
      </c>
      <c r="E182" s="25">
        <f>IFERROR(D182-D181,"")</f>
        <v/>
      </c>
      <c r="F182" s="25">
        <f>IFERROR(D181,"")</f>
        <v/>
      </c>
      <c r="G182" s="62">
        <f>IFERROR((D182-$C$24)/$C$25,"")</f>
        <v/>
      </c>
      <c r="H182" s="25">
        <f>IFERROR(D208-D182,"")</f>
        <v/>
      </c>
      <c r="I182" s="25">
        <f>IFERROR(D182-D178,"")</f>
        <v/>
      </c>
      <c r="J182" s="25">
        <f>IFERROR(D182-D169,"")</f>
        <v/>
      </c>
      <c r="K182">
        <f>IF(A182="","",$C$24)</f>
        <v/>
      </c>
      <c r="L182">
        <f>IF(A182="","",$C$24-$C$25)</f>
        <v/>
      </c>
      <c r="M182">
        <f>IF(A182="","",$C$24+$C$25)</f>
        <v/>
      </c>
    </row>
    <row r="183">
      <c r="A183" s="23">
        <f>IFERROR(INDEX($R$108:$R$388,ROW()-107),"")</f>
        <v/>
      </c>
      <c r="B183">
        <f>IFERROR(INDEX($S$108:$S$388,ROW()-107),"")</f>
        <v/>
      </c>
      <c r="C183">
        <f>IFERROR(INDEX($W$108:$W$388,ROW()-107),"")</f>
        <v/>
      </c>
      <c r="D183" s="25">
        <f>IFERROR((C183-B183)*100,"")</f>
        <v/>
      </c>
      <c r="E183" s="25">
        <f>IFERROR(D183-D182,"")</f>
        <v/>
      </c>
      <c r="F183" s="25">
        <f>IFERROR(D182,"")</f>
        <v/>
      </c>
      <c r="G183" s="62">
        <f>IFERROR((D183-$C$24)/$C$25,"")</f>
        <v/>
      </c>
      <c r="H183" s="25">
        <f>IFERROR(D209-D183,"")</f>
        <v/>
      </c>
      <c r="I183" s="25">
        <f>IFERROR(D183-D179,"")</f>
        <v/>
      </c>
      <c r="J183" s="25">
        <f>IFERROR(D183-D170,"")</f>
        <v/>
      </c>
      <c r="K183">
        <f>IF(A183="","",$C$24)</f>
        <v/>
      </c>
      <c r="L183">
        <f>IF(A183="","",$C$24-$C$25)</f>
        <v/>
      </c>
      <c r="M183">
        <f>IF(A183="","",$C$24+$C$25)</f>
        <v/>
      </c>
    </row>
    <row r="184">
      <c r="A184" s="23">
        <f>IFERROR(INDEX($R$108:$R$388,ROW()-107),"")</f>
        <v/>
      </c>
      <c r="B184">
        <f>IFERROR(INDEX($S$108:$S$388,ROW()-107),"")</f>
        <v/>
      </c>
      <c r="C184">
        <f>IFERROR(INDEX($W$108:$W$388,ROW()-107),"")</f>
        <v/>
      </c>
      <c r="D184" s="25">
        <f>IFERROR((C184-B184)*100,"")</f>
        <v/>
      </c>
      <c r="E184" s="25">
        <f>IFERROR(D184-D183,"")</f>
        <v/>
      </c>
      <c r="F184" s="25">
        <f>IFERROR(D183,"")</f>
        <v/>
      </c>
      <c r="G184" s="62">
        <f>IFERROR((D184-$C$24)/$C$25,"")</f>
        <v/>
      </c>
      <c r="H184" s="25">
        <f>IFERROR(D210-D184,"")</f>
        <v/>
      </c>
      <c r="I184" s="25">
        <f>IFERROR(D184-D180,"")</f>
        <v/>
      </c>
      <c r="J184" s="25">
        <f>IFERROR(D184-D171,"")</f>
        <v/>
      </c>
      <c r="K184">
        <f>IF(A184="","",$C$24)</f>
        <v/>
      </c>
      <c r="L184">
        <f>IF(A184="","",$C$24-$C$25)</f>
        <v/>
      </c>
      <c r="M184">
        <f>IF(A184="","",$C$24+$C$25)</f>
        <v/>
      </c>
    </row>
    <row r="185">
      <c r="A185" s="23">
        <f>IFERROR(INDEX($R$108:$R$388,ROW()-107),"")</f>
        <v/>
      </c>
      <c r="B185">
        <f>IFERROR(INDEX($S$108:$S$388,ROW()-107),"")</f>
        <v/>
      </c>
      <c r="C185">
        <f>IFERROR(INDEX($W$108:$W$388,ROW()-107),"")</f>
        <v/>
      </c>
      <c r="D185" s="25">
        <f>IFERROR((C185-B185)*100,"")</f>
        <v/>
      </c>
      <c r="E185" s="25">
        <f>IFERROR(D185-D184,"")</f>
        <v/>
      </c>
      <c r="F185" s="25">
        <f>IFERROR(D184,"")</f>
        <v/>
      </c>
      <c r="G185" s="62">
        <f>IFERROR((D185-$C$24)/$C$25,"")</f>
        <v/>
      </c>
      <c r="H185" s="25">
        <f>IFERROR(D211-D185,"")</f>
        <v/>
      </c>
      <c r="I185" s="25">
        <f>IFERROR(D185-D181,"")</f>
        <v/>
      </c>
      <c r="J185" s="25">
        <f>IFERROR(D185-D172,"")</f>
        <v/>
      </c>
      <c r="K185">
        <f>IF(A185="","",$C$24)</f>
        <v/>
      </c>
      <c r="L185">
        <f>IF(A185="","",$C$24-$C$25)</f>
        <v/>
      </c>
      <c r="M185">
        <f>IF(A185="","",$C$24+$C$25)</f>
        <v/>
      </c>
    </row>
    <row r="186">
      <c r="A186" s="23">
        <f>IFERROR(INDEX($R$108:$R$388,ROW()-107),"")</f>
        <v/>
      </c>
      <c r="B186">
        <f>IFERROR(INDEX($S$108:$S$388,ROW()-107),"")</f>
        <v/>
      </c>
      <c r="C186">
        <f>IFERROR(INDEX($W$108:$W$388,ROW()-107),"")</f>
        <v/>
      </c>
      <c r="D186" s="25">
        <f>IFERROR((C186-B186)*100,"")</f>
        <v/>
      </c>
      <c r="E186" s="25">
        <f>IFERROR(D186-D185,"")</f>
        <v/>
      </c>
      <c r="F186" s="25">
        <f>IFERROR(D185,"")</f>
        <v/>
      </c>
      <c r="G186" s="62">
        <f>IFERROR((D186-$C$24)/$C$25,"")</f>
        <v/>
      </c>
      <c r="H186" s="25">
        <f>IFERROR(D212-D186,"")</f>
        <v/>
      </c>
      <c r="I186" s="25">
        <f>IFERROR(D186-D182,"")</f>
        <v/>
      </c>
      <c r="J186" s="25">
        <f>IFERROR(D186-D173,"")</f>
        <v/>
      </c>
      <c r="K186">
        <f>IF(A186="","",$C$24)</f>
        <v/>
      </c>
      <c r="L186">
        <f>IF(A186="","",$C$24-$C$25)</f>
        <v/>
      </c>
      <c r="M186">
        <f>IF(A186="","",$C$24+$C$25)</f>
        <v/>
      </c>
    </row>
    <row r="187">
      <c r="A187" s="23">
        <f>IFERROR(INDEX($R$108:$R$388,ROW()-107),"")</f>
        <v/>
      </c>
      <c r="B187">
        <f>IFERROR(INDEX($S$108:$S$388,ROW()-107),"")</f>
        <v/>
      </c>
      <c r="C187">
        <f>IFERROR(INDEX($W$108:$W$388,ROW()-107),"")</f>
        <v/>
      </c>
      <c r="D187" s="25">
        <f>IFERROR((C187-B187)*100,"")</f>
        <v/>
      </c>
      <c r="E187" s="25">
        <f>IFERROR(D187-D186,"")</f>
        <v/>
      </c>
      <c r="F187" s="25">
        <f>IFERROR(D186,"")</f>
        <v/>
      </c>
      <c r="G187" s="62">
        <f>IFERROR((D187-$C$24)/$C$25,"")</f>
        <v/>
      </c>
      <c r="H187" s="25">
        <f>IFERROR(D213-D187,"")</f>
        <v/>
      </c>
      <c r="I187" s="25">
        <f>IFERROR(D187-D183,"")</f>
        <v/>
      </c>
      <c r="J187" s="25">
        <f>IFERROR(D187-D174,"")</f>
        <v/>
      </c>
      <c r="K187">
        <f>IF(A187="","",$C$24)</f>
        <v/>
      </c>
      <c r="L187">
        <f>IF(A187="","",$C$24-$C$25)</f>
        <v/>
      </c>
      <c r="M187">
        <f>IF(A187="","",$C$24+$C$25)</f>
        <v/>
      </c>
    </row>
    <row r="188">
      <c r="A188" s="23">
        <f>IFERROR(INDEX($R$108:$R$388,ROW()-107),"")</f>
        <v/>
      </c>
      <c r="B188">
        <f>IFERROR(INDEX($S$108:$S$388,ROW()-107),"")</f>
        <v/>
      </c>
      <c r="C188">
        <f>IFERROR(INDEX($W$108:$W$388,ROW()-107),"")</f>
        <v/>
      </c>
      <c r="D188" s="25">
        <f>IFERROR((C188-B188)*100,"")</f>
        <v/>
      </c>
      <c r="E188" s="25">
        <f>IFERROR(D188-D187,"")</f>
        <v/>
      </c>
      <c r="F188" s="25">
        <f>IFERROR(D187,"")</f>
        <v/>
      </c>
      <c r="G188" s="62">
        <f>IFERROR((D188-$C$24)/$C$25,"")</f>
        <v/>
      </c>
      <c r="H188" s="25">
        <f>IFERROR(D214-D188,"")</f>
        <v/>
      </c>
      <c r="I188" s="25">
        <f>IFERROR(D188-D184,"")</f>
        <v/>
      </c>
      <c r="J188" s="25">
        <f>IFERROR(D188-D175,"")</f>
        <v/>
      </c>
      <c r="K188">
        <f>IF(A188="","",$C$24)</f>
        <v/>
      </c>
      <c r="L188">
        <f>IF(A188="","",$C$24-$C$25)</f>
        <v/>
      </c>
      <c r="M188">
        <f>IF(A188="","",$C$24+$C$25)</f>
        <v/>
      </c>
    </row>
    <row r="189">
      <c r="A189" s="23">
        <f>IFERROR(INDEX($R$108:$R$388,ROW()-107),"")</f>
        <v/>
      </c>
      <c r="B189">
        <f>IFERROR(INDEX($S$108:$S$388,ROW()-107),"")</f>
        <v/>
      </c>
      <c r="C189">
        <f>IFERROR(INDEX($W$108:$W$388,ROW()-107),"")</f>
        <v/>
      </c>
      <c r="D189" s="25">
        <f>IFERROR((C189-B189)*100,"")</f>
        <v/>
      </c>
      <c r="E189" s="25">
        <f>IFERROR(D189-D188,"")</f>
        <v/>
      </c>
      <c r="F189" s="25">
        <f>IFERROR(D188,"")</f>
        <v/>
      </c>
      <c r="G189" s="62">
        <f>IFERROR((D189-$C$24)/$C$25,"")</f>
        <v/>
      </c>
      <c r="H189" s="25">
        <f>IFERROR(D215-D189,"")</f>
        <v/>
      </c>
      <c r="I189" s="25">
        <f>IFERROR(D189-D185,"")</f>
        <v/>
      </c>
      <c r="J189" s="25">
        <f>IFERROR(D189-D176,"")</f>
        <v/>
      </c>
      <c r="K189">
        <f>IF(A189="","",$C$24)</f>
        <v/>
      </c>
      <c r="L189">
        <f>IF(A189="","",$C$24-$C$25)</f>
        <v/>
      </c>
      <c r="M189">
        <f>IF(A189="","",$C$24+$C$25)</f>
        <v/>
      </c>
    </row>
    <row r="190">
      <c r="A190" s="23">
        <f>IFERROR(INDEX($R$108:$R$388,ROW()-107),"")</f>
        <v/>
      </c>
      <c r="B190">
        <f>IFERROR(INDEX($S$108:$S$388,ROW()-107),"")</f>
        <v/>
      </c>
      <c r="C190">
        <f>IFERROR(INDEX($W$108:$W$388,ROW()-107),"")</f>
        <v/>
      </c>
      <c r="D190" s="25">
        <f>IFERROR((C190-B190)*100,"")</f>
        <v/>
      </c>
      <c r="E190" s="25">
        <f>IFERROR(D190-D189,"")</f>
        <v/>
      </c>
      <c r="F190" s="25">
        <f>IFERROR(D189,"")</f>
        <v/>
      </c>
      <c r="G190" s="62">
        <f>IFERROR((D190-$C$24)/$C$25,"")</f>
        <v/>
      </c>
      <c r="H190" s="25">
        <f>IFERROR(D216-D190,"")</f>
        <v/>
      </c>
      <c r="I190" s="25">
        <f>IFERROR(D190-D186,"")</f>
        <v/>
      </c>
      <c r="J190" s="25">
        <f>IFERROR(D190-D177,"")</f>
        <v/>
      </c>
      <c r="K190">
        <f>IF(A190="","",$C$24)</f>
        <v/>
      </c>
      <c r="L190">
        <f>IF(A190="","",$C$24-$C$25)</f>
        <v/>
      </c>
      <c r="M190">
        <f>IF(A190="","",$C$24+$C$25)</f>
        <v/>
      </c>
    </row>
    <row r="191">
      <c r="A191" s="23">
        <f>IFERROR(INDEX($R$108:$R$388,ROW()-107),"")</f>
        <v/>
      </c>
      <c r="B191">
        <f>IFERROR(INDEX($S$108:$S$388,ROW()-107),"")</f>
        <v/>
      </c>
      <c r="C191">
        <f>IFERROR(INDEX($W$108:$W$388,ROW()-107),"")</f>
        <v/>
      </c>
      <c r="D191" s="25">
        <f>IFERROR((C191-B191)*100,"")</f>
        <v/>
      </c>
      <c r="E191" s="25">
        <f>IFERROR(D191-D190,"")</f>
        <v/>
      </c>
      <c r="F191" s="25">
        <f>IFERROR(D190,"")</f>
        <v/>
      </c>
      <c r="G191" s="62">
        <f>IFERROR((D191-$C$24)/$C$25,"")</f>
        <v/>
      </c>
      <c r="H191" s="25">
        <f>IFERROR(D217-D191,"")</f>
        <v/>
      </c>
      <c r="I191" s="25">
        <f>IFERROR(D191-D187,"")</f>
        <v/>
      </c>
      <c r="J191" s="25">
        <f>IFERROR(D191-D178,"")</f>
        <v/>
      </c>
      <c r="K191">
        <f>IF(A191="","",$C$24)</f>
        <v/>
      </c>
      <c r="L191">
        <f>IF(A191="","",$C$24-$C$25)</f>
        <v/>
      </c>
      <c r="M191">
        <f>IF(A191="","",$C$24+$C$25)</f>
        <v/>
      </c>
    </row>
    <row r="192">
      <c r="A192" s="23">
        <f>IFERROR(INDEX($R$108:$R$388,ROW()-107),"")</f>
        <v/>
      </c>
      <c r="B192">
        <f>IFERROR(INDEX($S$108:$S$388,ROW()-107),"")</f>
        <v/>
      </c>
      <c r="C192">
        <f>IFERROR(INDEX($W$108:$W$388,ROW()-107),"")</f>
        <v/>
      </c>
      <c r="D192" s="25">
        <f>IFERROR((C192-B192)*100,"")</f>
        <v/>
      </c>
      <c r="E192" s="25">
        <f>IFERROR(D192-D191,"")</f>
        <v/>
      </c>
      <c r="F192" s="25">
        <f>IFERROR(D191,"")</f>
        <v/>
      </c>
      <c r="G192" s="62">
        <f>IFERROR((D192-$C$24)/$C$25,"")</f>
        <v/>
      </c>
      <c r="H192" s="25">
        <f>IFERROR(D218-D192,"")</f>
        <v/>
      </c>
      <c r="I192" s="25">
        <f>IFERROR(D192-D188,"")</f>
        <v/>
      </c>
      <c r="J192" s="25">
        <f>IFERROR(D192-D179,"")</f>
        <v/>
      </c>
      <c r="K192">
        <f>IF(A192="","",$C$24)</f>
        <v/>
      </c>
      <c r="L192">
        <f>IF(A192="","",$C$24-$C$25)</f>
        <v/>
      </c>
      <c r="M192">
        <f>IF(A192="","",$C$24+$C$25)</f>
        <v/>
      </c>
    </row>
    <row r="193">
      <c r="A193" s="23">
        <f>IFERROR(INDEX($R$108:$R$388,ROW()-107),"")</f>
        <v/>
      </c>
      <c r="B193">
        <f>IFERROR(INDEX($S$108:$S$388,ROW()-107),"")</f>
        <v/>
      </c>
      <c r="C193">
        <f>IFERROR(INDEX($W$108:$W$388,ROW()-107),"")</f>
        <v/>
      </c>
      <c r="D193" s="25">
        <f>IFERROR((C193-B193)*100,"")</f>
        <v/>
      </c>
      <c r="E193" s="25">
        <f>IFERROR(D193-D192,"")</f>
        <v/>
      </c>
      <c r="F193" s="25">
        <f>IFERROR(D192,"")</f>
        <v/>
      </c>
      <c r="G193" s="62">
        <f>IFERROR((D193-$C$24)/$C$25,"")</f>
        <v/>
      </c>
      <c r="H193" s="25">
        <f>IFERROR(D219-D193,"")</f>
        <v/>
      </c>
      <c r="I193" s="25">
        <f>IFERROR(D193-D189,"")</f>
        <v/>
      </c>
      <c r="J193" s="25">
        <f>IFERROR(D193-D180,"")</f>
        <v/>
      </c>
      <c r="K193">
        <f>IF(A193="","",$C$24)</f>
        <v/>
      </c>
      <c r="L193">
        <f>IF(A193="","",$C$24-$C$25)</f>
        <v/>
      </c>
      <c r="M193">
        <f>IF(A193="","",$C$24+$C$25)</f>
        <v/>
      </c>
    </row>
    <row r="194">
      <c r="A194" s="23">
        <f>IFERROR(INDEX($R$108:$R$388,ROW()-107),"")</f>
        <v/>
      </c>
      <c r="B194">
        <f>IFERROR(INDEX($S$108:$S$388,ROW()-107),"")</f>
        <v/>
      </c>
      <c r="C194">
        <f>IFERROR(INDEX($W$108:$W$388,ROW()-107),"")</f>
        <v/>
      </c>
      <c r="D194" s="25">
        <f>IFERROR((C194-B194)*100,"")</f>
        <v/>
      </c>
      <c r="E194" s="25">
        <f>IFERROR(D194-D193,"")</f>
        <v/>
      </c>
      <c r="F194" s="25">
        <f>IFERROR(D193,"")</f>
        <v/>
      </c>
      <c r="G194" s="62">
        <f>IFERROR((D194-$C$24)/$C$25,"")</f>
        <v/>
      </c>
      <c r="H194" s="25">
        <f>IFERROR(D220-D194,"")</f>
        <v/>
      </c>
      <c r="I194" s="25">
        <f>IFERROR(D194-D190,"")</f>
        <v/>
      </c>
      <c r="J194" s="25">
        <f>IFERROR(D194-D181,"")</f>
        <v/>
      </c>
      <c r="K194">
        <f>IF(A194="","",$C$24)</f>
        <v/>
      </c>
      <c r="L194">
        <f>IF(A194="","",$C$24-$C$25)</f>
        <v/>
      </c>
      <c r="M194">
        <f>IF(A194="","",$C$24+$C$25)</f>
        <v/>
      </c>
    </row>
    <row r="195">
      <c r="A195" s="23">
        <f>IFERROR(INDEX($R$108:$R$388,ROW()-107),"")</f>
        <v/>
      </c>
      <c r="B195">
        <f>IFERROR(INDEX($S$108:$S$388,ROW()-107),"")</f>
        <v/>
      </c>
      <c r="C195">
        <f>IFERROR(INDEX($W$108:$W$388,ROW()-107),"")</f>
        <v/>
      </c>
      <c r="D195" s="25">
        <f>IFERROR((C195-B195)*100,"")</f>
        <v/>
      </c>
      <c r="E195" s="25">
        <f>IFERROR(D195-D194,"")</f>
        <v/>
      </c>
      <c r="F195" s="25">
        <f>IFERROR(D194,"")</f>
        <v/>
      </c>
      <c r="G195" s="62">
        <f>IFERROR((D195-$C$24)/$C$25,"")</f>
        <v/>
      </c>
      <c r="H195" s="25">
        <f>IFERROR(D221-D195,"")</f>
        <v/>
      </c>
      <c r="I195" s="25">
        <f>IFERROR(D195-D191,"")</f>
        <v/>
      </c>
      <c r="J195" s="25">
        <f>IFERROR(D195-D182,"")</f>
        <v/>
      </c>
      <c r="K195">
        <f>IF(A195="","",$C$24)</f>
        <v/>
      </c>
      <c r="L195">
        <f>IF(A195="","",$C$24-$C$25)</f>
        <v/>
      </c>
      <c r="M195">
        <f>IF(A195="","",$C$24+$C$25)</f>
        <v/>
      </c>
    </row>
    <row r="196">
      <c r="A196" s="23">
        <f>IFERROR(INDEX($R$108:$R$388,ROW()-107),"")</f>
        <v/>
      </c>
      <c r="B196">
        <f>IFERROR(INDEX($S$108:$S$388,ROW()-107),"")</f>
        <v/>
      </c>
      <c r="C196">
        <f>IFERROR(INDEX($W$108:$W$388,ROW()-107),"")</f>
        <v/>
      </c>
      <c r="D196" s="25">
        <f>IFERROR((C196-B196)*100,"")</f>
        <v/>
      </c>
      <c r="E196" s="25">
        <f>IFERROR(D196-D195,"")</f>
        <v/>
      </c>
      <c r="F196" s="25">
        <f>IFERROR(D195,"")</f>
        <v/>
      </c>
      <c r="G196" s="62">
        <f>IFERROR((D196-$C$24)/$C$25,"")</f>
        <v/>
      </c>
      <c r="H196" s="25">
        <f>IFERROR(D222-D196,"")</f>
        <v/>
      </c>
      <c r="I196" s="25">
        <f>IFERROR(D196-D192,"")</f>
        <v/>
      </c>
      <c r="J196" s="25">
        <f>IFERROR(D196-D183,"")</f>
        <v/>
      </c>
      <c r="K196">
        <f>IF(A196="","",$C$24)</f>
        <v/>
      </c>
      <c r="L196">
        <f>IF(A196="","",$C$24-$C$25)</f>
        <v/>
      </c>
      <c r="M196">
        <f>IF(A196="","",$C$24+$C$25)</f>
        <v/>
      </c>
    </row>
    <row r="197">
      <c r="A197" s="23">
        <f>IFERROR(INDEX($R$108:$R$388,ROW()-107),"")</f>
        <v/>
      </c>
      <c r="B197">
        <f>IFERROR(INDEX($S$108:$S$388,ROW()-107),"")</f>
        <v/>
      </c>
      <c r="C197">
        <f>IFERROR(INDEX($W$108:$W$388,ROW()-107),"")</f>
        <v/>
      </c>
      <c r="D197" s="25">
        <f>IFERROR((C197-B197)*100,"")</f>
        <v/>
      </c>
      <c r="E197" s="25">
        <f>IFERROR(D197-D196,"")</f>
        <v/>
      </c>
      <c r="F197" s="25">
        <f>IFERROR(D196,"")</f>
        <v/>
      </c>
      <c r="G197" s="62">
        <f>IFERROR((D197-$C$24)/$C$25,"")</f>
        <v/>
      </c>
      <c r="H197" s="25">
        <f>IFERROR(D223-D197,"")</f>
        <v/>
      </c>
      <c r="I197" s="25">
        <f>IFERROR(D197-D193,"")</f>
        <v/>
      </c>
      <c r="J197" s="25">
        <f>IFERROR(D197-D184,"")</f>
        <v/>
      </c>
      <c r="K197">
        <f>IF(A197="","",$C$24)</f>
        <v/>
      </c>
      <c r="L197">
        <f>IF(A197="","",$C$24-$C$25)</f>
        <v/>
      </c>
      <c r="M197">
        <f>IF(A197="","",$C$24+$C$25)</f>
        <v/>
      </c>
    </row>
    <row r="198">
      <c r="A198" s="23">
        <f>IFERROR(INDEX($R$108:$R$388,ROW()-107),"")</f>
        <v/>
      </c>
      <c r="B198">
        <f>IFERROR(INDEX($S$108:$S$388,ROW()-107),"")</f>
        <v/>
      </c>
      <c r="C198">
        <f>IFERROR(INDEX($W$108:$W$388,ROW()-107),"")</f>
        <v/>
      </c>
      <c r="D198" s="25">
        <f>IFERROR((C198-B198)*100,"")</f>
        <v/>
      </c>
      <c r="E198" s="25">
        <f>IFERROR(D198-D197,"")</f>
        <v/>
      </c>
      <c r="F198" s="25">
        <f>IFERROR(D197,"")</f>
        <v/>
      </c>
      <c r="G198" s="62">
        <f>IFERROR((D198-$C$24)/$C$25,"")</f>
        <v/>
      </c>
      <c r="H198" s="25">
        <f>IFERROR(D224-D198,"")</f>
        <v/>
      </c>
      <c r="I198" s="25">
        <f>IFERROR(D198-D194,"")</f>
        <v/>
      </c>
      <c r="J198" s="25">
        <f>IFERROR(D198-D185,"")</f>
        <v/>
      </c>
      <c r="K198">
        <f>IF(A198="","",$C$24)</f>
        <v/>
      </c>
      <c r="L198">
        <f>IF(A198="","",$C$24-$C$25)</f>
        <v/>
      </c>
      <c r="M198">
        <f>IF(A198="","",$C$24+$C$25)</f>
        <v/>
      </c>
    </row>
    <row r="199">
      <c r="A199" s="23">
        <f>IFERROR(INDEX($R$108:$R$388,ROW()-107),"")</f>
        <v/>
      </c>
      <c r="B199">
        <f>IFERROR(INDEX($S$108:$S$388,ROW()-107),"")</f>
        <v/>
      </c>
      <c r="C199">
        <f>IFERROR(INDEX($W$108:$W$388,ROW()-107),"")</f>
        <v/>
      </c>
      <c r="D199" s="25">
        <f>IFERROR((C199-B199)*100,"")</f>
        <v/>
      </c>
      <c r="E199" s="25">
        <f>IFERROR(D199-D198,"")</f>
        <v/>
      </c>
      <c r="F199" s="25">
        <f>IFERROR(D198,"")</f>
        <v/>
      </c>
      <c r="G199" s="62">
        <f>IFERROR((D199-$C$24)/$C$25,"")</f>
        <v/>
      </c>
      <c r="H199" s="25">
        <f>IFERROR(D225-D199,"")</f>
        <v/>
      </c>
      <c r="I199" s="25">
        <f>IFERROR(D199-D195,"")</f>
        <v/>
      </c>
      <c r="J199" s="25">
        <f>IFERROR(D199-D186,"")</f>
        <v/>
      </c>
      <c r="K199">
        <f>IF(A199="","",$C$24)</f>
        <v/>
      </c>
      <c r="L199">
        <f>IF(A199="","",$C$24-$C$25)</f>
        <v/>
      </c>
      <c r="M199">
        <f>IF(A199="","",$C$24+$C$25)</f>
        <v/>
      </c>
    </row>
    <row r="200">
      <c r="A200" s="23">
        <f>IFERROR(INDEX($R$108:$R$388,ROW()-107),"")</f>
        <v/>
      </c>
      <c r="B200">
        <f>IFERROR(INDEX($S$108:$S$388,ROW()-107),"")</f>
        <v/>
      </c>
      <c r="C200">
        <f>IFERROR(INDEX($W$108:$W$388,ROW()-107),"")</f>
        <v/>
      </c>
      <c r="D200" s="25">
        <f>IFERROR((C200-B200)*100,"")</f>
        <v/>
      </c>
      <c r="E200" s="25">
        <f>IFERROR(D200-D199,"")</f>
        <v/>
      </c>
      <c r="F200" s="25">
        <f>IFERROR(D199,"")</f>
        <v/>
      </c>
      <c r="G200" s="62">
        <f>IFERROR((D200-$C$24)/$C$25,"")</f>
        <v/>
      </c>
      <c r="H200" s="25">
        <f>IFERROR(D226-D200,"")</f>
        <v/>
      </c>
      <c r="I200" s="25">
        <f>IFERROR(D200-D196,"")</f>
        <v/>
      </c>
      <c r="J200" s="25">
        <f>IFERROR(D200-D187,"")</f>
        <v/>
      </c>
      <c r="K200">
        <f>IF(A200="","",$C$24)</f>
        <v/>
      </c>
      <c r="L200">
        <f>IF(A200="","",$C$24-$C$25)</f>
        <v/>
      </c>
      <c r="M200">
        <f>IF(A200="","",$C$24+$C$25)</f>
        <v/>
      </c>
    </row>
    <row r="201">
      <c r="A201" s="23">
        <f>IFERROR(INDEX($R$108:$R$388,ROW()-107),"")</f>
        <v/>
      </c>
      <c r="B201">
        <f>IFERROR(INDEX($S$108:$S$388,ROW()-107),"")</f>
        <v/>
      </c>
      <c r="C201">
        <f>IFERROR(INDEX($W$108:$W$388,ROW()-107),"")</f>
        <v/>
      </c>
      <c r="D201" s="25">
        <f>IFERROR((C201-B201)*100,"")</f>
        <v/>
      </c>
      <c r="E201" s="25">
        <f>IFERROR(D201-D200,"")</f>
        <v/>
      </c>
      <c r="F201" s="25">
        <f>IFERROR(D200,"")</f>
        <v/>
      </c>
      <c r="G201" s="62">
        <f>IFERROR((D201-$C$24)/$C$25,"")</f>
        <v/>
      </c>
      <c r="H201" s="25">
        <f>IFERROR(D227-D201,"")</f>
        <v/>
      </c>
      <c r="I201" s="25">
        <f>IFERROR(D201-D197,"")</f>
        <v/>
      </c>
      <c r="J201" s="25">
        <f>IFERROR(D201-D188,"")</f>
        <v/>
      </c>
      <c r="K201">
        <f>IF(A201="","",$C$24)</f>
        <v/>
      </c>
      <c r="L201">
        <f>IF(A201="","",$C$24-$C$25)</f>
        <v/>
      </c>
      <c r="M201">
        <f>IF(A201="","",$C$24+$C$25)</f>
        <v/>
      </c>
    </row>
    <row r="202">
      <c r="A202" s="23">
        <f>IFERROR(INDEX($R$108:$R$388,ROW()-107),"")</f>
        <v/>
      </c>
      <c r="B202">
        <f>IFERROR(INDEX($S$108:$S$388,ROW()-107),"")</f>
        <v/>
      </c>
      <c r="C202">
        <f>IFERROR(INDEX($W$108:$W$388,ROW()-107),"")</f>
        <v/>
      </c>
      <c r="D202" s="25">
        <f>IFERROR((C202-B202)*100,"")</f>
        <v/>
      </c>
      <c r="E202" s="25">
        <f>IFERROR(D202-D201,"")</f>
        <v/>
      </c>
      <c r="F202" s="25">
        <f>IFERROR(D201,"")</f>
        <v/>
      </c>
      <c r="G202" s="62">
        <f>IFERROR((D202-$C$24)/$C$25,"")</f>
        <v/>
      </c>
      <c r="H202" s="25">
        <f>IFERROR(D228-D202,"")</f>
        <v/>
      </c>
      <c r="I202" s="25">
        <f>IFERROR(D202-D198,"")</f>
        <v/>
      </c>
      <c r="J202" s="25">
        <f>IFERROR(D202-D189,"")</f>
        <v/>
      </c>
      <c r="K202">
        <f>IF(A202="","",$C$24)</f>
        <v/>
      </c>
      <c r="L202">
        <f>IF(A202="","",$C$24-$C$25)</f>
        <v/>
      </c>
      <c r="M202">
        <f>IF(A202="","",$C$24+$C$25)</f>
        <v/>
      </c>
    </row>
    <row r="203">
      <c r="A203" s="23">
        <f>IFERROR(INDEX($R$108:$R$388,ROW()-107),"")</f>
        <v/>
      </c>
      <c r="B203">
        <f>IFERROR(INDEX($S$108:$S$388,ROW()-107),"")</f>
        <v/>
      </c>
      <c r="C203">
        <f>IFERROR(INDEX($W$108:$W$388,ROW()-107),"")</f>
        <v/>
      </c>
      <c r="D203" s="25">
        <f>IFERROR((C203-B203)*100,"")</f>
        <v/>
      </c>
      <c r="E203" s="25">
        <f>IFERROR(D203-D202,"")</f>
        <v/>
      </c>
      <c r="F203" s="25">
        <f>IFERROR(D202,"")</f>
        <v/>
      </c>
      <c r="G203" s="62">
        <f>IFERROR((D203-$C$24)/$C$25,"")</f>
        <v/>
      </c>
      <c r="H203" s="25">
        <f>IFERROR(D229-D203,"")</f>
        <v/>
      </c>
      <c r="I203" s="25">
        <f>IFERROR(D203-D199,"")</f>
        <v/>
      </c>
      <c r="J203" s="25">
        <f>IFERROR(D203-D190,"")</f>
        <v/>
      </c>
      <c r="K203">
        <f>IF(A203="","",$C$24)</f>
        <v/>
      </c>
      <c r="L203">
        <f>IF(A203="","",$C$24-$C$25)</f>
        <v/>
      </c>
      <c r="M203">
        <f>IF(A203="","",$C$24+$C$25)</f>
        <v/>
      </c>
    </row>
    <row r="204">
      <c r="A204" s="23">
        <f>IFERROR(INDEX($R$108:$R$388,ROW()-107),"")</f>
        <v/>
      </c>
      <c r="B204">
        <f>IFERROR(INDEX($S$108:$S$388,ROW()-107),"")</f>
        <v/>
      </c>
      <c r="C204">
        <f>IFERROR(INDEX($W$108:$W$388,ROW()-107),"")</f>
        <v/>
      </c>
      <c r="D204" s="25">
        <f>IFERROR((C204-B204)*100,"")</f>
        <v/>
      </c>
      <c r="E204" s="25">
        <f>IFERROR(D204-D203,"")</f>
        <v/>
      </c>
      <c r="F204" s="25">
        <f>IFERROR(D203,"")</f>
        <v/>
      </c>
      <c r="G204" s="62">
        <f>IFERROR((D204-$C$24)/$C$25,"")</f>
        <v/>
      </c>
      <c r="H204" s="25">
        <f>IFERROR(D230-D204,"")</f>
        <v/>
      </c>
      <c r="I204" s="25">
        <f>IFERROR(D204-D200,"")</f>
        <v/>
      </c>
      <c r="J204" s="25">
        <f>IFERROR(D204-D191,"")</f>
        <v/>
      </c>
      <c r="K204">
        <f>IF(A204="","",$C$24)</f>
        <v/>
      </c>
      <c r="L204">
        <f>IF(A204="","",$C$24-$C$25)</f>
        <v/>
      </c>
      <c r="M204">
        <f>IF(A204="","",$C$24+$C$25)</f>
        <v/>
      </c>
    </row>
    <row r="205">
      <c r="A205" s="23">
        <f>IFERROR(INDEX($R$108:$R$388,ROW()-107),"")</f>
        <v/>
      </c>
      <c r="B205">
        <f>IFERROR(INDEX($S$108:$S$388,ROW()-107),"")</f>
        <v/>
      </c>
      <c r="C205">
        <f>IFERROR(INDEX($W$108:$W$388,ROW()-107),"")</f>
        <v/>
      </c>
      <c r="D205" s="25">
        <f>IFERROR((C205-B205)*100,"")</f>
        <v/>
      </c>
      <c r="E205" s="25">
        <f>IFERROR(D205-D204,"")</f>
        <v/>
      </c>
      <c r="F205" s="25">
        <f>IFERROR(D204,"")</f>
        <v/>
      </c>
      <c r="G205" s="62">
        <f>IFERROR((D205-$C$24)/$C$25,"")</f>
        <v/>
      </c>
      <c r="H205" s="25">
        <f>IFERROR(D231-D205,"")</f>
        <v/>
      </c>
      <c r="I205" s="25">
        <f>IFERROR(D205-D201,"")</f>
        <v/>
      </c>
      <c r="J205" s="25">
        <f>IFERROR(D205-D192,"")</f>
        <v/>
      </c>
      <c r="K205">
        <f>IF(A205="","",$C$24)</f>
        <v/>
      </c>
      <c r="L205">
        <f>IF(A205="","",$C$24-$C$25)</f>
        <v/>
      </c>
      <c r="M205">
        <f>IF(A205="","",$C$24+$C$25)</f>
        <v/>
      </c>
    </row>
    <row r="206">
      <c r="A206" s="23">
        <f>IFERROR(INDEX($R$108:$R$388,ROW()-107),"")</f>
        <v/>
      </c>
      <c r="B206">
        <f>IFERROR(INDEX($S$108:$S$388,ROW()-107),"")</f>
        <v/>
      </c>
      <c r="C206">
        <f>IFERROR(INDEX($W$108:$W$388,ROW()-107),"")</f>
        <v/>
      </c>
      <c r="D206" s="25">
        <f>IFERROR((C206-B206)*100,"")</f>
        <v/>
      </c>
      <c r="E206" s="25">
        <f>IFERROR(D206-D205,"")</f>
        <v/>
      </c>
      <c r="F206" s="25">
        <f>IFERROR(D205,"")</f>
        <v/>
      </c>
      <c r="G206" s="62">
        <f>IFERROR((D206-$C$24)/$C$25,"")</f>
        <v/>
      </c>
      <c r="H206" s="25">
        <f>IFERROR(D232-D206,"")</f>
        <v/>
      </c>
      <c r="I206" s="25">
        <f>IFERROR(D206-D202,"")</f>
        <v/>
      </c>
      <c r="J206" s="25">
        <f>IFERROR(D206-D193,"")</f>
        <v/>
      </c>
      <c r="K206">
        <f>IF(A206="","",$C$24)</f>
        <v/>
      </c>
      <c r="L206">
        <f>IF(A206="","",$C$24-$C$25)</f>
        <v/>
      </c>
      <c r="M206">
        <f>IF(A206="","",$C$24+$C$25)</f>
        <v/>
      </c>
    </row>
    <row r="207">
      <c r="A207" s="23">
        <f>IFERROR(INDEX($R$108:$R$388,ROW()-107),"")</f>
        <v/>
      </c>
      <c r="B207">
        <f>IFERROR(INDEX($S$108:$S$388,ROW()-107),"")</f>
        <v/>
      </c>
      <c r="C207">
        <f>IFERROR(INDEX($W$108:$W$388,ROW()-107),"")</f>
        <v/>
      </c>
      <c r="D207" s="25">
        <f>IFERROR((C207-B207)*100,"")</f>
        <v/>
      </c>
      <c r="E207" s="25">
        <f>IFERROR(D207-D206,"")</f>
        <v/>
      </c>
      <c r="F207" s="25">
        <f>IFERROR(D206,"")</f>
        <v/>
      </c>
      <c r="G207" s="62">
        <f>IFERROR((D207-$C$24)/$C$25,"")</f>
        <v/>
      </c>
      <c r="H207" s="25">
        <f>IFERROR(D233-D207,"")</f>
        <v/>
      </c>
      <c r="I207" s="25">
        <f>IFERROR(D207-D203,"")</f>
        <v/>
      </c>
      <c r="J207" s="25">
        <f>IFERROR(D207-D194,"")</f>
        <v/>
      </c>
      <c r="K207">
        <f>IF(A207="","",$C$24)</f>
        <v/>
      </c>
      <c r="L207">
        <f>IF(A207="","",$C$24-$C$25)</f>
        <v/>
      </c>
      <c r="M207">
        <f>IF(A207="","",$C$24+$C$25)</f>
        <v/>
      </c>
    </row>
    <row r="208">
      <c r="A208" s="23">
        <f>IFERROR(INDEX($R$108:$R$388,ROW()-107),"")</f>
        <v/>
      </c>
      <c r="B208">
        <f>IFERROR(INDEX($S$108:$S$388,ROW()-107),"")</f>
        <v/>
      </c>
      <c r="C208">
        <f>IFERROR(INDEX($W$108:$W$388,ROW()-107),"")</f>
        <v/>
      </c>
      <c r="D208" s="25">
        <f>IFERROR((C208-B208)*100,"")</f>
        <v/>
      </c>
      <c r="E208" s="25">
        <f>IFERROR(D208-D207,"")</f>
        <v/>
      </c>
      <c r="F208" s="25">
        <f>IFERROR(D207,"")</f>
        <v/>
      </c>
      <c r="G208" s="62">
        <f>IFERROR((D208-$C$24)/$C$25,"")</f>
        <v/>
      </c>
      <c r="H208" s="25">
        <f>IFERROR(D234-D208,"")</f>
        <v/>
      </c>
      <c r="I208" s="25">
        <f>IFERROR(D208-D204,"")</f>
        <v/>
      </c>
      <c r="J208" s="25">
        <f>IFERROR(D208-D195,"")</f>
        <v/>
      </c>
      <c r="K208">
        <f>IF(A208="","",$C$24)</f>
        <v/>
      </c>
      <c r="L208">
        <f>IF(A208="","",$C$24-$C$25)</f>
        <v/>
      </c>
      <c r="M208">
        <f>IF(A208="","",$C$24+$C$25)</f>
        <v/>
      </c>
    </row>
    <row r="209">
      <c r="A209" s="23">
        <f>IFERROR(INDEX($R$108:$R$388,ROW()-107),"")</f>
        <v/>
      </c>
      <c r="B209">
        <f>IFERROR(INDEX($S$108:$S$388,ROW()-107),"")</f>
        <v/>
      </c>
      <c r="C209">
        <f>IFERROR(INDEX($W$108:$W$388,ROW()-107),"")</f>
        <v/>
      </c>
      <c r="D209" s="25">
        <f>IFERROR((C209-B209)*100,"")</f>
        <v/>
      </c>
      <c r="E209" s="25">
        <f>IFERROR(D209-D208,"")</f>
        <v/>
      </c>
      <c r="F209" s="25">
        <f>IFERROR(D208,"")</f>
        <v/>
      </c>
      <c r="G209" s="62">
        <f>IFERROR((D209-$C$24)/$C$25,"")</f>
        <v/>
      </c>
      <c r="H209" s="25">
        <f>IFERROR(D235-D209,"")</f>
        <v/>
      </c>
      <c r="I209" s="25">
        <f>IFERROR(D209-D205,"")</f>
        <v/>
      </c>
      <c r="J209" s="25">
        <f>IFERROR(D209-D196,"")</f>
        <v/>
      </c>
      <c r="K209">
        <f>IF(A209="","",$C$24)</f>
        <v/>
      </c>
      <c r="L209">
        <f>IF(A209="","",$C$24-$C$25)</f>
        <v/>
      </c>
      <c r="M209">
        <f>IF(A209="","",$C$24+$C$25)</f>
        <v/>
      </c>
    </row>
    <row r="210">
      <c r="A210" s="23">
        <f>IFERROR(INDEX($R$108:$R$388,ROW()-107),"")</f>
        <v/>
      </c>
      <c r="B210">
        <f>IFERROR(INDEX($S$108:$S$388,ROW()-107),"")</f>
        <v/>
      </c>
      <c r="C210">
        <f>IFERROR(INDEX($W$108:$W$388,ROW()-107),"")</f>
        <v/>
      </c>
      <c r="D210" s="25">
        <f>IFERROR((C210-B210)*100,"")</f>
        <v/>
      </c>
      <c r="E210" s="25">
        <f>IFERROR(D210-D209,"")</f>
        <v/>
      </c>
      <c r="F210" s="25">
        <f>IFERROR(D209,"")</f>
        <v/>
      </c>
      <c r="G210" s="62">
        <f>IFERROR((D210-$C$24)/$C$25,"")</f>
        <v/>
      </c>
      <c r="H210" s="25">
        <f>IFERROR(D236-D210,"")</f>
        <v/>
      </c>
      <c r="I210" s="25">
        <f>IFERROR(D210-D206,"")</f>
        <v/>
      </c>
      <c r="J210" s="25">
        <f>IFERROR(D210-D197,"")</f>
        <v/>
      </c>
      <c r="K210">
        <f>IF(A210="","",$C$24)</f>
        <v/>
      </c>
      <c r="L210">
        <f>IF(A210="","",$C$24-$C$25)</f>
        <v/>
      </c>
      <c r="M210">
        <f>IF(A210="","",$C$24+$C$25)</f>
        <v/>
      </c>
    </row>
    <row r="211">
      <c r="A211" s="23">
        <f>IFERROR(INDEX($R$108:$R$388,ROW()-107),"")</f>
        <v/>
      </c>
      <c r="B211">
        <f>IFERROR(INDEX($S$108:$S$388,ROW()-107),"")</f>
        <v/>
      </c>
      <c r="C211">
        <f>IFERROR(INDEX($W$108:$W$388,ROW()-107),"")</f>
        <v/>
      </c>
      <c r="D211" s="25">
        <f>IFERROR((C211-B211)*100,"")</f>
        <v/>
      </c>
      <c r="E211" s="25">
        <f>IFERROR(D211-D210,"")</f>
        <v/>
      </c>
      <c r="F211" s="25">
        <f>IFERROR(D210,"")</f>
        <v/>
      </c>
      <c r="G211" s="62">
        <f>IFERROR((D211-$C$24)/$C$25,"")</f>
        <v/>
      </c>
      <c r="H211" s="25">
        <f>IFERROR(D237-D211,"")</f>
        <v/>
      </c>
      <c r="I211" s="25">
        <f>IFERROR(D211-D207,"")</f>
        <v/>
      </c>
      <c r="J211" s="25">
        <f>IFERROR(D211-D198,"")</f>
        <v/>
      </c>
      <c r="K211">
        <f>IF(A211="","",$C$24)</f>
        <v/>
      </c>
      <c r="L211">
        <f>IF(A211="","",$C$24-$C$25)</f>
        <v/>
      </c>
      <c r="M211">
        <f>IF(A211="","",$C$24+$C$25)</f>
        <v/>
      </c>
    </row>
    <row r="212">
      <c r="A212" s="23">
        <f>IFERROR(INDEX($R$108:$R$388,ROW()-107),"")</f>
        <v/>
      </c>
      <c r="B212">
        <f>IFERROR(INDEX($S$108:$S$388,ROW()-107),"")</f>
        <v/>
      </c>
      <c r="C212">
        <f>IFERROR(INDEX($W$108:$W$388,ROW()-107),"")</f>
        <v/>
      </c>
      <c r="D212" s="25">
        <f>IFERROR((C212-B212)*100,"")</f>
        <v/>
      </c>
      <c r="E212" s="25">
        <f>IFERROR(D212-D211,"")</f>
        <v/>
      </c>
      <c r="F212" s="25">
        <f>IFERROR(D211,"")</f>
        <v/>
      </c>
      <c r="G212" s="62">
        <f>IFERROR((D212-$C$24)/$C$25,"")</f>
        <v/>
      </c>
      <c r="H212" s="25">
        <f>IFERROR(D238-D212,"")</f>
        <v/>
      </c>
      <c r="I212" s="25">
        <f>IFERROR(D212-D208,"")</f>
        <v/>
      </c>
      <c r="J212" s="25">
        <f>IFERROR(D212-D199,"")</f>
        <v/>
      </c>
      <c r="K212">
        <f>IF(A212="","",$C$24)</f>
        <v/>
      </c>
      <c r="L212">
        <f>IF(A212="","",$C$24-$C$25)</f>
        <v/>
      </c>
      <c r="M212">
        <f>IF(A212="","",$C$24+$C$25)</f>
        <v/>
      </c>
    </row>
    <row r="213">
      <c r="A213" s="23">
        <f>IFERROR(INDEX($R$108:$R$388,ROW()-107),"")</f>
        <v/>
      </c>
      <c r="B213">
        <f>IFERROR(INDEX($S$108:$S$388,ROW()-107),"")</f>
        <v/>
      </c>
      <c r="C213">
        <f>IFERROR(INDEX($W$108:$W$388,ROW()-107),"")</f>
        <v/>
      </c>
      <c r="D213" s="25">
        <f>IFERROR((C213-B213)*100,"")</f>
        <v/>
      </c>
      <c r="E213" s="25">
        <f>IFERROR(D213-D212,"")</f>
        <v/>
      </c>
      <c r="F213" s="25">
        <f>IFERROR(D212,"")</f>
        <v/>
      </c>
      <c r="G213" s="62">
        <f>IFERROR((D213-$C$24)/$C$25,"")</f>
        <v/>
      </c>
      <c r="H213" s="25">
        <f>IFERROR(D239-D213,"")</f>
        <v/>
      </c>
      <c r="I213" s="25">
        <f>IFERROR(D213-D209,"")</f>
        <v/>
      </c>
      <c r="J213" s="25">
        <f>IFERROR(D213-D200,"")</f>
        <v/>
      </c>
      <c r="K213">
        <f>IF(A213="","",$C$24)</f>
        <v/>
      </c>
      <c r="L213">
        <f>IF(A213="","",$C$24-$C$25)</f>
        <v/>
      </c>
      <c r="M213">
        <f>IF(A213="","",$C$24+$C$25)</f>
        <v/>
      </c>
    </row>
    <row r="214">
      <c r="A214" s="23">
        <f>IFERROR(INDEX($R$108:$R$388,ROW()-107),"")</f>
        <v/>
      </c>
      <c r="B214">
        <f>IFERROR(INDEX($S$108:$S$388,ROW()-107),"")</f>
        <v/>
      </c>
      <c r="C214">
        <f>IFERROR(INDEX($W$108:$W$388,ROW()-107),"")</f>
        <v/>
      </c>
      <c r="D214" s="25">
        <f>IFERROR((C214-B214)*100,"")</f>
        <v/>
      </c>
      <c r="E214" s="25">
        <f>IFERROR(D214-D213,"")</f>
        <v/>
      </c>
      <c r="F214" s="25">
        <f>IFERROR(D213,"")</f>
        <v/>
      </c>
      <c r="G214" s="62">
        <f>IFERROR((D214-$C$24)/$C$25,"")</f>
        <v/>
      </c>
      <c r="H214" s="25">
        <f>IFERROR(D240-D214,"")</f>
        <v/>
      </c>
      <c r="I214" s="25">
        <f>IFERROR(D214-D210,"")</f>
        <v/>
      </c>
      <c r="J214" s="25">
        <f>IFERROR(D214-D201,"")</f>
        <v/>
      </c>
      <c r="K214">
        <f>IF(A214="","",$C$24)</f>
        <v/>
      </c>
      <c r="L214">
        <f>IF(A214="","",$C$24-$C$25)</f>
        <v/>
      </c>
      <c r="M214">
        <f>IF(A214="","",$C$24+$C$25)</f>
        <v/>
      </c>
    </row>
    <row r="215">
      <c r="A215" s="23">
        <f>IFERROR(INDEX($R$108:$R$388,ROW()-107),"")</f>
        <v/>
      </c>
      <c r="B215">
        <f>IFERROR(INDEX($S$108:$S$388,ROW()-107),"")</f>
        <v/>
      </c>
      <c r="C215">
        <f>IFERROR(INDEX($W$108:$W$388,ROW()-107),"")</f>
        <v/>
      </c>
      <c r="D215" s="25">
        <f>IFERROR((C215-B215)*100,"")</f>
        <v/>
      </c>
      <c r="E215" s="25">
        <f>IFERROR(D215-D214,"")</f>
        <v/>
      </c>
      <c r="F215" s="25">
        <f>IFERROR(D214,"")</f>
        <v/>
      </c>
      <c r="G215" s="62">
        <f>IFERROR((D215-$C$24)/$C$25,"")</f>
        <v/>
      </c>
      <c r="H215" s="25">
        <f>IFERROR(D241-D215,"")</f>
        <v/>
      </c>
      <c r="I215" s="25">
        <f>IFERROR(D215-D211,"")</f>
        <v/>
      </c>
      <c r="J215" s="25">
        <f>IFERROR(D215-D202,"")</f>
        <v/>
      </c>
      <c r="K215">
        <f>IF(A215="","",$C$24)</f>
        <v/>
      </c>
      <c r="L215">
        <f>IF(A215="","",$C$24-$C$25)</f>
        <v/>
      </c>
      <c r="M215">
        <f>IF(A215="","",$C$24+$C$25)</f>
        <v/>
      </c>
    </row>
    <row r="216">
      <c r="A216" s="23">
        <f>IFERROR(INDEX($R$108:$R$388,ROW()-107),"")</f>
        <v/>
      </c>
      <c r="B216">
        <f>IFERROR(INDEX($S$108:$S$388,ROW()-107),"")</f>
        <v/>
      </c>
      <c r="C216">
        <f>IFERROR(INDEX($W$108:$W$388,ROW()-107),"")</f>
        <v/>
      </c>
      <c r="D216" s="25">
        <f>IFERROR((C216-B216)*100,"")</f>
        <v/>
      </c>
      <c r="E216" s="25">
        <f>IFERROR(D216-D215,"")</f>
        <v/>
      </c>
      <c r="F216" s="25">
        <f>IFERROR(D215,"")</f>
        <v/>
      </c>
      <c r="G216" s="62">
        <f>IFERROR((D216-$C$24)/$C$25,"")</f>
        <v/>
      </c>
      <c r="H216" s="25">
        <f>IFERROR(D242-D216,"")</f>
        <v/>
      </c>
      <c r="I216" s="25">
        <f>IFERROR(D216-D212,"")</f>
        <v/>
      </c>
      <c r="J216" s="25">
        <f>IFERROR(D216-D203,"")</f>
        <v/>
      </c>
      <c r="K216">
        <f>IF(A216="","",$C$24)</f>
        <v/>
      </c>
      <c r="L216">
        <f>IF(A216="","",$C$24-$C$25)</f>
        <v/>
      </c>
      <c r="M216">
        <f>IF(A216="","",$C$24+$C$25)</f>
        <v/>
      </c>
    </row>
    <row r="217">
      <c r="A217" s="23">
        <f>IFERROR(INDEX($R$108:$R$388,ROW()-107),"")</f>
        <v/>
      </c>
      <c r="B217">
        <f>IFERROR(INDEX($S$108:$S$388,ROW()-107),"")</f>
        <v/>
      </c>
      <c r="C217">
        <f>IFERROR(INDEX($W$108:$W$388,ROW()-107),"")</f>
        <v/>
      </c>
      <c r="D217" s="25">
        <f>IFERROR((C217-B217)*100,"")</f>
        <v/>
      </c>
      <c r="E217" s="25">
        <f>IFERROR(D217-D216,"")</f>
        <v/>
      </c>
      <c r="F217" s="25">
        <f>IFERROR(D216,"")</f>
        <v/>
      </c>
      <c r="G217" s="62">
        <f>IFERROR((D217-$C$24)/$C$25,"")</f>
        <v/>
      </c>
      <c r="H217" s="25">
        <f>IFERROR(D243-D217,"")</f>
        <v/>
      </c>
      <c r="I217" s="25">
        <f>IFERROR(D217-D213,"")</f>
        <v/>
      </c>
      <c r="J217" s="25">
        <f>IFERROR(D217-D204,"")</f>
        <v/>
      </c>
      <c r="K217">
        <f>IF(A217="","",$C$24)</f>
        <v/>
      </c>
      <c r="L217">
        <f>IF(A217="","",$C$24-$C$25)</f>
        <v/>
      </c>
      <c r="M217">
        <f>IF(A217="","",$C$24+$C$25)</f>
        <v/>
      </c>
    </row>
    <row r="218">
      <c r="A218" s="23">
        <f>IFERROR(INDEX($R$108:$R$388,ROW()-107),"")</f>
        <v/>
      </c>
      <c r="B218">
        <f>IFERROR(INDEX($S$108:$S$388,ROW()-107),"")</f>
        <v/>
      </c>
      <c r="C218">
        <f>IFERROR(INDEX($W$108:$W$388,ROW()-107),"")</f>
        <v/>
      </c>
      <c r="D218" s="25">
        <f>IFERROR((C218-B218)*100,"")</f>
        <v/>
      </c>
      <c r="E218" s="25">
        <f>IFERROR(D218-D217,"")</f>
        <v/>
      </c>
      <c r="F218" s="25">
        <f>IFERROR(D217,"")</f>
        <v/>
      </c>
      <c r="G218" s="62">
        <f>IFERROR((D218-$C$24)/$C$25,"")</f>
        <v/>
      </c>
      <c r="H218" s="25">
        <f>IFERROR(D244-D218,"")</f>
        <v/>
      </c>
      <c r="I218" s="25">
        <f>IFERROR(D218-D214,"")</f>
        <v/>
      </c>
      <c r="J218" s="25">
        <f>IFERROR(D218-D205,"")</f>
        <v/>
      </c>
      <c r="K218">
        <f>IF(A218="","",$C$24)</f>
        <v/>
      </c>
      <c r="L218">
        <f>IF(A218="","",$C$24-$C$25)</f>
        <v/>
      </c>
      <c r="M218">
        <f>IF(A218="","",$C$24+$C$25)</f>
        <v/>
      </c>
    </row>
    <row r="219">
      <c r="A219" s="23">
        <f>IFERROR(INDEX($R$108:$R$388,ROW()-107),"")</f>
        <v/>
      </c>
      <c r="B219">
        <f>IFERROR(INDEX($S$108:$S$388,ROW()-107),"")</f>
        <v/>
      </c>
      <c r="C219">
        <f>IFERROR(INDEX($W$108:$W$388,ROW()-107),"")</f>
        <v/>
      </c>
      <c r="D219" s="25">
        <f>IFERROR((C219-B219)*100,"")</f>
        <v/>
      </c>
      <c r="E219" s="25">
        <f>IFERROR(D219-D218,"")</f>
        <v/>
      </c>
      <c r="F219" s="25">
        <f>IFERROR(D218,"")</f>
        <v/>
      </c>
      <c r="G219" s="62">
        <f>IFERROR((D219-$C$24)/$C$25,"")</f>
        <v/>
      </c>
      <c r="H219" s="25">
        <f>IFERROR(D245-D219,"")</f>
        <v/>
      </c>
      <c r="I219" s="25">
        <f>IFERROR(D219-D215,"")</f>
        <v/>
      </c>
      <c r="J219" s="25">
        <f>IFERROR(D219-D206,"")</f>
        <v/>
      </c>
      <c r="K219">
        <f>IF(A219="","",$C$24)</f>
        <v/>
      </c>
      <c r="L219">
        <f>IF(A219="","",$C$24-$C$25)</f>
        <v/>
      </c>
      <c r="M219">
        <f>IF(A219="","",$C$24+$C$25)</f>
        <v/>
      </c>
    </row>
    <row r="220">
      <c r="A220" s="23">
        <f>IFERROR(INDEX($R$108:$R$388,ROW()-107),"")</f>
        <v/>
      </c>
      <c r="B220">
        <f>IFERROR(INDEX($S$108:$S$388,ROW()-107),"")</f>
        <v/>
      </c>
      <c r="C220">
        <f>IFERROR(INDEX($W$108:$W$388,ROW()-107),"")</f>
        <v/>
      </c>
      <c r="D220" s="25">
        <f>IFERROR((C220-B220)*100,"")</f>
        <v/>
      </c>
      <c r="E220" s="25">
        <f>IFERROR(D220-D219,"")</f>
        <v/>
      </c>
      <c r="F220" s="25">
        <f>IFERROR(D219,"")</f>
        <v/>
      </c>
      <c r="G220" s="62">
        <f>IFERROR((D220-$C$24)/$C$25,"")</f>
        <v/>
      </c>
      <c r="H220" s="25">
        <f>IFERROR(D246-D220,"")</f>
        <v/>
      </c>
      <c r="I220" s="25">
        <f>IFERROR(D220-D216,"")</f>
        <v/>
      </c>
      <c r="J220" s="25">
        <f>IFERROR(D220-D207,"")</f>
        <v/>
      </c>
      <c r="K220">
        <f>IF(A220="","",$C$24)</f>
        <v/>
      </c>
      <c r="L220">
        <f>IF(A220="","",$C$24-$C$25)</f>
        <v/>
      </c>
      <c r="M220">
        <f>IF(A220="","",$C$24+$C$25)</f>
        <v/>
      </c>
    </row>
    <row r="221">
      <c r="A221" s="23">
        <f>IFERROR(INDEX($R$108:$R$388,ROW()-107),"")</f>
        <v/>
      </c>
      <c r="B221">
        <f>IFERROR(INDEX($S$108:$S$388,ROW()-107),"")</f>
        <v/>
      </c>
      <c r="C221">
        <f>IFERROR(INDEX($W$108:$W$388,ROW()-107),"")</f>
        <v/>
      </c>
      <c r="D221" s="25">
        <f>IFERROR((C221-B221)*100,"")</f>
        <v/>
      </c>
      <c r="E221" s="25">
        <f>IFERROR(D221-D220,"")</f>
        <v/>
      </c>
      <c r="F221" s="25">
        <f>IFERROR(D220,"")</f>
        <v/>
      </c>
      <c r="G221" s="62">
        <f>IFERROR((D221-$C$24)/$C$25,"")</f>
        <v/>
      </c>
      <c r="H221" s="25">
        <f>IFERROR(D247-D221,"")</f>
        <v/>
      </c>
      <c r="I221" s="25">
        <f>IFERROR(D221-D217,"")</f>
        <v/>
      </c>
      <c r="J221" s="25">
        <f>IFERROR(D221-D208,"")</f>
        <v/>
      </c>
      <c r="K221">
        <f>IF(A221="","",$C$24)</f>
        <v/>
      </c>
      <c r="L221">
        <f>IF(A221="","",$C$24-$C$25)</f>
        <v/>
      </c>
      <c r="M221">
        <f>IF(A221="","",$C$24+$C$25)</f>
        <v/>
      </c>
    </row>
    <row r="222">
      <c r="A222" s="23">
        <f>IFERROR(INDEX($R$108:$R$388,ROW()-107),"")</f>
        <v/>
      </c>
      <c r="B222">
        <f>IFERROR(INDEX($S$108:$S$388,ROW()-107),"")</f>
        <v/>
      </c>
      <c r="C222">
        <f>IFERROR(INDEX($W$108:$W$388,ROW()-107),"")</f>
        <v/>
      </c>
      <c r="D222" s="25">
        <f>IFERROR((C222-B222)*100,"")</f>
        <v/>
      </c>
      <c r="E222" s="25">
        <f>IFERROR(D222-D221,"")</f>
        <v/>
      </c>
      <c r="F222" s="25">
        <f>IFERROR(D221,"")</f>
        <v/>
      </c>
      <c r="G222" s="62">
        <f>IFERROR((D222-$C$24)/$C$25,"")</f>
        <v/>
      </c>
      <c r="H222" s="25">
        <f>IFERROR(D248-D222,"")</f>
        <v/>
      </c>
      <c r="I222" s="25">
        <f>IFERROR(D222-D218,"")</f>
        <v/>
      </c>
      <c r="J222" s="25">
        <f>IFERROR(D222-D209,"")</f>
        <v/>
      </c>
      <c r="K222">
        <f>IF(A222="","",$C$24)</f>
        <v/>
      </c>
      <c r="L222">
        <f>IF(A222="","",$C$24-$C$25)</f>
        <v/>
      </c>
      <c r="M222">
        <f>IF(A222="","",$C$24+$C$25)</f>
        <v/>
      </c>
    </row>
    <row r="223">
      <c r="A223" s="23">
        <f>IFERROR(INDEX($R$108:$R$388,ROW()-107),"")</f>
        <v/>
      </c>
      <c r="B223">
        <f>IFERROR(INDEX($S$108:$S$388,ROW()-107),"")</f>
        <v/>
      </c>
      <c r="C223">
        <f>IFERROR(INDEX($W$108:$W$388,ROW()-107),"")</f>
        <v/>
      </c>
      <c r="D223" s="25">
        <f>IFERROR((C223-B223)*100,"")</f>
        <v/>
      </c>
      <c r="E223" s="25">
        <f>IFERROR(D223-D222,"")</f>
        <v/>
      </c>
      <c r="F223" s="25">
        <f>IFERROR(D222,"")</f>
        <v/>
      </c>
      <c r="G223" s="62">
        <f>IFERROR((D223-$C$24)/$C$25,"")</f>
        <v/>
      </c>
      <c r="H223" s="25">
        <f>IFERROR(D249-D223,"")</f>
        <v/>
      </c>
      <c r="I223" s="25">
        <f>IFERROR(D223-D219,"")</f>
        <v/>
      </c>
      <c r="J223" s="25">
        <f>IFERROR(D223-D210,"")</f>
        <v/>
      </c>
      <c r="K223">
        <f>IF(A223="","",$C$24)</f>
        <v/>
      </c>
      <c r="L223">
        <f>IF(A223="","",$C$24-$C$25)</f>
        <v/>
      </c>
      <c r="M223">
        <f>IF(A223="","",$C$24+$C$25)</f>
        <v/>
      </c>
    </row>
    <row r="224">
      <c r="A224" s="23">
        <f>IFERROR(INDEX($R$108:$R$388,ROW()-107),"")</f>
        <v/>
      </c>
      <c r="B224">
        <f>IFERROR(INDEX($S$108:$S$388,ROW()-107),"")</f>
        <v/>
      </c>
      <c r="C224">
        <f>IFERROR(INDEX($W$108:$W$388,ROW()-107),"")</f>
        <v/>
      </c>
      <c r="D224" s="25">
        <f>IFERROR((C224-B224)*100,"")</f>
        <v/>
      </c>
      <c r="E224" s="25">
        <f>IFERROR(D224-D223,"")</f>
        <v/>
      </c>
      <c r="F224" s="25">
        <f>IFERROR(D223,"")</f>
        <v/>
      </c>
      <c r="G224" s="62">
        <f>IFERROR((D224-$C$24)/$C$25,"")</f>
        <v/>
      </c>
      <c r="H224" s="25">
        <f>IFERROR(D250-D224,"")</f>
        <v/>
      </c>
      <c r="I224" s="25">
        <f>IFERROR(D224-D220,"")</f>
        <v/>
      </c>
      <c r="J224" s="25">
        <f>IFERROR(D224-D211,"")</f>
        <v/>
      </c>
      <c r="K224">
        <f>IF(A224="","",$C$24)</f>
        <v/>
      </c>
      <c r="L224">
        <f>IF(A224="","",$C$24-$C$25)</f>
        <v/>
      </c>
      <c r="M224">
        <f>IF(A224="","",$C$24+$C$25)</f>
        <v/>
      </c>
    </row>
    <row r="225">
      <c r="A225" s="23">
        <f>IFERROR(INDEX($R$108:$R$388,ROW()-107),"")</f>
        <v/>
      </c>
      <c r="B225">
        <f>IFERROR(INDEX($S$108:$S$388,ROW()-107),"")</f>
        <v/>
      </c>
      <c r="C225">
        <f>IFERROR(INDEX($W$108:$W$388,ROW()-107),"")</f>
        <v/>
      </c>
      <c r="D225" s="25">
        <f>IFERROR((C225-B225)*100,"")</f>
        <v/>
      </c>
      <c r="E225" s="25">
        <f>IFERROR(D225-D224,"")</f>
        <v/>
      </c>
      <c r="F225" s="25">
        <f>IFERROR(D224,"")</f>
        <v/>
      </c>
      <c r="G225" s="62">
        <f>IFERROR((D225-$C$24)/$C$25,"")</f>
        <v/>
      </c>
      <c r="H225" s="25">
        <f>IFERROR(D251-D225,"")</f>
        <v/>
      </c>
      <c r="I225" s="25">
        <f>IFERROR(D225-D221,"")</f>
        <v/>
      </c>
      <c r="J225" s="25">
        <f>IFERROR(D225-D212,"")</f>
        <v/>
      </c>
      <c r="K225">
        <f>IF(A225="","",$C$24)</f>
        <v/>
      </c>
      <c r="L225">
        <f>IF(A225="","",$C$24-$C$25)</f>
        <v/>
      </c>
      <c r="M225">
        <f>IF(A225="","",$C$24+$C$25)</f>
        <v/>
      </c>
    </row>
    <row r="226">
      <c r="A226" s="23">
        <f>IFERROR(INDEX($R$108:$R$388,ROW()-107),"")</f>
        <v/>
      </c>
      <c r="B226">
        <f>IFERROR(INDEX($S$108:$S$388,ROW()-107),"")</f>
        <v/>
      </c>
      <c r="C226">
        <f>IFERROR(INDEX($W$108:$W$388,ROW()-107),"")</f>
        <v/>
      </c>
      <c r="D226" s="25">
        <f>IFERROR((C226-B226)*100,"")</f>
        <v/>
      </c>
      <c r="E226" s="25">
        <f>IFERROR(D226-D225,"")</f>
        <v/>
      </c>
      <c r="F226" s="25">
        <f>IFERROR(D225,"")</f>
        <v/>
      </c>
      <c r="G226" s="62">
        <f>IFERROR((D226-$C$24)/$C$25,"")</f>
        <v/>
      </c>
      <c r="H226" s="25">
        <f>IFERROR(D252-D226,"")</f>
        <v/>
      </c>
      <c r="I226" s="25">
        <f>IFERROR(D226-D222,"")</f>
        <v/>
      </c>
      <c r="J226" s="25">
        <f>IFERROR(D226-D213,"")</f>
        <v/>
      </c>
      <c r="K226">
        <f>IF(A226="","",$C$24)</f>
        <v/>
      </c>
      <c r="L226">
        <f>IF(A226="","",$C$24-$C$25)</f>
        <v/>
      </c>
      <c r="M226">
        <f>IF(A226="","",$C$24+$C$25)</f>
        <v/>
      </c>
    </row>
    <row r="227">
      <c r="A227" s="23">
        <f>IFERROR(INDEX($R$108:$R$388,ROW()-107),"")</f>
        <v/>
      </c>
      <c r="B227">
        <f>IFERROR(INDEX($S$108:$S$388,ROW()-107),"")</f>
        <v/>
      </c>
      <c r="C227">
        <f>IFERROR(INDEX($W$108:$W$388,ROW()-107),"")</f>
        <v/>
      </c>
      <c r="D227" s="25">
        <f>IFERROR((C227-B227)*100,"")</f>
        <v/>
      </c>
      <c r="E227" s="25">
        <f>IFERROR(D227-D226,"")</f>
        <v/>
      </c>
      <c r="F227" s="25">
        <f>IFERROR(D226,"")</f>
        <v/>
      </c>
      <c r="G227" s="62">
        <f>IFERROR((D227-$C$24)/$C$25,"")</f>
        <v/>
      </c>
      <c r="H227" s="25">
        <f>IFERROR(D253-D227,"")</f>
        <v/>
      </c>
      <c r="I227" s="25">
        <f>IFERROR(D227-D223,"")</f>
        <v/>
      </c>
      <c r="J227" s="25">
        <f>IFERROR(D227-D214,"")</f>
        <v/>
      </c>
      <c r="K227">
        <f>IF(A227="","",$C$24)</f>
        <v/>
      </c>
      <c r="L227">
        <f>IF(A227="","",$C$24-$C$25)</f>
        <v/>
      </c>
      <c r="M227">
        <f>IF(A227="","",$C$24+$C$25)</f>
        <v/>
      </c>
    </row>
    <row r="228">
      <c r="A228" s="23">
        <f>IFERROR(INDEX($R$108:$R$388,ROW()-107),"")</f>
        <v/>
      </c>
      <c r="B228">
        <f>IFERROR(INDEX($S$108:$S$388,ROW()-107),"")</f>
        <v/>
      </c>
      <c r="C228">
        <f>IFERROR(INDEX($W$108:$W$388,ROW()-107),"")</f>
        <v/>
      </c>
      <c r="D228" s="25">
        <f>IFERROR((C228-B228)*100,"")</f>
        <v/>
      </c>
      <c r="E228" s="25">
        <f>IFERROR(D228-D227,"")</f>
        <v/>
      </c>
      <c r="F228" s="25">
        <f>IFERROR(D227,"")</f>
        <v/>
      </c>
      <c r="G228" s="62">
        <f>IFERROR((D228-$C$24)/$C$25,"")</f>
        <v/>
      </c>
      <c r="H228" s="25">
        <f>IFERROR(D254-D228,"")</f>
        <v/>
      </c>
      <c r="I228" s="25">
        <f>IFERROR(D228-D224,"")</f>
        <v/>
      </c>
      <c r="J228" s="25">
        <f>IFERROR(D228-D215,"")</f>
        <v/>
      </c>
      <c r="K228">
        <f>IF(A228="","",$C$24)</f>
        <v/>
      </c>
      <c r="L228">
        <f>IF(A228="","",$C$24-$C$25)</f>
        <v/>
      </c>
      <c r="M228">
        <f>IF(A228="","",$C$24+$C$25)</f>
        <v/>
      </c>
    </row>
    <row r="229">
      <c r="A229" s="23">
        <f>IFERROR(INDEX($R$108:$R$388,ROW()-107),"")</f>
        <v/>
      </c>
      <c r="B229">
        <f>IFERROR(INDEX($S$108:$S$388,ROW()-107),"")</f>
        <v/>
      </c>
      <c r="C229">
        <f>IFERROR(INDEX($W$108:$W$388,ROW()-107),"")</f>
        <v/>
      </c>
      <c r="D229" s="25">
        <f>IFERROR((C229-B229)*100,"")</f>
        <v/>
      </c>
      <c r="E229" s="25">
        <f>IFERROR(D229-D228,"")</f>
        <v/>
      </c>
      <c r="F229" s="25">
        <f>IFERROR(D228,"")</f>
        <v/>
      </c>
      <c r="G229" s="62">
        <f>IFERROR((D229-$C$24)/$C$25,"")</f>
        <v/>
      </c>
      <c r="H229" s="25">
        <f>IFERROR(D255-D229,"")</f>
        <v/>
      </c>
      <c r="I229" s="25">
        <f>IFERROR(D229-D225,"")</f>
        <v/>
      </c>
      <c r="J229" s="25">
        <f>IFERROR(D229-D216,"")</f>
        <v/>
      </c>
      <c r="K229">
        <f>IF(A229="","",$C$24)</f>
        <v/>
      </c>
      <c r="L229">
        <f>IF(A229="","",$C$24-$C$25)</f>
        <v/>
      </c>
      <c r="M229">
        <f>IF(A229="","",$C$24+$C$25)</f>
        <v/>
      </c>
    </row>
    <row r="230">
      <c r="A230" s="23">
        <f>IFERROR(INDEX($R$108:$R$388,ROW()-107),"")</f>
        <v/>
      </c>
      <c r="B230">
        <f>IFERROR(INDEX($S$108:$S$388,ROW()-107),"")</f>
        <v/>
      </c>
      <c r="C230">
        <f>IFERROR(INDEX($W$108:$W$388,ROW()-107),"")</f>
        <v/>
      </c>
      <c r="D230" s="25">
        <f>IFERROR((C230-B230)*100,"")</f>
        <v/>
      </c>
      <c r="E230" s="25">
        <f>IFERROR(D230-D229,"")</f>
        <v/>
      </c>
      <c r="F230" s="25">
        <f>IFERROR(D229,"")</f>
        <v/>
      </c>
      <c r="G230" s="62">
        <f>IFERROR((D230-$C$24)/$C$25,"")</f>
        <v/>
      </c>
      <c r="H230" s="25">
        <f>IFERROR(D256-D230,"")</f>
        <v/>
      </c>
      <c r="I230" s="25">
        <f>IFERROR(D230-D226,"")</f>
        <v/>
      </c>
      <c r="J230" s="25">
        <f>IFERROR(D230-D217,"")</f>
        <v/>
      </c>
      <c r="K230">
        <f>IF(A230="","",$C$24)</f>
        <v/>
      </c>
      <c r="L230">
        <f>IF(A230="","",$C$24-$C$25)</f>
        <v/>
      </c>
      <c r="M230">
        <f>IF(A230="","",$C$24+$C$25)</f>
        <v/>
      </c>
    </row>
    <row r="231">
      <c r="A231" s="23">
        <f>IFERROR(INDEX($R$108:$R$388,ROW()-107),"")</f>
        <v/>
      </c>
      <c r="B231">
        <f>IFERROR(INDEX($S$108:$S$388,ROW()-107),"")</f>
        <v/>
      </c>
      <c r="C231">
        <f>IFERROR(INDEX($W$108:$W$388,ROW()-107),"")</f>
        <v/>
      </c>
      <c r="D231" s="25">
        <f>IFERROR((C231-B231)*100,"")</f>
        <v/>
      </c>
      <c r="E231" s="25">
        <f>IFERROR(D231-D230,"")</f>
        <v/>
      </c>
      <c r="F231" s="25">
        <f>IFERROR(D230,"")</f>
        <v/>
      </c>
      <c r="G231" s="62">
        <f>IFERROR((D231-$C$24)/$C$25,"")</f>
        <v/>
      </c>
      <c r="H231" s="25">
        <f>IFERROR(D257-D231,"")</f>
        <v/>
      </c>
      <c r="I231" s="25">
        <f>IFERROR(D231-D227,"")</f>
        <v/>
      </c>
      <c r="J231" s="25">
        <f>IFERROR(D231-D218,"")</f>
        <v/>
      </c>
      <c r="K231">
        <f>IF(A231="","",$C$24)</f>
        <v/>
      </c>
      <c r="L231">
        <f>IF(A231="","",$C$24-$C$25)</f>
        <v/>
      </c>
      <c r="M231">
        <f>IF(A231="","",$C$24+$C$25)</f>
        <v/>
      </c>
    </row>
    <row r="232">
      <c r="A232" s="23">
        <f>IFERROR(INDEX($R$108:$R$388,ROW()-107),"")</f>
        <v/>
      </c>
      <c r="B232">
        <f>IFERROR(INDEX($S$108:$S$388,ROW()-107),"")</f>
        <v/>
      </c>
      <c r="C232">
        <f>IFERROR(INDEX($W$108:$W$388,ROW()-107),"")</f>
        <v/>
      </c>
      <c r="D232" s="25">
        <f>IFERROR((C232-B232)*100,"")</f>
        <v/>
      </c>
      <c r="E232" s="25">
        <f>IFERROR(D232-D231,"")</f>
        <v/>
      </c>
      <c r="F232" s="25">
        <f>IFERROR(D231,"")</f>
        <v/>
      </c>
      <c r="G232" s="62">
        <f>IFERROR((D232-$C$24)/$C$25,"")</f>
        <v/>
      </c>
      <c r="H232" s="25">
        <f>IFERROR(D258-D232,"")</f>
        <v/>
      </c>
      <c r="I232" s="25">
        <f>IFERROR(D232-D228,"")</f>
        <v/>
      </c>
      <c r="J232" s="25">
        <f>IFERROR(D232-D219,"")</f>
        <v/>
      </c>
      <c r="K232">
        <f>IF(A232="","",$C$24)</f>
        <v/>
      </c>
      <c r="L232">
        <f>IF(A232="","",$C$24-$C$25)</f>
        <v/>
      </c>
      <c r="M232">
        <f>IF(A232="","",$C$24+$C$25)</f>
        <v/>
      </c>
    </row>
    <row r="233">
      <c r="A233" s="23">
        <f>IFERROR(INDEX($R$108:$R$388,ROW()-107),"")</f>
        <v/>
      </c>
      <c r="B233">
        <f>IFERROR(INDEX($S$108:$S$388,ROW()-107),"")</f>
        <v/>
      </c>
      <c r="C233">
        <f>IFERROR(INDEX($W$108:$W$388,ROW()-107),"")</f>
        <v/>
      </c>
      <c r="D233" s="25">
        <f>IFERROR((C233-B233)*100,"")</f>
        <v/>
      </c>
      <c r="E233" s="25">
        <f>IFERROR(D233-D232,"")</f>
        <v/>
      </c>
      <c r="F233" s="25">
        <f>IFERROR(D232,"")</f>
        <v/>
      </c>
      <c r="G233" s="62">
        <f>IFERROR((D233-$C$24)/$C$25,"")</f>
        <v/>
      </c>
      <c r="H233" s="25">
        <f>IFERROR(D259-D233,"")</f>
        <v/>
      </c>
      <c r="I233" s="25">
        <f>IFERROR(D233-D229,"")</f>
        <v/>
      </c>
      <c r="J233" s="25">
        <f>IFERROR(D233-D220,"")</f>
        <v/>
      </c>
      <c r="K233">
        <f>IF(A233="","",$C$24)</f>
        <v/>
      </c>
      <c r="L233">
        <f>IF(A233="","",$C$24-$C$25)</f>
        <v/>
      </c>
      <c r="M233">
        <f>IF(A233="","",$C$24+$C$25)</f>
        <v/>
      </c>
    </row>
    <row r="234">
      <c r="A234" s="23">
        <f>IFERROR(INDEX($R$108:$R$388,ROW()-107),"")</f>
        <v/>
      </c>
      <c r="B234">
        <f>IFERROR(INDEX($S$108:$S$388,ROW()-107),"")</f>
        <v/>
      </c>
      <c r="C234">
        <f>IFERROR(INDEX($W$108:$W$388,ROW()-107),"")</f>
        <v/>
      </c>
      <c r="D234" s="25">
        <f>IFERROR((C234-B234)*100,"")</f>
        <v/>
      </c>
      <c r="E234" s="25">
        <f>IFERROR(D234-D233,"")</f>
        <v/>
      </c>
      <c r="F234" s="25">
        <f>IFERROR(D233,"")</f>
        <v/>
      </c>
      <c r="G234" s="62">
        <f>IFERROR((D234-$C$24)/$C$25,"")</f>
        <v/>
      </c>
      <c r="H234" s="25">
        <f>IFERROR(D260-D234,"")</f>
        <v/>
      </c>
      <c r="I234" s="25">
        <f>IFERROR(D234-D230,"")</f>
        <v/>
      </c>
      <c r="J234" s="25">
        <f>IFERROR(D234-D221,"")</f>
        <v/>
      </c>
      <c r="K234">
        <f>IF(A234="","",$C$24)</f>
        <v/>
      </c>
      <c r="L234">
        <f>IF(A234="","",$C$24-$C$25)</f>
        <v/>
      </c>
      <c r="M234">
        <f>IF(A234="","",$C$24+$C$25)</f>
        <v/>
      </c>
    </row>
    <row r="235">
      <c r="A235" s="23">
        <f>IFERROR(INDEX($R$108:$R$388,ROW()-107),"")</f>
        <v/>
      </c>
      <c r="B235">
        <f>IFERROR(INDEX($S$108:$S$388,ROW()-107),"")</f>
        <v/>
      </c>
      <c r="C235">
        <f>IFERROR(INDEX($W$108:$W$388,ROW()-107),"")</f>
        <v/>
      </c>
      <c r="D235" s="25">
        <f>IFERROR((C235-B235)*100,"")</f>
        <v/>
      </c>
      <c r="E235" s="25">
        <f>IFERROR(D235-D234,"")</f>
        <v/>
      </c>
      <c r="F235" s="25">
        <f>IFERROR(D234,"")</f>
        <v/>
      </c>
      <c r="G235" s="62">
        <f>IFERROR((D235-$C$24)/$C$25,"")</f>
        <v/>
      </c>
      <c r="H235" s="25">
        <f>IFERROR(D261-D235,"")</f>
        <v/>
      </c>
      <c r="I235" s="25">
        <f>IFERROR(D235-D231,"")</f>
        <v/>
      </c>
      <c r="J235" s="25">
        <f>IFERROR(D235-D222,"")</f>
        <v/>
      </c>
      <c r="K235">
        <f>IF(A235="","",$C$24)</f>
        <v/>
      </c>
      <c r="L235">
        <f>IF(A235="","",$C$24-$C$25)</f>
        <v/>
      </c>
      <c r="M235">
        <f>IF(A235="","",$C$24+$C$25)</f>
        <v/>
      </c>
    </row>
    <row r="236">
      <c r="A236" s="23">
        <f>IFERROR(INDEX($R$108:$R$388,ROW()-107),"")</f>
        <v/>
      </c>
      <c r="B236">
        <f>IFERROR(INDEX($S$108:$S$388,ROW()-107),"")</f>
        <v/>
      </c>
      <c r="C236">
        <f>IFERROR(INDEX($W$108:$W$388,ROW()-107),"")</f>
        <v/>
      </c>
      <c r="D236" s="25">
        <f>IFERROR((C236-B236)*100,"")</f>
        <v/>
      </c>
      <c r="E236" s="25">
        <f>IFERROR(D236-D235,"")</f>
        <v/>
      </c>
      <c r="F236" s="25">
        <f>IFERROR(D235,"")</f>
        <v/>
      </c>
      <c r="G236" s="62">
        <f>IFERROR((D236-$C$24)/$C$25,"")</f>
        <v/>
      </c>
      <c r="H236" s="25">
        <f>IFERROR(D262-D236,"")</f>
        <v/>
      </c>
      <c r="I236" s="25">
        <f>IFERROR(D236-D232,"")</f>
        <v/>
      </c>
      <c r="J236" s="25">
        <f>IFERROR(D236-D223,"")</f>
        <v/>
      </c>
      <c r="K236">
        <f>IF(A236="","",$C$24)</f>
        <v/>
      </c>
      <c r="L236">
        <f>IF(A236="","",$C$24-$C$25)</f>
        <v/>
      </c>
      <c r="M236">
        <f>IF(A236="","",$C$24+$C$25)</f>
        <v/>
      </c>
    </row>
    <row r="237">
      <c r="A237" s="23">
        <f>IFERROR(INDEX($R$108:$R$388,ROW()-107),"")</f>
        <v/>
      </c>
      <c r="B237">
        <f>IFERROR(INDEX($S$108:$S$388,ROW()-107),"")</f>
        <v/>
      </c>
      <c r="C237">
        <f>IFERROR(INDEX($W$108:$W$388,ROW()-107),"")</f>
        <v/>
      </c>
      <c r="D237" s="25">
        <f>IFERROR((C237-B237)*100,"")</f>
        <v/>
      </c>
      <c r="E237" s="25">
        <f>IFERROR(D237-D236,"")</f>
        <v/>
      </c>
      <c r="F237" s="25">
        <f>IFERROR(D236,"")</f>
        <v/>
      </c>
      <c r="G237" s="62">
        <f>IFERROR((D237-$C$24)/$C$25,"")</f>
        <v/>
      </c>
      <c r="H237" s="25">
        <f>IFERROR(D263-D237,"")</f>
        <v/>
      </c>
      <c r="I237" s="25">
        <f>IFERROR(D237-D233,"")</f>
        <v/>
      </c>
      <c r="J237" s="25">
        <f>IFERROR(D237-D224,"")</f>
        <v/>
      </c>
      <c r="K237">
        <f>IF(A237="","",$C$24)</f>
        <v/>
      </c>
      <c r="L237">
        <f>IF(A237="","",$C$24-$C$25)</f>
        <v/>
      </c>
      <c r="M237">
        <f>IF(A237="","",$C$24+$C$25)</f>
        <v/>
      </c>
    </row>
    <row r="238">
      <c r="A238" s="23">
        <f>IFERROR(INDEX($R$108:$R$388,ROW()-107),"")</f>
        <v/>
      </c>
      <c r="B238">
        <f>IFERROR(INDEX($S$108:$S$388,ROW()-107),"")</f>
        <v/>
      </c>
      <c r="C238">
        <f>IFERROR(INDEX($W$108:$W$388,ROW()-107),"")</f>
        <v/>
      </c>
      <c r="D238" s="25">
        <f>IFERROR((C238-B238)*100,"")</f>
        <v/>
      </c>
      <c r="E238" s="25">
        <f>IFERROR(D238-D237,"")</f>
        <v/>
      </c>
      <c r="F238" s="25">
        <f>IFERROR(D237,"")</f>
        <v/>
      </c>
      <c r="G238" s="62">
        <f>IFERROR((D238-$C$24)/$C$25,"")</f>
        <v/>
      </c>
      <c r="H238" s="25">
        <f>IFERROR(D264-D238,"")</f>
        <v/>
      </c>
      <c r="I238" s="25">
        <f>IFERROR(D238-D234,"")</f>
        <v/>
      </c>
      <c r="J238" s="25">
        <f>IFERROR(D238-D225,"")</f>
        <v/>
      </c>
      <c r="K238">
        <f>IF(A238="","",$C$24)</f>
        <v/>
      </c>
      <c r="L238">
        <f>IF(A238="","",$C$24-$C$25)</f>
        <v/>
      </c>
      <c r="M238">
        <f>IF(A238="","",$C$24+$C$25)</f>
        <v/>
      </c>
    </row>
    <row r="239">
      <c r="A239" s="23">
        <f>IFERROR(INDEX($R$108:$R$388,ROW()-107),"")</f>
        <v/>
      </c>
      <c r="B239">
        <f>IFERROR(INDEX($S$108:$S$388,ROW()-107),"")</f>
        <v/>
      </c>
      <c r="C239">
        <f>IFERROR(INDEX($W$108:$W$388,ROW()-107),"")</f>
        <v/>
      </c>
      <c r="D239" s="25">
        <f>IFERROR((C239-B239)*100,"")</f>
        <v/>
      </c>
      <c r="E239" s="25">
        <f>IFERROR(D239-D238,"")</f>
        <v/>
      </c>
      <c r="F239" s="25">
        <f>IFERROR(D238,"")</f>
        <v/>
      </c>
      <c r="G239" s="62">
        <f>IFERROR((D239-$C$24)/$C$25,"")</f>
        <v/>
      </c>
      <c r="H239" s="25">
        <f>IFERROR(D265-D239,"")</f>
        <v/>
      </c>
      <c r="I239" s="25">
        <f>IFERROR(D239-D235,"")</f>
        <v/>
      </c>
      <c r="J239" s="25">
        <f>IFERROR(D239-D226,"")</f>
        <v/>
      </c>
      <c r="K239">
        <f>IF(A239="","",$C$24)</f>
        <v/>
      </c>
      <c r="L239">
        <f>IF(A239="","",$C$24-$C$25)</f>
        <v/>
      </c>
      <c r="M239">
        <f>IF(A239="","",$C$24+$C$25)</f>
        <v/>
      </c>
    </row>
    <row r="240">
      <c r="A240" s="23">
        <f>IFERROR(INDEX($R$108:$R$388,ROW()-107),"")</f>
        <v/>
      </c>
      <c r="B240">
        <f>IFERROR(INDEX($S$108:$S$388,ROW()-107),"")</f>
        <v/>
      </c>
      <c r="C240">
        <f>IFERROR(INDEX($W$108:$W$388,ROW()-107),"")</f>
        <v/>
      </c>
      <c r="D240" s="25">
        <f>IFERROR((C240-B240)*100,"")</f>
        <v/>
      </c>
      <c r="E240" s="25">
        <f>IFERROR(D240-D239,"")</f>
        <v/>
      </c>
      <c r="F240" s="25">
        <f>IFERROR(D239,"")</f>
        <v/>
      </c>
      <c r="G240" s="62">
        <f>IFERROR((D240-$C$24)/$C$25,"")</f>
        <v/>
      </c>
      <c r="H240" s="25">
        <f>IFERROR(D266-D240,"")</f>
        <v/>
      </c>
      <c r="I240" s="25">
        <f>IFERROR(D240-D236,"")</f>
        <v/>
      </c>
      <c r="J240" s="25">
        <f>IFERROR(D240-D227,"")</f>
        <v/>
      </c>
      <c r="K240">
        <f>IF(A240="","",$C$24)</f>
        <v/>
      </c>
      <c r="L240">
        <f>IF(A240="","",$C$24-$C$25)</f>
        <v/>
      </c>
      <c r="M240">
        <f>IF(A240="","",$C$24+$C$25)</f>
        <v/>
      </c>
    </row>
    <row r="241">
      <c r="A241" s="23">
        <f>IFERROR(INDEX($R$108:$R$388,ROW()-107),"")</f>
        <v/>
      </c>
      <c r="B241">
        <f>IFERROR(INDEX($S$108:$S$388,ROW()-107),"")</f>
        <v/>
      </c>
      <c r="C241">
        <f>IFERROR(INDEX($W$108:$W$388,ROW()-107),"")</f>
        <v/>
      </c>
      <c r="D241" s="25">
        <f>IFERROR((C241-B241)*100,"")</f>
        <v/>
      </c>
      <c r="E241" s="25">
        <f>IFERROR(D241-D240,"")</f>
        <v/>
      </c>
      <c r="F241" s="25">
        <f>IFERROR(D240,"")</f>
        <v/>
      </c>
      <c r="G241" s="62">
        <f>IFERROR((D241-$C$24)/$C$25,"")</f>
        <v/>
      </c>
      <c r="H241" s="25">
        <f>IFERROR(D267-D241,"")</f>
        <v/>
      </c>
      <c r="I241" s="25">
        <f>IFERROR(D241-D237,"")</f>
        <v/>
      </c>
      <c r="J241" s="25">
        <f>IFERROR(D241-D228,"")</f>
        <v/>
      </c>
      <c r="K241">
        <f>IF(A241="","",$C$24)</f>
        <v/>
      </c>
      <c r="L241">
        <f>IF(A241="","",$C$24-$C$25)</f>
        <v/>
      </c>
      <c r="M241">
        <f>IF(A241="","",$C$24+$C$25)</f>
        <v/>
      </c>
    </row>
    <row r="242">
      <c r="A242" s="23">
        <f>IFERROR(INDEX($R$108:$R$388,ROW()-107),"")</f>
        <v/>
      </c>
      <c r="B242">
        <f>IFERROR(INDEX($S$108:$S$388,ROW()-107),"")</f>
        <v/>
      </c>
      <c r="C242">
        <f>IFERROR(INDEX($W$108:$W$388,ROW()-107),"")</f>
        <v/>
      </c>
      <c r="D242" s="25">
        <f>IFERROR((C242-B242)*100,"")</f>
        <v/>
      </c>
      <c r="E242" s="25">
        <f>IFERROR(D242-D241,"")</f>
        <v/>
      </c>
      <c r="F242" s="25">
        <f>IFERROR(D241,"")</f>
        <v/>
      </c>
      <c r="G242" s="62">
        <f>IFERROR((D242-$C$24)/$C$25,"")</f>
        <v/>
      </c>
      <c r="H242" s="25">
        <f>IFERROR(D268-D242,"")</f>
        <v/>
      </c>
      <c r="I242" s="25">
        <f>IFERROR(D242-D238,"")</f>
        <v/>
      </c>
      <c r="J242" s="25">
        <f>IFERROR(D242-D229,"")</f>
        <v/>
      </c>
      <c r="K242">
        <f>IF(A242="","",$C$24)</f>
        <v/>
      </c>
      <c r="L242">
        <f>IF(A242="","",$C$24-$C$25)</f>
        <v/>
      </c>
      <c r="M242">
        <f>IF(A242="","",$C$24+$C$25)</f>
        <v/>
      </c>
    </row>
    <row r="243">
      <c r="A243" s="23">
        <f>IFERROR(INDEX($R$108:$R$388,ROW()-107),"")</f>
        <v/>
      </c>
      <c r="B243">
        <f>IFERROR(INDEX($S$108:$S$388,ROW()-107),"")</f>
        <v/>
      </c>
      <c r="C243">
        <f>IFERROR(INDEX($W$108:$W$388,ROW()-107),"")</f>
        <v/>
      </c>
      <c r="D243" s="25">
        <f>IFERROR((C243-B243)*100,"")</f>
        <v/>
      </c>
      <c r="E243" s="25">
        <f>IFERROR(D243-D242,"")</f>
        <v/>
      </c>
      <c r="F243" s="25">
        <f>IFERROR(D242,"")</f>
        <v/>
      </c>
      <c r="G243" s="62">
        <f>IFERROR((D243-$C$24)/$C$25,"")</f>
        <v/>
      </c>
      <c r="H243" s="25">
        <f>IFERROR(D269-D243,"")</f>
        <v/>
      </c>
      <c r="I243" s="25">
        <f>IFERROR(D243-D239,"")</f>
        <v/>
      </c>
      <c r="J243" s="25">
        <f>IFERROR(D243-D230,"")</f>
        <v/>
      </c>
      <c r="K243">
        <f>IF(A243="","",$C$24)</f>
        <v/>
      </c>
      <c r="L243">
        <f>IF(A243="","",$C$24-$C$25)</f>
        <v/>
      </c>
      <c r="M243">
        <f>IF(A243="","",$C$24+$C$25)</f>
        <v/>
      </c>
    </row>
    <row r="244">
      <c r="A244" s="23">
        <f>IFERROR(INDEX($R$108:$R$388,ROW()-107),"")</f>
        <v/>
      </c>
      <c r="B244">
        <f>IFERROR(INDEX($S$108:$S$388,ROW()-107),"")</f>
        <v/>
      </c>
      <c r="C244">
        <f>IFERROR(INDEX($W$108:$W$388,ROW()-107),"")</f>
        <v/>
      </c>
      <c r="D244" s="25">
        <f>IFERROR((C244-B244)*100,"")</f>
        <v/>
      </c>
      <c r="E244" s="25">
        <f>IFERROR(D244-D243,"")</f>
        <v/>
      </c>
      <c r="F244" s="25">
        <f>IFERROR(D243,"")</f>
        <v/>
      </c>
      <c r="G244" s="62">
        <f>IFERROR((D244-$C$24)/$C$25,"")</f>
        <v/>
      </c>
      <c r="H244" s="25">
        <f>IFERROR(D270-D244,"")</f>
        <v/>
      </c>
      <c r="I244" s="25">
        <f>IFERROR(D244-D240,"")</f>
        <v/>
      </c>
      <c r="J244" s="25">
        <f>IFERROR(D244-D231,"")</f>
        <v/>
      </c>
      <c r="K244">
        <f>IF(A244="","",$C$24)</f>
        <v/>
      </c>
      <c r="L244">
        <f>IF(A244="","",$C$24-$C$25)</f>
        <v/>
      </c>
      <c r="M244">
        <f>IF(A244="","",$C$24+$C$25)</f>
        <v/>
      </c>
    </row>
    <row r="245">
      <c r="A245" s="23">
        <f>IFERROR(INDEX($R$108:$R$388,ROW()-107),"")</f>
        <v/>
      </c>
      <c r="B245">
        <f>IFERROR(INDEX($S$108:$S$388,ROW()-107),"")</f>
        <v/>
      </c>
      <c r="C245">
        <f>IFERROR(INDEX($W$108:$W$388,ROW()-107),"")</f>
        <v/>
      </c>
      <c r="D245" s="25">
        <f>IFERROR((C245-B245)*100,"")</f>
        <v/>
      </c>
      <c r="E245" s="25">
        <f>IFERROR(D245-D244,"")</f>
        <v/>
      </c>
      <c r="F245" s="25">
        <f>IFERROR(D244,"")</f>
        <v/>
      </c>
      <c r="G245" s="62">
        <f>IFERROR((D245-$C$24)/$C$25,"")</f>
        <v/>
      </c>
      <c r="H245" s="25">
        <f>IFERROR(D271-D245,"")</f>
        <v/>
      </c>
      <c r="I245" s="25">
        <f>IFERROR(D245-D241,"")</f>
        <v/>
      </c>
      <c r="J245" s="25">
        <f>IFERROR(D245-D232,"")</f>
        <v/>
      </c>
      <c r="K245">
        <f>IF(A245="","",$C$24)</f>
        <v/>
      </c>
      <c r="L245">
        <f>IF(A245="","",$C$24-$C$25)</f>
        <v/>
      </c>
      <c r="M245">
        <f>IF(A245="","",$C$24+$C$25)</f>
        <v/>
      </c>
    </row>
    <row r="246">
      <c r="A246" s="23">
        <f>IFERROR(INDEX($R$108:$R$388,ROW()-107),"")</f>
        <v/>
      </c>
      <c r="B246">
        <f>IFERROR(INDEX($S$108:$S$388,ROW()-107),"")</f>
        <v/>
      </c>
      <c r="C246">
        <f>IFERROR(INDEX($W$108:$W$388,ROW()-107),"")</f>
        <v/>
      </c>
      <c r="D246" s="25">
        <f>IFERROR((C246-B246)*100,"")</f>
        <v/>
      </c>
      <c r="E246" s="25">
        <f>IFERROR(D246-D245,"")</f>
        <v/>
      </c>
      <c r="F246" s="25">
        <f>IFERROR(D245,"")</f>
        <v/>
      </c>
      <c r="G246" s="62">
        <f>IFERROR((D246-$C$24)/$C$25,"")</f>
        <v/>
      </c>
      <c r="H246" s="25">
        <f>IFERROR(D272-D246,"")</f>
        <v/>
      </c>
      <c r="I246" s="25">
        <f>IFERROR(D246-D242,"")</f>
        <v/>
      </c>
      <c r="J246" s="25">
        <f>IFERROR(D246-D233,"")</f>
        <v/>
      </c>
      <c r="K246">
        <f>IF(A246="","",$C$24)</f>
        <v/>
      </c>
      <c r="L246">
        <f>IF(A246="","",$C$24-$C$25)</f>
        <v/>
      </c>
      <c r="M246">
        <f>IF(A246="","",$C$24+$C$25)</f>
        <v/>
      </c>
    </row>
    <row r="247">
      <c r="A247" s="23">
        <f>IFERROR(INDEX($R$108:$R$388,ROW()-107),"")</f>
        <v/>
      </c>
      <c r="B247">
        <f>IFERROR(INDEX($S$108:$S$388,ROW()-107),"")</f>
        <v/>
      </c>
      <c r="C247">
        <f>IFERROR(INDEX($W$108:$W$388,ROW()-107),"")</f>
        <v/>
      </c>
      <c r="D247" s="25">
        <f>IFERROR((C247-B247)*100,"")</f>
        <v/>
      </c>
      <c r="E247" s="25">
        <f>IFERROR(D247-D246,"")</f>
        <v/>
      </c>
      <c r="F247" s="25">
        <f>IFERROR(D246,"")</f>
        <v/>
      </c>
      <c r="G247" s="62">
        <f>IFERROR((D247-$C$24)/$C$25,"")</f>
        <v/>
      </c>
      <c r="H247" s="25">
        <f>IFERROR(D273-D247,"")</f>
        <v/>
      </c>
      <c r="I247" s="25">
        <f>IFERROR(D247-D243,"")</f>
        <v/>
      </c>
      <c r="J247" s="25">
        <f>IFERROR(D247-D234,"")</f>
        <v/>
      </c>
      <c r="K247">
        <f>IF(A247="","",$C$24)</f>
        <v/>
      </c>
      <c r="L247">
        <f>IF(A247="","",$C$24-$C$25)</f>
        <v/>
      </c>
      <c r="M247">
        <f>IF(A247="","",$C$24+$C$25)</f>
        <v/>
      </c>
    </row>
    <row r="248">
      <c r="A248" s="23">
        <f>IFERROR(INDEX($R$108:$R$388,ROW()-107),"")</f>
        <v/>
      </c>
      <c r="B248">
        <f>IFERROR(INDEX($S$108:$S$388,ROW()-107),"")</f>
        <v/>
      </c>
      <c r="C248">
        <f>IFERROR(INDEX($W$108:$W$388,ROW()-107),"")</f>
        <v/>
      </c>
      <c r="D248" s="25">
        <f>IFERROR((C248-B248)*100,"")</f>
        <v/>
      </c>
      <c r="E248" s="25">
        <f>IFERROR(D248-D247,"")</f>
        <v/>
      </c>
      <c r="F248" s="25">
        <f>IFERROR(D247,"")</f>
        <v/>
      </c>
      <c r="G248" s="62">
        <f>IFERROR((D248-$C$24)/$C$25,"")</f>
        <v/>
      </c>
      <c r="H248" s="25">
        <f>IFERROR(D274-D248,"")</f>
        <v/>
      </c>
      <c r="I248" s="25">
        <f>IFERROR(D248-D244,"")</f>
        <v/>
      </c>
      <c r="J248" s="25">
        <f>IFERROR(D248-D235,"")</f>
        <v/>
      </c>
      <c r="K248">
        <f>IF(A248="","",$C$24)</f>
        <v/>
      </c>
      <c r="L248">
        <f>IF(A248="","",$C$24-$C$25)</f>
        <v/>
      </c>
      <c r="M248">
        <f>IF(A248="","",$C$24+$C$25)</f>
        <v/>
      </c>
    </row>
    <row r="249">
      <c r="A249" s="23">
        <f>IFERROR(INDEX($R$108:$R$388,ROW()-107),"")</f>
        <v/>
      </c>
      <c r="B249">
        <f>IFERROR(INDEX($S$108:$S$388,ROW()-107),"")</f>
        <v/>
      </c>
      <c r="C249">
        <f>IFERROR(INDEX($W$108:$W$388,ROW()-107),"")</f>
        <v/>
      </c>
      <c r="D249" s="25">
        <f>IFERROR((C249-B249)*100,"")</f>
        <v/>
      </c>
      <c r="E249" s="25">
        <f>IFERROR(D249-D248,"")</f>
        <v/>
      </c>
      <c r="F249" s="25">
        <f>IFERROR(D248,"")</f>
        <v/>
      </c>
      <c r="G249" s="62">
        <f>IFERROR((D249-$C$24)/$C$25,"")</f>
        <v/>
      </c>
      <c r="H249" s="25">
        <f>IFERROR(D275-D249,"")</f>
        <v/>
      </c>
      <c r="I249" s="25">
        <f>IFERROR(D249-D245,"")</f>
        <v/>
      </c>
      <c r="J249" s="25">
        <f>IFERROR(D249-D236,"")</f>
        <v/>
      </c>
      <c r="K249">
        <f>IF(A249="","",$C$24)</f>
        <v/>
      </c>
      <c r="L249">
        <f>IF(A249="","",$C$24-$C$25)</f>
        <v/>
      </c>
      <c r="M249">
        <f>IF(A249="","",$C$24+$C$25)</f>
        <v/>
      </c>
    </row>
    <row r="250">
      <c r="A250" s="23">
        <f>IFERROR(INDEX($R$108:$R$388,ROW()-107),"")</f>
        <v/>
      </c>
      <c r="B250">
        <f>IFERROR(INDEX($S$108:$S$388,ROW()-107),"")</f>
        <v/>
      </c>
      <c r="C250">
        <f>IFERROR(INDEX($W$108:$W$388,ROW()-107),"")</f>
        <v/>
      </c>
      <c r="D250" s="25">
        <f>IFERROR((C250-B250)*100,"")</f>
        <v/>
      </c>
      <c r="E250" s="25">
        <f>IFERROR(D250-D249,"")</f>
        <v/>
      </c>
      <c r="F250" s="25">
        <f>IFERROR(D249,"")</f>
        <v/>
      </c>
      <c r="G250" s="62">
        <f>IFERROR((D250-$C$24)/$C$25,"")</f>
        <v/>
      </c>
      <c r="H250" s="25">
        <f>IFERROR(D276-D250,"")</f>
        <v/>
      </c>
      <c r="I250" s="25">
        <f>IFERROR(D250-D246,"")</f>
        <v/>
      </c>
      <c r="J250" s="25">
        <f>IFERROR(D250-D237,"")</f>
        <v/>
      </c>
      <c r="K250">
        <f>IF(A250="","",$C$24)</f>
        <v/>
      </c>
      <c r="L250">
        <f>IF(A250="","",$C$24-$C$25)</f>
        <v/>
      </c>
      <c r="M250">
        <f>IF(A250="","",$C$24+$C$25)</f>
        <v/>
      </c>
    </row>
    <row r="251">
      <c r="A251" s="23">
        <f>IFERROR(INDEX($R$108:$R$388,ROW()-107),"")</f>
        <v/>
      </c>
      <c r="B251">
        <f>IFERROR(INDEX($S$108:$S$388,ROW()-107),"")</f>
        <v/>
      </c>
      <c r="C251">
        <f>IFERROR(INDEX($W$108:$W$388,ROW()-107),"")</f>
        <v/>
      </c>
      <c r="D251" s="25">
        <f>IFERROR((C251-B251)*100,"")</f>
        <v/>
      </c>
      <c r="E251" s="25">
        <f>IFERROR(D251-D250,"")</f>
        <v/>
      </c>
      <c r="F251" s="25">
        <f>IFERROR(D250,"")</f>
        <v/>
      </c>
      <c r="G251" s="62">
        <f>IFERROR((D251-$C$24)/$C$25,"")</f>
        <v/>
      </c>
      <c r="H251" s="25">
        <f>IFERROR(D277-D251,"")</f>
        <v/>
      </c>
      <c r="I251" s="25">
        <f>IFERROR(D251-D247,"")</f>
        <v/>
      </c>
      <c r="J251" s="25">
        <f>IFERROR(D251-D238,"")</f>
        <v/>
      </c>
      <c r="K251">
        <f>IF(A251="","",$C$24)</f>
        <v/>
      </c>
      <c r="L251">
        <f>IF(A251="","",$C$24-$C$25)</f>
        <v/>
      </c>
      <c r="M251">
        <f>IF(A251="","",$C$24+$C$25)</f>
        <v/>
      </c>
    </row>
    <row r="252">
      <c r="A252" s="23">
        <f>IFERROR(INDEX($R$108:$R$388,ROW()-107),"")</f>
        <v/>
      </c>
      <c r="B252">
        <f>IFERROR(INDEX($S$108:$S$388,ROW()-107),"")</f>
        <v/>
      </c>
      <c r="C252">
        <f>IFERROR(INDEX($W$108:$W$388,ROW()-107),"")</f>
        <v/>
      </c>
      <c r="D252" s="25">
        <f>IFERROR((C252-B252)*100,"")</f>
        <v/>
      </c>
      <c r="E252" s="25">
        <f>IFERROR(D252-D251,"")</f>
        <v/>
      </c>
      <c r="F252" s="25">
        <f>IFERROR(D251,"")</f>
        <v/>
      </c>
      <c r="G252" s="62">
        <f>IFERROR((D252-$C$24)/$C$25,"")</f>
        <v/>
      </c>
      <c r="H252" s="25">
        <f>IFERROR(D278-D252,"")</f>
        <v/>
      </c>
      <c r="I252" s="25">
        <f>IFERROR(D252-D248,"")</f>
        <v/>
      </c>
      <c r="J252" s="25">
        <f>IFERROR(D252-D239,"")</f>
        <v/>
      </c>
      <c r="K252">
        <f>IF(A252="","",$C$24)</f>
        <v/>
      </c>
      <c r="L252">
        <f>IF(A252="","",$C$24-$C$25)</f>
        <v/>
      </c>
      <c r="M252">
        <f>IF(A252="","",$C$24+$C$25)</f>
        <v/>
      </c>
    </row>
    <row r="253">
      <c r="A253" s="23">
        <f>IFERROR(INDEX($R$108:$R$388,ROW()-107),"")</f>
        <v/>
      </c>
      <c r="B253">
        <f>IFERROR(INDEX($S$108:$S$388,ROW()-107),"")</f>
        <v/>
      </c>
      <c r="C253">
        <f>IFERROR(INDEX($W$108:$W$388,ROW()-107),"")</f>
        <v/>
      </c>
      <c r="D253" s="25">
        <f>IFERROR((C253-B253)*100,"")</f>
        <v/>
      </c>
      <c r="E253" s="25">
        <f>IFERROR(D253-D252,"")</f>
        <v/>
      </c>
      <c r="F253" s="25">
        <f>IFERROR(D252,"")</f>
        <v/>
      </c>
      <c r="G253" s="62">
        <f>IFERROR((D253-$C$24)/$C$25,"")</f>
        <v/>
      </c>
      <c r="H253" s="25">
        <f>IFERROR(D279-D253,"")</f>
        <v/>
      </c>
      <c r="I253" s="25">
        <f>IFERROR(D253-D249,"")</f>
        <v/>
      </c>
      <c r="J253" s="25">
        <f>IFERROR(D253-D240,"")</f>
        <v/>
      </c>
      <c r="K253">
        <f>IF(A253="","",$C$24)</f>
        <v/>
      </c>
      <c r="L253">
        <f>IF(A253="","",$C$24-$C$25)</f>
        <v/>
      </c>
      <c r="M253">
        <f>IF(A253="","",$C$24+$C$25)</f>
        <v/>
      </c>
    </row>
    <row r="254">
      <c r="A254" s="23">
        <f>IFERROR(INDEX($R$108:$R$388,ROW()-107),"")</f>
        <v/>
      </c>
      <c r="B254">
        <f>IFERROR(INDEX($S$108:$S$388,ROW()-107),"")</f>
        <v/>
      </c>
      <c r="C254">
        <f>IFERROR(INDEX($W$108:$W$388,ROW()-107),"")</f>
        <v/>
      </c>
      <c r="D254" s="25">
        <f>IFERROR((C254-B254)*100,"")</f>
        <v/>
      </c>
      <c r="E254" s="25">
        <f>IFERROR(D254-D253,"")</f>
        <v/>
      </c>
      <c r="F254" s="25">
        <f>IFERROR(D253,"")</f>
        <v/>
      </c>
      <c r="G254" s="62">
        <f>IFERROR((D254-$C$24)/$C$25,"")</f>
        <v/>
      </c>
      <c r="H254" s="25">
        <f>IFERROR(D280-D254,"")</f>
        <v/>
      </c>
      <c r="I254" s="25">
        <f>IFERROR(D254-D250,"")</f>
        <v/>
      </c>
      <c r="J254" s="25">
        <f>IFERROR(D254-D241,"")</f>
        <v/>
      </c>
      <c r="K254">
        <f>IF(A254="","",$C$24)</f>
        <v/>
      </c>
      <c r="L254">
        <f>IF(A254="","",$C$24-$C$25)</f>
        <v/>
      </c>
      <c r="M254">
        <f>IF(A254="","",$C$24+$C$25)</f>
        <v/>
      </c>
    </row>
    <row r="255">
      <c r="A255" s="23">
        <f>IFERROR(INDEX($R$108:$R$388,ROW()-107),"")</f>
        <v/>
      </c>
      <c r="B255">
        <f>IFERROR(INDEX($S$108:$S$388,ROW()-107),"")</f>
        <v/>
      </c>
      <c r="C255">
        <f>IFERROR(INDEX($W$108:$W$388,ROW()-107),"")</f>
        <v/>
      </c>
      <c r="D255" s="25">
        <f>IFERROR((C255-B255)*100,"")</f>
        <v/>
      </c>
      <c r="E255" s="25">
        <f>IFERROR(D255-D254,"")</f>
        <v/>
      </c>
      <c r="F255" s="25">
        <f>IFERROR(D254,"")</f>
        <v/>
      </c>
      <c r="G255" s="62">
        <f>IFERROR((D255-$C$24)/$C$25,"")</f>
        <v/>
      </c>
      <c r="H255" s="25">
        <f>IFERROR(D281-D255,"")</f>
        <v/>
      </c>
      <c r="I255" s="25">
        <f>IFERROR(D255-D251,"")</f>
        <v/>
      </c>
      <c r="J255" s="25">
        <f>IFERROR(D255-D242,"")</f>
        <v/>
      </c>
      <c r="K255">
        <f>IF(A255="","",$C$24)</f>
        <v/>
      </c>
      <c r="L255">
        <f>IF(A255="","",$C$24-$C$25)</f>
        <v/>
      </c>
      <c r="M255">
        <f>IF(A255="","",$C$24+$C$25)</f>
        <v/>
      </c>
    </row>
    <row r="256">
      <c r="A256" s="23">
        <f>IFERROR(INDEX($R$108:$R$388,ROW()-107),"")</f>
        <v/>
      </c>
      <c r="B256">
        <f>IFERROR(INDEX($S$108:$S$388,ROW()-107),"")</f>
        <v/>
      </c>
      <c r="C256">
        <f>IFERROR(INDEX($W$108:$W$388,ROW()-107),"")</f>
        <v/>
      </c>
      <c r="D256" s="25">
        <f>IFERROR((C256-B256)*100,"")</f>
        <v/>
      </c>
      <c r="E256" s="25">
        <f>IFERROR(D256-D255,"")</f>
        <v/>
      </c>
      <c r="F256" s="25">
        <f>IFERROR(D255,"")</f>
        <v/>
      </c>
      <c r="G256" s="62">
        <f>IFERROR((D256-$C$24)/$C$25,"")</f>
        <v/>
      </c>
      <c r="H256" s="25">
        <f>IFERROR(D282-D256,"")</f>
        <v/>
      </c>
      <c r="I256" s="25">
        <f>IFERROR(D256-D252,"")</f>
        <v/>
      </c>
      <c r="J256" s="25">
        <f>IFERROR(D256-D243,"")</f>
        <v/>
      </c>
      <c r="K256">
        <f>IF(A256="","",$C$24)</f>
        <v/>
      </c>
      <c r="L256">
        <f>IF(A256="","",$C$24-$C$25)</f>
        <v/>
      </c>
      <c r="M256">
        <f>IF(A256="","",$C$24+$C$25)</f>
        <v/>
      </c>
    </row>
    <row r="257">
      <c r="A257" s="23">
        <f>IFERROR(INDEX($R$108:$R$388,ROW()-107),"")</f>
        <v/>
      </c>
      <c r="B257">
        <f>IFERROR(INDEX($S$108:$S$388,ROW()-107),"")</f>
        <v/>
      </c>
      <c r="C257">
        <f>IFERROR(INDEX($W$108:$W$388,ROW()-107),"")</f>
        <v/>
      </c>
      <c r="D257" s="25">
        <f>IFERROR((C257-B257)*100,"")</f>
        <v/>
      </c>
      <c r="E257" s="25">
        <f>IFERROR(D257-D256,"")</f>
        <v/>
      </c>
      <c r="F257" s="25">
        <f>IFERROR(D256,"")</f>
        <v/>
      </c>
      <c r="G257" s="62">
        <f>IFERROR((D257-$C$24)/$C$25,"")</f>
        <v/>
      </c>
      <c r="H257" s="25">
        <f>IFERROR(D283-D257,"")</f>
        <v/>
      </c>
      <c r="I257" s="25">
        <f>IFERROR(D257-D253,"")</f>
        <v/>
      </c>
      <c r="J257" s="25">
        <f>IFERROR(D257-D244,"")</f>
        <v/>
      </c>
      <c r="K257">
        <f>IF(A257="","",$C$24)</f>
        <v/>
      </c>
      <c r="L257">
        <f>IF(A257="","",$C$24-$C$25)</f>
        <v/>
      </c>
      <c r="M257">
        <f>IF(A257="","",$C$24+$C$25)</f>
        <v/>
      </c>
    </row>
    <row r="258">
      <c r="A258" s="23">
        <f>IFERROR(INDEX($R$108:$R$388,ROW()-107),"")</f>
        <v/>
      </c>
      <c r="B258">
        <f>IFERROR(INDEX($S$108:$S$388,ROW()-107),"")</f>
        <v/>
      </c>
      <c r="C258">
        <f>IFERROR(INDEX($W$108:$W$388,ROW()-107),"")</f>
        <v/>
      </c>
      <c r="D258" s="25">
        <f>IFERROR((C258-B258)*100,"")</f>
        <v/>
      </c>
      <c r="E258" s="25">
        <f>IFERROR(D258-D257,"")</f>
        <v/>
      </c>
      <c r="F258" s="25">
        <f>IFERROR(D257,"")</f>
        <v/>
      </c>
      <c r="G258" s="62">
        <f>IFERROR((D258-$C$24)/$C$25,"")</f>
        <v/>
      </c>
      <c r="H258" s="25">
        <f>IFERROR(D284-D258,"")</f>
        <v/>
      </c>
      <c r="I258" s="25">
        <f>IFERROR(D258-D254,"")</f>
        <v/>
      </c>
      <c r="J258" s="25">
        <f>IFERROR(D258-D245,"")</f>
        <v/>
      </c>
      <c r="K258">
        <f>IF(A258="","",$C$24)</f>
        <v/>
      </c>
      <c r="L258">
        <f>IF(A258="","",$C$24-$C$25)</f>
        <v/>
      </c>
      <c r="M258">
        <f>IF(A258="","",$C$24+$C$25)</f>
        <v/>
      </c>
    </row>
    <row r="259">
      <c r="A259" s="23">
        <f>IFERROR(INDEX($R$108:$R$388,ROW()-107),"")</f>
        <v/>
      </c>
      <c r="B259">
        <f>IFERROR(INDEX($S$108:$S$388,ROW()-107),"")</f>
        <v/>
      </c>
      <c r="C259">
        <f>IFERROR(INDEX($W$108:$W$388,ROW()-107),"")</f>
        <v/>
      </c>
      <c r="D259" s="25">
        <f>IFERROR((C259-B259)*100,"")</f>
        <v/>
      </c>
      <c r="E259" s="25">
        <f>IFERROR(D259-D258,"")</f>
        <v/>
      </c>
      <c r="F259" s="25">
        <f>IFERROR(D258,"")</f>
        <v/>
      </c>
      <c r="G259" s="62">
        <f>IFERROR((D259-$C$24)/$C$25,"")</f>
        <v/>
      </c>
      <c r="H259" s="25">
        <f>IFERROR(D285-D259,"")</f>
        <v/>
      </c>
      <c r="I259" s="25">
        <f>IFERROR(D259-D255,"")</f>
        <v/>
      </c>
      <c r="J259" s="25">
        <f>IFERROR(D259-D246,"")</f>
        <v/>
      </c>
      <c r="K259">
        <f>IF(A259="","",$C$24)</f>
        <v/>
      </c>
      <c r="L259">
        <f>IF(A259="","",$C$24-$C$25)</f>
        <v/>
      </c>
      <c r="M259">
        <f>IF(A259="","",$C$24+$C$25)</f>
        <v/>
      </c>
    </row>
    <row r="260">
      <c r="A260" s="23">
        <f>IFERROR(INDEX($R$108:$R$388,ROW()-107),"")</f>
        <v/>
      </c>
      <c r="B260">
        <f>IFERROR(INDEX($S$108:$S$388,ROW()-107),"")</f>
        <v/>
      </c>
      <c r="C260">
        <f>IFERROR(INDEX($W$108:$W$388,ROW()-107),"")</f>
        <v/>
      </c>
      <c r="D260" s="25">
        <f>IFERROR((C260-B260)*100,"")</f>
        <v/>
      </c>
      <c r="E260" s="25">
        <f>IFERROR(D260-D259,"")</f>
        <v/>
      </c>
      <c r="F260" s="25">
        <f>IFERROR(D259,"")</f>
        <v/>
      </c>
      <c r="G260" s="62">
        <f>IFERROR((D260-$C$24)/$C$25,"")</f>
        <v/>
      </c>
      <c r="H260" s="25">
        <f>IFERROR(D286-D260,"")</f>
        <v/>
      </c>
      <c r="I260" s="25">
        <f>IFERROR(D260-D256,"")</f>
        <v/>
      </c>
      <c r="J260" s="25">
        <f>IFERROR(D260-D247,"")</f>
        <v/>
      </c>
      <c r="K260">
        <f>IF(A260="","",$C$24)</f>
        <v/>
      </c>
      <c r="L260">
        <f>IF(A260="","",$C$24-$C$25)</f>
        <v/>
      </c>
      <c r="M260">
        <f>IF(A260="","",$C$24+$C$25)</f>
        <v/>
      </c>
    </row>
    <row r="261">
      <c r="A261" s="23">
        <f>IFERROR(INDEX($R$108:$R$388,ROW()-107),"")</f>
        <v/>
      </c>
      <c r="B261">
        <f>IFERROR(INDEX($S$108:$S$388,ROW()-107),"")</f>
        <v/>
      </c>
      <c r="C261">
        <f>IFERROR(INDEX($W$108:$W$388,ROW()-107),"")</f>
        <v/>
      </c>
      <c r="D261" s="25">
        <f>IFERROR((C261-B261)*100,"")</f>
        <v/>
      </c>
      <c r="E261" s="25">
        <f>IFERROR(D261-D260,"")</f>
        <v/>
      </c>
      <c r="F261" s="25">
        <f>IFERROR(D260,"")</f>
        <v/>
      </c>
      <c r="G261" s="62">
        <f>IFERROR((D261-$C$24)/$C$25,"")</f>
        <v/>
      </c>
      <c r="H261" s="25">
        <f>IFERROR(D287-D261,"")</f>
        <v/>
      </c>
      <c r="I261" s="25">
        <f>IFERROR(D261-D257,"")</f>
        <v/>
      </c>
      <c r="J261" s="25">
        <f>IFERROR(D261-D248,"")</f>
        <v/>
      </c>
      <c r="K261">
        <f>IF(A261="","",$C$24)</f>
        <v/>
      </c>
      <c r="L261">
        <f>IF(A261="","",$C$24-$C$25)</f>
        <v/>
      </c>
      <c r="M261">
        <f>IF(A261="","",$C$24+$C$25)</f>
        <v/>
      </c>
    </row>
    <row r="262">
      <c r="A262" s="23">
        <f>IFERROR(INDEX($R$108:$R$388,ROW()-107),"")</f>
        <v/>
      </c>
      <c r="B262">
        <f>IFERROR(INDEX($S$108:$S$388,ROW()-107),"")</f>
        <v/>
      </c>
      <c r="C262">
        <f>IFERROR(INDEX($W$108:$W$388,ROW()-107),"")</f>
        <v/>
      </c>
      <c r="D262" s="25">
        <f>IFERROR((C262-B262)*100,"")</f>
        <v/>
      </c>
      <c r="E262" s="25">
        <f>IFERROR(D262-D261,"")</f>
        <v/>
      </c>
      <c r="F262" s="25">
        <f>IFERROR(D261,"")</f>
        <v/>
      </c>
      <c r="G262" s="62">
        <f>IFERROR((D262-$C$24)/$C$25,"")</f>
        <v/>
      </c>
      <c r="H262" s="25">
        <f>IFERROR(D288-D262,"")</f>
        <v/>
      </c>
      <c r="I262" s="25">
        <f>IFERROR(D262-D258,"")</f>
        <v/>
      </c>
      <c r="J262" s="25">
        <f>IFERROR(D262-D249,"")</f>
        <v/>
      </c>
      <c r="K262">
        <f>IF(A262="","",$C$24)</f>
        <v/>
      </c>
      <c r="L262">
        <f>IF(A262="","",$C$24-$C$25)</f>
        <v/>
      </c>
      <c r="M262">
        <f>IF(A262="","",$C$24+$C$25)</f>
        <v/>
      </c>
    </row>
    <row r="263">
      <c r="A263" s="23">
        <f>IFERROR(INDEX($R$108:$R$388,ROW()-107),"")</f>
        <v/>
      </c>
      <c r="B263">
        <f>IFERROR(INDEX($S$108:$S$388,ROW()-107),"")</f>
        <v/>
      </c>
      <c r="C263">
        <f>IFERROR(INDEX($W$108:$W$388,ROW()-107),"")</f>
        <v/>
      </c>
      <c r="D263" s="25">
        <f>IFERROR((C263-B263)*100,"")</f>
        <v/>
      </c>
      <c r="E263" s="25">
        <f>IFERROR(D263-D262,"")</f>
        <v/>
      </c>
      <c r="F263" s="25">
        <f>IFERROR(D262,"")</f>
        <v/>
      </c>
      <c r="G263" s="62">
        <f>IFERROR((D263-$C$24)/$C$25,"")</f>
        <v/>
      </c>
      <c r="H263" s="25">
        <f>IFERROR(D289-D263,"")</f>
        <v/>
      </c>
      <c r="I263" s="25">
        <f>IFERROR(D263-D259,"")</f>
        <v/>
      </c>
      <c r="J263" s="25">
        <f>IFERROR(D263-D250,"")</f>
        <v/>
      </c>
      <c r="K263">
        <f>IF(A263="","",$C$24)</f>
        <v/>
      </c>
      <c r="L263">
        <f>IF(A263="","",$C$24-$C$25)</f>
        <v/>
      </c>
      <c r="M263">
        <f>IF(A263="","",$C$24+$C$25)</f>
        <v/>
      </c>
    </row>
    <row r="264">
      <c r="A264" s="23">
        <f>IFERROR(INDEX($R$108:$R$388,ROW()-107),"")</f>
        <v/>
      </c>
      <c r="B264">
        <f>IFERROR(INDEX($S$108:$S$388,ROW()-107),"")</f>
        <v/>
      </c>
      <c r="C264">
        <f>IFERROR(INDEX($W$108:$W$388,ROW()-107),"")</f>
        <v/>
      </c>
      <c r="D264" s="25">
        <f>IFERROR((C264-B264)*100,"")</f>
        <v/>
      </c>
      <c r="E264" s="25">
        <f>IFERROR(D264-D263,"")</f>
        <v/>
      </c>
      <c r="F264" s="25">
        <f>IFERROR(D263,"")</f>
        <v/>
      </c>
      <c r="G264" s="62">
        <f>IFERROR((D264-$C$24)/$C$25,"")</f>
        <v/>
      </c>
      <c r="H264" s="25">
        <f>IFERROR(D290-D264,"")</f>
        <v/>
      </c>
      <c r="I264" s="25">
        <f>IFERROR(D264-D260,"")</f>
        <v/>
      </c>
      <c r="J264" s="25">
        <f>IFERROR(D264-D251,"")</f>
        <v/>
      </c>
      <c r="K264">
        <f>IF(A264="","",$C$24)</f>
        <v/>
      </c>
      <c r="L264">
        <f>IF(A264="","",$C$24-$C$25)</f>
        <v/>
      </c>
      <c r="M264">
        <f>IF(A264="","",$C$24+$C$25)</f>
        <v/>
      </c>
    </row>
    <row r="265">
      <c r="A265" s="23">
        <f>IFERROR(INDEX($R$108:$R$388,ROW()-107),"")</f>
        <v/>
      </c>
      <c r="B265">
        <f>IFERROR(INDEX($S$108:$S$388,ROW()-107),"")</f>
        <v/>
      </c>
      <c r="C265">
        <f>IFERROR(INDEX($W$108:$W$388,ROW()-107),"")</f>
        <v/>
      </c>
      <c r="D265" s="25">
        <f>IFERROR((C265-B265)*100,"")</f>
        <v/>
      </c>
      <c r="E265" s="25">
        <f>IFERROR(D265-D264,"")</f>
        <v/>
      </c>
      <c r="F265" s="25">
        <f>IFERROR(D264,"")</f>
        <v/>
      </c>
      <c r="G265" s="62">
        <f>IFERROR((D265-$C$24)/$C$25,"")</f>
        <v/>
      </c>
      <c r="H265" s="25">
        <f>IFERROR(D291-D265,"")</f>
        <v/>
      </c>
      <c r="I265" s="25">
        <f>IFERROR(D265-D261,"")</f>
        <v/>
      </c>
      <c r="J265" s="25">
        <f>IFERROR(D265-D252,"")</f>
        <v/>
      </c>
      <c r="K265">
        <f>IF(A265="","",$C$24)</f>
        <v/>
      </c>
      <c r="L265">
        <f>IF(A265="","",$C$24-$C$25)</f>
        <v/>
      </c>
      <c r="M265">
        <f>IF(A265="","",$C$24+$C$25)</f>
        <v/>
      </c>
    </row>
    <row r="266">
      <c r="A266" s="23">
        <f>IFERROR(INDEX($R$108:$R$388,ROW()-107),"")</f>
        <v/>
      </c>
      <c r="B266">
        <f>IFERROR(INDEX($S$108:$S$388,ROW()-107),"")</f>
        <v/>
      </c>
      <c r="C266">
        <f>IFERROR(INDEX($W$108:$W$388,ROW()-107),"")</f>
        <v/>
      </c>
      <c r="D266" s="25">
        <f>IFERROR((C266-B266)*100,"")</f>
        <v/>
      </c>
      <c r="E266" s="25">
        <f>IFERROR(D266-D265,"")</f>
        <v/>
      </c>
      <c r="F266" s="25">
        <f>IFERROR(D265,"")</f>
        <v/>
      </c>
      <c r="G266" s="62">
        <f>IFERROR((D266-$C$24)/$C$25,"")</f>
        <v/>
      </c>
      <c r="H266" s="25">
        <f>IFERROR(D292-D266,"")</f>
        <v/>
      </c>
      <c r="I266" s="25">
        <f>IFERROR(D266-D262,"")</f>
        <v/>
      </c>
      <c r="J266" s="25">
        <f>IFERROR(D266-D253,"")</f>
        <v/>
      </c>
      <c r="K266">
        <f>IF(A266="","",$C$24)</f>
        <v/>
      </c>
      <c r="L266">
        <f>IF(A266="","",$C$24-$C$25)</f>
        <v/>
      </c>
      <c r="M266">
        <f>IF(A266="","",$C$24+$C$25)</f>
        <v/>
      </c>
    </row>
    <row r="267">
      <c r="A267" s="23">
        <f>IFERROR(INDEX($R$108:$R$388,ROW()-107),"")</f>
        <v/>
      </c>
      <c r="B267">
        <f>IFERROR(INDEX($S$108:$S$388,ROW()-107),"")</f>
        <v/>
      </c>
      <c r="C267">
        <f>IFERROR(INDEX($W$108:$W$388,ROW()-107),"")</f>
        <v/>
      </c>
      <c r="D267" s="25">
        <f>IFERROR((C267-B267)*100,"")</f>
        <v/>
      </c>
      <c r="E267" s="25">
        <f>IFERROR(D267-D266,"")</f>
        <v/>
      </c>
      <c r="F267" s="25">
        <f>IFERROR(D266,"")</f>
        <v/>
      </c>
      <c r="G267" s="62">
        <f>IFERROR((D267-$C$24)/$C$25,"")</f>
        <v/>
      </c>
      <c r="H267" s="25">
        <f>IFERROR(D293-D267,"")</f>
        <v/>
      </c>
      <c r="I267" s="25">
        <f>IFERROR(D267-D263,"")</f>
        <v/>
      </c>
      <c r="J267" s="25">
        <f>IFERROR(D267-D254,"")</f>
        <v/>
      </c>
      <c r="K267">
        <f>IF(A267="","",$C$24)</f>
        <v/>
      </c>
      <c r="L267">
        <f>IF(A267="","",$C$24-$C$25)</f>
        <v/>
      </c>
      <c r="M267">
        <f>IF(A267="","",$C$24+$C$25)</f>
        <v/>
      </c>
    </row>
    <row r="268">
      <c r="A268" s="23">
        <f>IFERROR(INDEX($R$108:$R$388,ROW()-107),"")</f>
        <v/>
      </c>
      <c r="B268">
        <f>IFERROR(INDEX($S$108:$S$388,ROW()-107),"")</f>
        <v/>
      </c>
      <c r="C268">
        <f>IFERROR(INDEX($W$108:$W$388,ROW()-107),"")</f>
        <v/>
      </c>
      <c r="D268" s="25">
        <f>IFERROR((C268-B268)*100,"")</f>
        <v/>
      </c>
      <c r="E268" s="25">
        <f>IFERROR(D268-D267,"")</f>
        <v/>
      </c>
      <c r="F268" s="25">
        <f>IFERROR(D267,"")</f>
        <v/>
      </c>
      <c r="G268" s="62">
        <f>IFERROR((D268-$C$24)/$C$25,"")</f>
        <v/>
      </c>
      <c r="H268" s="25">
        <f>IFERROR(D294-D268,"")</f>
        <v/>
      </c>
      <c r="I268" s="25">
        <f>IFERROR(D268-D264,"")</f>
        <v/>
      </c>
      <c r="J268" s="25">
        <f>IFERROR(D268-D255,"")</f>
        <v/>
      </c>
      <c r="K268">
        <f>IF(A268="","",$C$24)</f>
        <v/>
      </c>
      <c r="L268">
        <f>IF(A268="","",$C$24-$C$25)</f>
        <v/>
      </c>
      <c r="M268">
        <f>IF(A268="","",$C$24+$C$25)</f>
        <v/>
      </c>
    </row>
    <row r="269">
      <c r="A269" s="23">
        <f>IFERROR(INDEX($R$108:$R$388,ROW()-107),"")</f>
        <v/>
      </c>
      <c r="B269">
        <f>IFERROR(INDEX($S$108:$S$388,ROW()-107),"")</f>
        <v/>
      </c>
      <c r="C269">
        <f>IFERROR(INDEX($W$108:$W$388,ROW()-107),"")</f>
        <v/>
      </c>
      <c r="D269" s="25">
        <f>IFERROR((C269-B269)*100,"")</f>
        <v/>
      </c>
      <c r="E269" s="25">
        <f>IFERROR(D269-D268,"")</f>
        <v/>
      </c>
      <c r="F269" s="25">
        <f>IFERROR(D268,"")</f>
        <v/>
      </c>
      <c r="G269" s="62">
        <f>IFERROR((D269-$C$24)/$C$25,"")</f>
        <v/>
      </c>
      <c r="H269" s="25">
        <f>IFERROR(D295-D269,"")</f>
        <v/>
      </c>
      <c r="I269" s="25">
        <f>IFERROR(D269-D265,"")</f>
        <v/>
      </c>
      <c r="J269" s="25">
        <f>IFERROR(D269-D256,"")</f>
        <v/>
      </c>
      <c r="K269">
        <f>IF(A269="","",$C$24)</f>
        <v/>
      </c>
      <c r="L269">
        <f>IF(A269="","",$C$24-$C$25)</f>
        <v/>
      </c>
      <c r="M269">
        <f>IF(A269="","",$C$24+$C$25)</f>
        <v/>
      </c>
    </row>
    <row r="270">
      <c r="A270" s="23">
        <f>IFERROR(INDEX($R$108:$R$388,ROW()-107),"")</f>
        <v/>
      </c>
      <c r="B270">
        <f>IFERROR(INDEX($S$108:$S$388,ROW()-107),"")</f>
        <v/>
      </c>
      <c r="C270">
        <f>IFERROR(INDEX($W$108:$W$388,ROW()-107),"")</f>
        <v/>
      </c>
      <c r="D270" s="25">
        <f>IFERROR((C270-B270)*100,"")</f>
        <v/>
      </c>
      <c r="E270" s="25">
        <f>IFERROR(D270-D269,"")</f>
        <v/>
      </c>
      <c r="F270" s="25">
        <f>IFERROR(D269,"")</f>
        <v/>
      </c>
      <c r="G270" s="62">
        <f>IFERROR((D270-$C$24)/$C$25,"")</f>
        <v/>
      </c>
      <c r="H270" s="25">
        <f>IFERROR(D296-D270,"")</f>
        <v/>
      </c>
      <c r="I270" s="25">
        <f>IFERROR(D270-D266,"")</f>
        <v/>
      </c>
      <c r="J270" s="25">
        <f>IFERROR(D270-D257,"")</f>
        <v/>
      </c>
      <c r="K270">
        <f>IF(A270="","",$C$24)</f>
        <v/>
      </c>
      <c r="L270">
        <f>IF(A270="","",$C$24-$C$25)</f>
        <v/>
      </c>
      <c r="M270">
        <f>IF(A270="","",$C$24+$C$25)</f>
        <v/>
      </c>
    </row>
    <row r="271">
      <c r="A271" s="23">
        <f>IFERROR(INDEX($R$108:$R$388,ROW()-107),"")</f>
        <v/>
      </c>
      <c r="B271">
        <f>IFERROR(INDEX($S$108:$S$388,ROW()-107),"")</f>
        <v/>
      </c>
      <c r="C271">
        <f>IFERROR(INDEX($W$108:$W$388,ROW()-107),"")</f>
        <v/>
      </c>
      <c r="D271" s="25">
        <f>IFERROR((C271-B271)*100,"")</f>
        <v/>
      </c>
      <c r="E271" s="25">
        <f>IFERROR(D271-D270,"")</f>
        <v/>
      </c>
      <c r="F271" s="25">
        <f>IFERROR(D270,"")</f>
        <v/>
      </c>
      <c r="G271" s="62">
        <f>IFERROR((D271-$C$24)/$C$25,"")</f>
        <v/>
      </c>
      <c r="H271" s="25">
        <f>IFERROR(D297-D271,"")</f>
        <v/>
      </c>
      <c r="I271" s="25">
        <f>IFERROR(D271-D267,"")</f>
        <v/>
      </c>
      <c r="J271" s="25">
        <f>IFERROR(D271-D258,"")</f>
        <v/>
      </c>
      <c r="K271">
        <f>IF(A271="","",$C$24)</f>
        <v/>
      </c>
      <c r="L271">
        <f>IF(A271="","",$C$24-$C$25)</f>
        <v/>
      </c>
      <c r="M271">
        <f>IF(A271="","",$C$24+$C$25)</f>
        <v/>
      </c>
    </row>
    <row r="272">
      <c r="A272" s="23">
        <f>IFERROR(INDEX($R$108:$R$388,ROW()-107),"")</f>
        <v/>
      </c>
      <c r="B272">
        <f>IFERROR(INDEX($S$108:$S$388,ROW()-107),"")</f>
        <v/>
      </c>
      <c r="C272">
        <f>IFERROR(INDEX($W$108:$W$388,ROW()-107),"")</f>
        <v/>
      </c>
      <c r="D272" s="25">
        <f>IFERROR((C272-B272)*100,"")</f>
        <v/>
      </c>
      <c r="E272" s="25">
        <f>IFERROR(D272-D271,"")</f>
        <v/>
      </c>
      <c r="F272" s="25">
        <f>IFERROR(D271,"")</f>
        <v/>
      </c>
      <c r="G272" s="62">
        <f>IFERROR((D272-$C$24)/$C$25,"")</f>
        <v/>
      </c>
      <c r="H272" s="25">
        <f>IFERROR(D298-D272,"")</f>
        <v/>
      </c>
      <c r="I272" s="25">
        <f>IFERROR(D272-D268,"")</f>
        <v/>
      </c>
      <c r="J272" s="25">
        <f>IFERROR(D272-D259,"")</f>
        <v/>
      </c>
      <c r="K272">
        <f>IF(A272="","",$C$24)</f>
        <v/>
      </c>
      <c r="L272">
        <f>IF(A272="","",$C$24-$C$25)</f>
        <v/>
      </c>
      <c r="M272">
        <f>IF(A272="","",$C$24+$C$25)</f>
        <v/>
      </c>
    </row>
    <row r="273">
      <c r="A273" s="23">
        <f>IFERROR(INDEX($R$108:$R$388,ROW()-107),"")</f>
        <v/>
      </c>
      <c r="B273">
        <f>IFERROR(INDEX($S$108:$S$388,ROW()-107),"")</f>
        <v/>
      </c>
      <c r="C273">
        <f>IFERROR(INDEX($W$108:$W$388,ROW()-107),"")</f>
        <v/>
      </c>
      <c r="D273" s="25">
        <f>IFERROR((C273-B273)*100,"")</f>
        <v/>
      </c>
      <c r="E273" s="25">
        <f>IFERROR(D273-D272,"")</f>
        <v/>
      </c>
      <c r="F273" s="25">
        <f>IFERROR(D272,"")</f>
        <v/>
      </c>
      <c r="G273" s="62">
        <f>IFERROR((D273-$C$24)/$C$25,"")</f>
        <v/>
      </c>
      <c r="H273" s="25">
        <f>IFERROR(D299-D273,"")</f>
        <v/>
      </c>
      <c r="I273" s="25">
        <f>IFERROR(D273-D269,"")</f>
        <v/>
      </c>
      <c r="J273" s="25">
        <f>IFERROR(D273-D260,"")</f>
        <v/>
      </c>
      <c r="K273">
        <f>IF(A273="","",$C$24)</f>
        <v/>
      </c>
      <c r="L273">
        <f>IF(A273="","",$C$24-$C$25)</f>
        <v/>
      </c>
      <c r="M273">
        <f>IF(A273="","",$C$24+$C$25)</f>
        <v/>
      </c>
    </row>
    <row r="274">
      <c r="A274" s="23">
        <f>IFERROR(INDEX($R$108:$R$388,ROW()-107),"")</f>
        <v/>
      </c>
      <c r="B274">
        <f>IFERROR(INDEX($S$108:$S$388,ROW()-107),"")</f>
        <v/>
      </c>
      <c r="C274">
        <f>IFERROR(INDEX($W$108:$W$388,ROW()-107),"")</f>
        <v/>
      </c>
      <c r="D274" s="25">
        <f>IFERROR((C274-B274)*100,"")</f>
        <v/>
      </c>
      <c r="E274" s="25">
        <f>IFERROR(D274-D273,"")</f>
        <v/>
      </c>
      <c r="F274" s="25">
        <f>IFERROR(D273,"")</f>
        <v/>
      </c>
      <c r="G274" s="62">
        <f>IFERROR((D274-$C$24)/$C$25,"")</f>
        <v/>
      </c>
      <c r="H274" s="25">
        <f>IFERROR(D300-D274,"")</f>
        <v/>
      </c>
      <c r="I274" s="25">
        <f>IFERROR(D274-D270,"")</f>
        <v/>
      </c>
      <c r="J274" s="25">
        <f>IFERROR(D274-D261,"")</f>
        <v/>
      </c>
      <c r="K274">
        <f>IF(A274="","",$C$24)</f>
        <v/>
      </c>
      <c r="L274">
        <f>IF(A274="","",$C$24-$C$25)</f>
        <v/>
      </c>
      <c r="M274">
        <f>IF(A274="","",$C$24+$C$25)</f>
        <v/>
      </c>
    </row>
    <row r="275">
      <c r="A275" s="23">
        <f>IFERROR(INDEX($R$108:$R$388,ROW()-107),"")</f>
        <v/>
      </c>
      <c r="B275">
        <f>IFERROR(INDEX($S$108:$S$388,ROW()-107),"")</f>
        <v/>
      </c>
      <c r="C275">
        <f>IFERROR(INDEX($W$108:$W$388,ROW()-107),"")</f>
        <v/>
      </c>
      <c r="D275" s="25">
        <f>IFERROR((C275-B275)*100,"")</f>
        <v/>
      </c>
      <c r="E275" s="25">
        <f>IFERROR(D275-D274,"")</f>
        <v/>
      </c>
      <c r="F275" s="25">
        <f>IFERROR(D274,"")</f>
        <v/>
      </c>
      <c r="G275" s="62">
        <f>IFERROR((D275-$C$24)/$C$25,"")</f>
        <v/>
      </c>
      <c r="H275" s="25">
        <f>IFERROR(D301-D275,"")</f>
        <v/>
      </c>
      <c r="I275" s="25">
        <f>IFERROR(D275-D271,"")</f>
        <v/>
      </c>
      <c r="J275" s="25">
        <f>IFERROR(D275-D262,"")</f>
        <v/>
      </c>
      <c r="K275">
        <f>IF(A275="","",$C$24)</f>
        <v/>
      </c>
      <c r="L275">
        <f>IF(A275="","",$C$24-$C$25)</f>
        <v/>
      </c>
      <c r="M275">
        <f>IF(A275="","",$C$24+$C$25)</f>
        <v/>
      </c>
    </row>
    <row r="276">
      <c r="A276" s="23">
        <f>IFERROR(INDEX($R$108:$R$388,ROW()-107),"")</f>
        <v/>
      </c>
      <c r="B276">
        <f>IFERROR(INDEX($S$108:$S$388,ROW()-107),"")</f>
        <v/>
      </c>
      <c r="C276">
        <f>IFERROR(INDEX($W$108:$W$388,ROW()-107),"")</f>
        <v/>
      </c>
      <c r="D276" s="25">
        <f>IFERROR((C276-B276)*100,"")</f>
        <v/>
      </c>
      <c r="E276" s="25">
        <f>IFERROR(D276-D275,"")</f>
        <v/>
      </c>
      <c r="F276" s="25">
        <f>IFERROR(D275,"")</f>
        <v/>
      </c>
      <c r="G276" s="62">
        <f>IFERROR((D276-$C$24)/$C$25,"")</f>
        <v/>
      </c>
      <c r="H276" s="25">
        <f>IFERROR(D302-D276,"")</f>
        <v/>
      </c>
      <c r="I276" s="25">
        <f>IFERROR(D276-D272,"")</f>
        <v/>
      </c>
      <c r="J276" s="25">
        <f>IFERROR(D276-D263,"")</f>
        <v/>
      </c>
      <c r="K276">
        <f>IF(A276="","",$C$24)</f>
        <v/>
      </c>
      <c r="L276">
        <f>IF(A276="","",$C$24-$C$25)</f>
        <v/>
      </c>
      <c r="M276">
        <f>IF(A276="","",$C$24+$C$25)</f>
        <v/>
      </c>
    </row>
    <row r="277">
      <c r="A277" s="23">
        <f>IFERROR(INDEX($R$108:$R$388,ROW()-107),"")</f>
        <v/>
      </c>
      <c r="B277">
        <f>IFERROR(INDEX($S$108:$S$388,ROW()-107),"")</f>
        <v/>
      </c>
      <c r="C277">
        <f>IFERROR(INDEX($W$108:$W$388,ROW()-107),"")</f>
        <v/>
      </c>
      <c r="D277" s="25">
        <f>IFERROR((C277-B277)*100,"")</f>
        <v/>
      </c>
      <c r="E277" s="25">
        <f>IFERROR(D277-D276,"")</f>
        <v/>
      </c>
      <c r="F277" s="25">
        <f>IFERROR(D276,"")</f>
        <v/>
      </c>
      <c r="G277" s="62">
        <f>IFERROR((D277-$C$24)/$C$25,"")</f>
        <v/>
      </c>
      <c r="H277" s="25">
        <f>IFERROR(D303-D277,"")</f>
        <v/>
      </c>
      <c r="I277" s="25">
        <f>IFERROR(D277-D273,"")</f>
        <v/>
      </c>
      <c r="J277" s="25">
        <f>IFERROR(D277-D264,"")</f>
        <v/>
      </c>
      <c r="K277">
        <f>IF(A277="","",$C$24)</f>
        <v/>
      </c>
      <c r="L277">
        <f>IF(A277="","",$C$24-$C$25)</f>
        <v/>
      </c>
      <c r="M277">
        <f>IF(A277="","",$C$24+$C$25)</f>
        <v/>
      </c>
    </row>
    <row r="278">
      <c r="A278" s="23">
        <f>IFERROR(INDEX($R$108:$R$388,ROW()-107),"")</f>
        <v/>
      </c>
      <c r="B278">
        <f>IFERROR(INDEX($S$108:$S$388,ROW()-107),"")</f>
        <v/>
      </c>
      <c r="C278">
        <f>IFERROR(INDEX($W$108:$W$388,ROW()-107),"")</f>
        <v/>
      </c>
      <c r="D278" s="25">
        <f>IFERROR((C278-B278)*100,"")</f>
        <v/>
      </c>
      <c r="E278" s="25">
        <f>IFERROR(D278-D277,"")</f>
        <v/>
      </c>
      <c r="F278" s="25">
        <f>IFERROR(D277,"")</f>
        <v/>
      </c>
      <c r="G278" s="62">
        <f>IFERROR((D278-$C$24)/$C$25,"")</f>
        <v/>
      </c>
      <c r="H278" s="25">
        <f>IFERROR(D304-D278,"")</f>
        <v/>
      </c>
      <c r="I278" s="25">
        <f>IFERROR(D278-D274,"")</f>
        <v/>
      </c>
      <c r="J278" s="25">
        <f>IFERROR(D278-D265,"")</f>
        <v/>
      </c>
      <c r="K278">
        <f>IF(A278="","",$C$24)</f>
        <v/>
      </c>
      <c r="L278">
        <f>IF(A278="","",$C$24-$C$25)</f>
        <v/>
      </c>
      <c r="M278">
        <f>IF(A278="","",$C$24+$C$25)</f>
        <v/>
      </c>
    </row>
    <row r="279">
      <c r="A279" s="23">
        <f>IFERROR(INDEX($R$108:$R$388,ROW()-107),"")</f>
        <v/>
      </c>
      <c r="B279">
        <f>IFERROR(INDEX($S$108:$S$388,ROW()-107),"")</f>
        <v/>
      </c>
      <c r="C279">
        <f>IFERROR(INDEX($W$108:$W$388,ROW()-107),"")</f>
        <v/>
      </c>
      <c r="D279" s="25">
        <f>IFERROR((C279-B279)*100,"")</f>
        <v/>
      </c>
      <c r="E279" s="25">
        <f>IFERROR(D279-D278,"")</f>
        <v/>
      </c>
      <c r="F279" s="25">
        <f>IFERROR(D278,"")</f>
        <v/>
      </c>
      <c r="G279" s="62">
        <f>IFERROR((D279-$C$24)/$C$25,"")</f>
        <v/>
      </c>
      <c r="H279" s="25">
        <f>IFERROR(D305-D279,"")</f>
        <v/>
      </c>
      <c r="I279" s="25">
        <f>IFERROR(D279-D275,"")</f>
        <v/>
      </c>
      <c r="J279" s="25">
        <f>IFERROR(D279-D266,"")</f>
        <v/>
      </c>
      <c r="K279">
        <f>IF(A279="","",$C$24)</f>
        <v/>
      </c>
      <c r="L279">
        <f>IF(A279="","",$C$24-$C$25)</f>
        <v/>
      </c>
      <c r="M279">
        <f>IF(A279="","",$C$24+$C$25)</f>
        <v/>
      </c>
    </row>
    <row r="280">
      <c r="A280" s="23">
        <f>IFERROR(INDEX($R$108:$R$388,ROW()-107),"")</f>
        <v/>
      </c>
      <c r="B280">
        <f>IFERROR(INDEX($S$108:$S$388,ROW()-107),"")</f>
        <v/>
      </c>
      <c r="C280">
        <f>IFERROR(INDEX($W$108:$W$388,ROW()-107),"")</f>
        <v/>
      </c>
      <c r="D280" s="25">
        <f>IFERROR((C280-B280)*100,"")</f>
        <v/>
      </c>
      <c r="E280" s="25">
        <f>IFERROR(D280-D279,"")</f>
        <v/>
      </c>
      <c r="F280" s="25">
        <f>IFERROR(D279,"")</f>
        <v/>
      </c>
      <c r="G280" s="62">
        <f>IFERROR((D280-$C$24)/$C$25,"")</f>
        <v/>
      </c>
      <c r="H280" s="25">
        <f>IFERROR(D306-D280,"")</f>
        <v/>
      </c>
      <c r="I280" s="25">
        <f>IFERROR(D280-D276,"")</f>
        <v/>
      </c>
      <c r="J280" s="25">
        <f>IFERROR(D280-D267,"")</f>
        <v/>
      </c>
      <c r="K280">
        <f>IF(A280="","",$C$24)</f>
        <v/>
      </c>
      <c r="L280">
        <f>IF(A280="","",$C$24-$C$25)</f>
        <v/>
      </c>
      <c r="M280">
        <f>IF(A280="","",$C$24+$C$25)</f>
        <v/>
      </c>
    </row>
    <row r="281">
      <c r="A281" s="23">
        <f>IFERROR(INDEX($R$108:$R$388,ROW()-107),"")</f>
        <v/>
      </c>
      <c r="B281">
        <f>IFERROR(INDEX($S$108:$S$388,ROW()-107),"")</f>
        <v/>
      </c>
      <c r="C281">
        <f>IFERROR(INDEX($W$108:$W$388,ROW()-107),"")</f>
        <v/>
      </c>
      <c r="D281" s="25">
        <f>IFERROR((C281-B281)*100,"")</f>
        <v/>
      </c>
      <c r="E281" s="25">
        <f>IFERROR(D281-D280,"")</f>
        <v/>
      </c>
      <c r="F281" s="25">
        <f>IFERROR(D280,"")</f>
        <v/>
      </c>
      <c r="G281" s="62">
        <f>IFERROR((D281-$C$24)/$C$25,"")</f>
        <v/>
      </c>
      <c r="H281" s="25">
        <f>IFERROR(D307-D281,"")</f>
        <v/>
      </c>
      <c r="I281" s="25">
        <f>IFERROR(D281-D277,"")</f>
        <v/>
      </c>
      <c r="J281" s="25">
        <f>IFERROR(D281-D268,"")</f>
        <v/>
      </c>
      <c r="K281">
        <f>IF(A281="","",$C$24)</f>
        <v/>
      </c>
      <c r="L281">
        <f>IF(A281="","",$C$24-$C$25)</f>
        <v/>
      </c>
      <c r="M281">
        <f>IF(A281="","",$C$24+$C$25)</f>
        <v/>
      </c>
    </row>
    <row r="282">
      <c r="A282" s="23">
        <f>IFERROR(INDEX($R$108:$R$388,ROW()-107),"")</f>
        <v/>
      </c>
      <c r="B282">
        <f>IFERROR(INDEX($S$108:$S$388,ROW()-107),"")</f>
        <v/>
      </c>
      <c r="C282">
        <f>IFERROR(INDEX($W$108:$W$388,ROW()-107),"")</f>
        <v/>
      </c>
      <c r="D282" s="25">
        <f>IFERROR((C282-B282)*100,"")</f>
        <v/>
      </c>
      <c r="E282" s="25">
        <f>IFERROR(D282-D281,"")</f>
        <v/>
      </c>
      <c r="F282" s="25">
        <f>IFERROR(D281,"")</f>
        <v/>
      </c>
      <c r="G282" s="62">
        <f>IFERROR((D282-$C$24)/$C$25,"")</f>
        <v/>
      </c>
      <c r="H282" s="25">
        <f>IFERROR(D308-D282,"")</f>
        <v/>
      </c>
      <c r="I282" s="25">
        <f>IFERROR(D282-D278,"")</f>
        <v/>
      </c>
      <c r="J282" s="25">
        <f>IFERROR(D282-D269,"")</f>
        <v/>
      </c>
      <c r="K282">
        <f>IF(A282="","",$C$24)</f>
        <v/>
      </c>
      <c r="L282">
        <f>IF(A282="","",$C$24-$C$25)</f>
        <v/>
      </c>
      <c r="M282">
        <f>IF(A282="","",$C$24+$C$25)</f>
        <v/>
      </c>
    </row>
    <row r="283">
      <c r="A283" s="23">
        <f>IFERROR(INDEX($R$108:$R$388,ROW()-107),"")</f>
        <v/>
      </c>
      <c r="B283">
        <f>IFERROR(INDEX($S$108:$S$388,ROW()-107),"")</f>
        <v/>
      </c>
      <c r="C283">
        <f>IFERROR(INDEX($W$108:$W$388,ROW()-107),"")</f>
        <v/>
      </c>
      <c r="D283" s="25">
        <f>IFERROR((C283-B283)*100,"")</f>
        <v/>
      </c>
      <c r="E283" s="25">
        <f>IFERROR(D283-D282,"")</f>
        <v/>
      </c>
      <c r="F283" s="25">
        <f>IFERROR(D282,"")</f>
        <v/>
      </c>
      <c r="G283" s="62">
        <f>IFERROR((D283-$C$24)/$C$25,"")</f>
        <v/>
      </c>
      <c r="H283" s="25">
        <f>IFERROR(D309-D283,"")</f>
        <v/>
      </c>
      <c r="I283" s="25">
        <f>IFERROR(D283-D279,"")</f>
        <v/>
      </c>
      <c r="J283" s="25">
        <f>IFERROR(D283-D270,"")</f>
        <v/>
      </c>
      <c r="K283">
        <f>IF(A283="","",$C$24)</f>
        <v/>
      </c>
      <c r="L283">
        <f>IF(A283="","",$C$24-$C$25)</f>
        <v/>
      </c>
      <c r="M283">
        <f>IF(A283="","",$C$24+$C$25)</f>
        <v/>
      </c>
    </row>
    <row r="284">
      <c r="A284" s="23">
        <f>IFERROR(INDEX($R$108:$R$388,ROW()-107),"")</f>
        <v/>
      </c>
      <c r="B284">
        <f>IFERROR(INDEX($S$108:$S$388,ROW()-107),"")</f>
        <v/>
      </c>
      <c r="C284">
        <f>IFERROR(INDEX($W$108:$W$388,ROW()-107),"")</f>
        <v/>
      </c>
      <c r="D284" s="25">
        <f>IFERROR((C284-B284)*100,"")</f>
        <v/>
      </c>
      <c r="E284" s="25">
        <f>IFERROR(D284-D283,"")</f>
        <v/>
      </c>
      <c r="F284" s="25">
        <f>IFERROR(D283,"")</f>
        <v/>
      </c>
      <c r="G284" s="62">
        <f>IFERROR((D284-$C$24)/$C$25,"")</f>
        <v/>
      </c>
      <c r="H284" s="25">
        <f>IFERROR(D310-D284,"")</f>
        <v/>
      </c>
      <c r="I284" s="25">
        <f>IFERROR(D284-D280,"")</f>
        <v/>
      </c>
      <c r="J284" s="25">
        <f>IFERROR(D284-D271,"")</f>
        <v/>
      </c>
      <c r="K284">
        <f>IF(A284="","",$C$24)</f>
        <v/>
      </c>
      <c r="L284">
        <f>IF(A284="","",$C$24-$C$25)</f>
        <v/>
      </c>
      <c r="M284">
        <f>IF(A284="","",$C$24+$C$25)</f>
        <v/>
      </c>
    </row>
    <row r="285">
      <c r="A285" s="23">
        <f>IFERROR(INDEX($R$108:$R$388,ROW()-107),"")</f>
        <v/>
      </c>
      <c r="B285">
        <f>IFERROR(INDEX($S$108:$S$388,ROW()-107),"")</f>
        <v/>
      </c>
      <c r="C285">
        <f>IFERROR(INDEX($W$108:$W$388,ROW()-107),"")</f>
        <v/>
      </c>
      <c r="D285" s="25">
        <f>IFERROR((C285-B285)*100,"")</f>
        <v/>
      </c>
      <c r="E285" s="25">
        <f>IFERROR(D285-D284,"")</f>
        <v/>
      </c>
      <c r="F285" s="25">
        <f>IFERROR(D284,"")</f>
        <v/>
      </c>
      <c r="G285" s="62">
        <f>IFERROR((D285-$C$24)/$C$25,"")</f>
        <v/>
      </c>
      <c r="H285" s="25">
        <f>IFERROR(D311-D285,"")</f>
        <v/>
      </c>
      <c r="I285" s="25">
        <f>IFERROR(D285-D281,"")</f>
        <v/>
      </c>
      <c r="J285" s="25">
        <f>IFERROR(D285-D272,"")</f>
        <v/>
      </c>
      <c r="K285">
        <f>IF(A285="","",$C$24)</f>
        <v/>
      </c>
      <c r="L285">
        <f>IF(A285="","",$C$24-$C$25)</f>
        <v/>
      </c>
      <c r="M285">
        <f>IF(A285="","",$C$24+$C$25)</f>
        <v/>
      </c>
    </row>
    <row r="286">
      <c r="A286" s="23">
        <f>IFERROR(INDEX($R$108:$R$388,ROW()-107),"")</f>
        <v/>
      </c>
      <c r="B286">
        <f>IFERROR(INDEX($S$108:$S$388,ROW()-107),"")</f>
        <v/>
      </c>
      <c r="C286">
        <f>IFERROR(INDEX($W$108:$W$388,ROW()-107),"")</f>
        <v/>
      </c>
      <c r="D286" s="25">
        <f>IFERROR((C286-B286)*100,"")</f>
        <v/>
      </c>
      <c r="E286" s="25">
        <f>IFERROR(D286-D285,"")</f>
        <v/>
      </c>
      <c r="F286" s="25">
        <f>IFERROR(D285,"")</f>
        <v/>
      </c>
      <c r="G286" s="62">
        <f>IFERROR((D286-$C$24)/$C$25,"")</f>
        <v/>
      </c>
      <c r="H286" s="25">
        <f>IFERROR(D312-D286,"")</f>
        <v/>
      </c>
      <c r="I286" s="25">
        <f>IFERROR(D286-D282,"")</f>
        <v/>
      </c>
      <c r="J286" s="25">
        <f>IFERROR(D286-D273,"")</f>
        <v/>
      </c>
      <c r="K286">
        <f>IF(A286="","",$C$24)</f>
        <v/>
      </c>
      <c r="L286">
        <f>IF(A286="","",$C$24-$C$25)</f>
        <v/>
      </c>
      <c r="M286">
        <f>IF(A286="","",$C$24+$C$25)</f>
        <v/>
      </c>
    </row>
    <row r="287">
      <c r="A287" s="23">
        <f>IFERROR(INDEX($R$108:$R$388,ROW()-107),"")</f>
        <v/>
      </c>
      <c r="B287">
        <f>IFERROR(INDEX($S$108:$S$388,ROW()-107),"")</f>
        <v/>
      </c>
      <c r="C287">
        <f>IFERROR(INDEX($W$108:$W$388,ROW()-107),"")</f>
        <v/>
      </c>
      <c r="D287" s="25">
        <f>IFERROR((C287-B287)*100,"")</f>
        <v/>
      </c>
      <c r="E287" s="25">
        <f>IFERROR(D287-D286,"")</f>
        <v/>
      </c>
      <c r="F287" s="25">
        <f>IFERROR(D286,"")</f>
        <v/>
      </c>
      <c r="G287" s="62">
        <f>IFERROR((D287-$C$24)/$C$25,"")</f>
        <v/>
      </c>
      <c r="H287" s="25">
        <f>IFERROR(D313-D287,"")</f>
        <v/>
      </c>
      <c r="I287" s="25">
        <f>IFERROR(D287-D283,"")</f>
        <v/>
      </c>
      <c r="J287" s="25">
        <f>IFERROR(D287-D274,"")</f>
        <v/>
      </c>
      <c r="K287">
        <f>IF(A287="","",$C$24)</f>
        <v/>
      </c>
      <c r="L287">
        <f>IF(A287="","",$C$24-$C$25)</f>
        <v/>
      </c>
      <c r="M287">
        <f>IF(A287="","",$C$24+$C$25)</f>
        <v/>
      </c>
    </row>
    <row r="288">
      <c r="A288" s="23">
        <f>IFERROR(INDEX($R$108:$R$388,ROW()-107),"")</f>
        <v/>
      </c>
      <c r="B288">
        <f>IFERROR(INDEX($S$108:$S$388,ROW()-107),"")</f>
        <v/>
      </c>
      <c r="C288">
        <f>IFERROR(INDEX($W$108:$W$388,ROW()-107),"")</f>
        <v/>
      </c>
      <c r="D288" s="25">
        <f>IFERROR((C288-B288)*100,"")</f>
        <v/>
      </c>
      <c r="E288" s="25">
        <f>IFERROR(D288-D287,"")</f>
        <v/>
      </c>
      <c r="F288" s="25">
        <f>IFERROR(D287,"")</f>
        <v/>
      </c>
      <c r="G288" s="62">
        <f>IFERROR((D288-$C$24)/$C$25,"")</f>
        <v/>
      </c>
      <c r="H288" s="25">
        <f>IFERROR(D314-D288,"")</f>
        <v/>
      </c>
      <c r="I288" s="25">
        <f>IFERROR(D288-D284,"")</f>
        <v/>
      </c>
      <c r="J288" s="25">
        <f>IFERROR(D288-D275,"")</f>
        <v/>
      </c>
      <c r="K288">
        <f>IF(A288="","",$C$24)</f>
        <v/>
      </c>
      <c r="L288">
        <f>IF(A288="","",$C$24-$C$25)</f>
        <v/>
      </c>
      <c r="M288">
        <f>IF(A288="","",$C$24+$C$25)</f>
        <v/>
      </c>
    </row>
    <row r="289">
      <c r="A289" s="23">
        <f>IFERROR(INDEX($R$108:$R$388,ROW()-107),"")</f>
        <v/>
      </c>
      <c r="B289">
        <f>IFERROR(INDEX($S$108:$S$388,ROW()-107),"")</f>
        <v/>
      </c>
      <c r="C289">
        <f>IFERROR(INDEX($W$108:$W$388,ROW()-107),"")</f>
        <v/>
      </c>
      <c r="D289" s="25">
        <f>IFERROR((C289-B289)*100,"")</f>
        <v/>
      </c>
      <c r="E289" s="25">
        <f>IFERROR(D289-D288,"")</f>
        <v/>
      </c>
      <c r="F289" s="25">
        <f>IFERROR(D288,"")</f>
        <v/>
      </c>
      <c r="G289" s="62">
        <f>IFERROR((D289-$C$24)/$C$25,"")</f>
        <v/>
      </c>
      <c r="H289" s="25">
        <f>IFERROR(D315-D289,"")</f>
        <v/>
      </c>
      <c r="I289" s="25">
        <f>IFERROR(D289-D285,"")</f>
        <v/>
      </c>
      <c r="J289" s="25">
        <f>IFERROR(D289-D276,"")</f>
        <v/>
      </c>
      <c r="K289">
        <f>IF(A289="","",$C$24)</f>
        <v/>
      </c>
      <c r="L289">
        <f>IF(A289="","",$C$24-$C$25)</f>
        <v/>
      </c>
      <c r="M289">
        <f>IF(A289="","",$C$24+$C$25)</f>
        <v/>
      </c>
    </row>
    <row r="290">
      <c r="A290" s="23">
        <f>IFERROR(INDEX($R$108:$R$388,ROW()-107),"")</f>
        <v/>
      </c>
      <c r="B290">
        <f>IFERROR(INDEX($S$108:$S$388,ROW()-107),"")</f>
        <v/>
      </c>
      <c r="C290">
        <f>IFERROR(INDEX($W$108:$W$388,ROW()-107),"")</f>
        <v/>
      </c>
      <c r="D290" s="25">
        <f>IFERROR((C290-B290)*100,"")</f>
        <v/>
      </c>
      <c r="E290" s="25">
        <f>IFERROR(D290-D289,"")</f>
        <v/>
      </c>
      <c r="F290" s="25">
        <f>IFERROR(D289,"")</f>
        <v/>
      </c>
      <c r="G290" s="62">
        <f>IFERROR((D290-$C$24)/$C$25,"")</f>
        <v/>
      </c>
      <c r="H290" s="25">
        <f>IFERROR(D316-D290,"")</f>
        <v/>
      </c>
      <c r="I290" s="25">
        <f>IFERROR(D290-D286,"")</f>
        <v/>
      </c>
      <c r="J290" s="25">
        <f>IFERROR(D290-D277,"")</f>
        <v/>
      </c>
      <c r="K290">
        <f>IF(A290="","",$C$24)</f>
        <v/>
      </c>
      <c r="L290">
        <f>IF(A290="","",$C$24-$C$25)</f>
        <v/>
      </c>
      <c r="M290">
        <f>IF(A290="","",$C$24+$C$25)</f>
        <v/>
      </c>
    </row>
    <row r="291">
      <c r="A291" s="23">
        <f>IFERROR(INDEX($R$108:$R$388,ROW()-107),"")</f>
        <v/>
      </c>
      <c r="B291">
        <f>IFERROR(INDEX($S$108:$S$388,ROW()-107),"")</f>
        <v/>
      </c>
      <c r="C291">
        <f>IFERROR(INDEX($W$108:$W$388,ROW()-107),"")</f>
        <v/>
      </c>
      <c r="D291" s="25">
        <f>IFERROR((C291-B291)*100,"")</f>
        <v/>
      </c>
      <c r="E291" s="25">
        <f>IFERROR(D291-D290,"")</f>
        <v/>
      </c>
      <c r="F291" s="25">
        <f>IFERROR(D290,"")</f>
        <v/>
      </c>
      <c r="G291" s="62">
        <f>IFERROR((D291-$C$24)/$C$25,"")</f>
        <v/>
      </c>
      <c r="H291" s="25">
        <f>IFERROR(D317-D291,"")</f>
        <v/>
      </c>
      <c r="I291" s="25">
        <f>IFERROR(D291-D287,"")</f>
        <v/>
      </c>
      <c r="J291" s="25">
        <f>IFERROR(D291-D278,"")</f>
        <v/>
      </c>
      <c r="K291">
        <f>IF(A291="","",$C$24)</f>
        <v/>
      </c>
      <c r="L291">
        <f>IF(A291="","",$C$24-$C$25)</f>
        <v/>
      </c>
      <c r="M291">
        <f>IF(A291="","",$C$24+$C$25)</f>
        <v/>
      </c>
    </row>
    <row r="292">
      <c r="A292" s="23">
        <f>IFERROR(INDEX($R$108:$R$388,ROW()-107),"")</f>
        <v/>
      </c>
      <c r="B292">
        <f>IFERROR(INDEX($S$108:$S$388,ROW()-107),"")</f>
        <v/>
      </c>
      <c r="C292">
        <f>IFERROR(INDEX($W$108:$W$388,ROW()-107),"")</f>
        <v/>
      </c>
      <c r="D292" s="25">
        <f>IFERROR((C292-B292)*100,"")</f>
        <v/>
      </c>
      <c r="E292" s="25">
        <f>IFERROR(D292-D291,"")</f>
        <v/>
      </c>
      <c r="F292" s="25">
        <f>IFERROR(D291,"")</f>
        <v/>
      </c>
      <c r="G292" s="62">
        <f>IFERROR((D292-$C$24)/$C$25,"")</f>
        <v/>
      </c>
      <c r="H292" s="25">
        <f>IFERROR(D318-D292,"")</f>
        <v/>
      </c>
      <c r="I292" s="25">
        <f>IFERROR(D292-D288,"")</f>
        <v/>
      </c>
      <c r="J292" s="25">
        <f>IFERROR(D292-D279,"")</f>
        <v/>
      </c>
      <c r="K292">
        <f>IF(A292="","",$C$24)</f>
        <v/>
      </c>
      <c r="L292">
        <f>IF(A292="","",$C$24-$C$25)</f>
        <v/>
      </c>
      <c r="M292">
        <f>IF(A292="","",$C$24+$C$25)</f>
        <v/>
      </c>
    </row>
    <row r="293">
      <c r="A293" s="23">
        <f>IFERROR(INDEX($R$108:$R$388,ROW()-107),"")</f>
        <v/>
      </c>
      <c r="B293">
        <f>IFERROR(INDEX($S$108:$S$388,ROW()-107),"")</f>
        <v/>
      </c>
      <c r="C293">
        <f>IFERROR(INDEX($W$108:$W$388,ROW()-107),"")</f>
        <v/>
      </c>
      <c r="D293" s="25">
        <f>IFERROR((C293-B293)*100,"")</f>
        <v/>
      </c>
      <c r="E293" s="25">
        <f>IFERROR(D293-D292,"")</f>
        <v/>
      </c>
      <c r="F293" s="25">
        <f>IFERROR(D292,"")</f>
        <v/>
      </c>
      <c r="G293" s="62">
        <f>IFERROR((D293-$C$24)/$C$25,"")</f>
        <v/>
      </c>
      <c r="H293" s="25">
        <f>IFERROR(D319-D293,"")</f>
        <v/>
      </c>
      <c r="I293" s="25">
        <f>IFERROR(D293-D289,"")</f>
        <v/>
      </c>
      <c r="J293" s="25">
        <f>IFERROR(D293-D280,"")</f>
        <v/>
      </c>
      <c r="K293">
        <f>IF(A293="","",$C$24)</f>
        <v/>
      </c>
      <c r="L293">
        <f>IF(A293="","",$C$24-$C$25)</f>
        <v/>
      </c>
      <c r="M293">
        <f>IF(A293="","",$C$24+$C$25)</f>
        <v/>
      </c>
    </row>
    <row r="294">
      <c r="A294" s="23">
        <f>IFERROR(INDEX($R$108:$R$388,ROW()-107),"")</f>
        <v/>
      </c>
      <c r="B294">
        <f>IFERROR(INDEX($S$108:$S$388,ROW()-107),"")</f>
        <v/>
      </c>
      <c r="C294">
        <f>IFERROR(INDEX($W$108:$W$388,ROW()-107),"")</f>
        <v/>
      </c>
      <c r="D294" s="25">
        <f>IFERROR((C294-B294)*100,"")</f>
        <v/>
      </c>
      <c r="E294" s="25">
        <f>IFERROR(D294-D293,"")</f>
        <v/>
      </c>
      <c r="F294" s="25">
        <f>IFERROR(D293,"")</f>
        <v/>
      </c>
      <c r="G294" s="62">
        <f>IFERROR((D294-$C$24)/$C$25,"")</f>
        <v/>
      </c>
      <c r="H294" s="25">
        <f>IFERROR(D320-D294,"")</f>
        <v/>
      </c>
      <c r="I294" s="25">
        <f>IFERROR(D294-D290,"")</f>
        <v/>
      </c>
      <c r="J294" s="25">
        <f>IFERROR(D294-D281,"")</f>
        <v/>
      </c>
      <c r="K294">
        <f>IF(A294="","",$C$24)</f>
        <v/>
      </c>
      <c r="L294">
        <f>IF(A294="","",$C$24-$C$25)</f>
        <v/>
      </c>
      <c r="M294">
        <f>IF(A294="","",$C$24+$C$25)</f>
        <v/>
      </c>
    </row>
    <row r="295">
      <c r="A295" s="23">
        <f>IFERROR(INDEX($R$108:$R$388,ROW()-107),"")</f>
        <v/>
      </c>
      <c r="B295">
        <f>IFERROR(INDEX($S$108:$S$388,ROW()-107),"")</f>
        <v/>
      </c>
      <c r="C295">
        <f>IFERROR(INDEX($W$108:$W$388,ROW()-107),"")</f>
        <v/>
      </c>
      <c r="D295" s="25">
        <f>IFERROR((C295-B295)*100,"")</f>
        <v/>
      </c>
      <c r="E295" s="25">
        <f>IFERROR(D295-D294,"")</f>
        <v/>
      </c>
      <c r="F295" s="25">
        <f>IFERROR(D294,"")</f>
        <v/>
      </c>
      <c r="G295" s="62">
        <f>IFERROR((D295-$C$24)/$C$25,"")</f>
        <v/>
      </c>
      <c r="H295" s="25">
        <f>IFERROR(D321-D295,"")</f>
        <v/>
      </c>
      <c r="I295" s="25">
        <f>IFERROR(D295-D291,"")</f>
        <v/>
      </c>
      <c r="J295" s="25">
        <f>IFERROR(D295-D282,"")</f>
        <v/>
      </c>
      <c r="K295">
        <f>IF(A295="","",$C$24)</f>
        <v/>
      </c>
      <c r="L295">
        <f>IF(A295="","",$C$24-$C$25)</f>
        <v/>
      </c>
      <c r="M295">
        <f>IF(A295="","",$C$24+$C$25)</f>
        <v/>
      </c>
    </row>
    <row r="296">
      <c r="A296" s="23">
        <f>IFERROR(INDEX($R$108:$R$388,ROW()-107),"")</f>
        <v/>
      </c>
      <c r="B296">
        <f>IFERROR(INDEX($S$108:$S$388,ROW()-107),"")</f>
        <v/>
      </c>
      <c r="C296">
        <f>IFERROR(INDEX($W$108:$W$388,ROW()-107),"")</f>
        <v/>
      </c>
      <c r="D296" s="25">
        <f>IFERROR((C296-B296)*100,"")</f>
        <v/>
      </c>
      <c r="E296" s="25">
        <f>IFERROR(D296-D295,"")</f>
        <v/>
      </c>
      <c r="F296" s="25">
        <f>IFERROR(D295,"")</f>
        <v/>
      </c>
      <c r="G296" s="62">
        <f>IFERROR((D296-$C$24)/$C$25,"")</f>
        <v/>
      </c>
      <c r="H296" s="25">
        <f>IFERROR(D322-D296,"")</f>
        <v/>
      </c>
      <c r="I296" s="25">
        <f>IFERROR(D296-D292,"")</f>
        <v/>
      </c>
      <c r="J296" s="25">
        <f>IFERROR(D296-D283,"")</f>
        <v/>
      </c>
      <c r="K296">
        <f>IF(A296="","",$C$24)</f>
        <v/>
      </c>
      <c r="L296">
        <f>IF(A296="","",$C$24-$C$25)</f>
        <v/>
      </c>
      <c r="M296">
        <f>IF(A296="","",$C$24+$C$25)</f>
        <v/>
      </c>
    </row>
    <row r="297">
      <c r="A297" s="23">
        <f>IFERROR(INDEX($R$108:$R$388,ROW()-107),"")</f>
        <v/>
      </c>
      <c r="B297">
        <f>IFERROR(INDEX($S$108:$S$388,ROW()-107),"")</f>
        <v/>
      </c>
      <c r="C297">
        <f>IFERROR(INDEX($W$108:$W$388,ROW()-107),"")</f>
        <v/>
      </c>
      <c r="D297" s="25">
        <f>IFERROR((C297-B297)*100,"")</f>
        <v/>
      </c>
      <c r="E297" s="25">
        <f>IFERROR(D297-D296,"")</f>
        <v/>
      </c>
      <c r="F297" s="25">
        <f>IFERROR(D296,"")</f>
        <v/>
      </c>
      <c r="G297" s="62">
        <f>IFERROR((D297-$C$24)/$C$25,"")</f>
        <v/>
      </c>
      <c r="H297" s="25">
        <f>IFERROR(D323-D297,"")</f>
        <v/>
      </c>
      <c r="I297" s="25">
        <f>IFERROR(D297-D293,"")</f>
        <v/>
      </c>
      <c r="J297" s="25">
        <f>IFERROR(D297-D284,"")</f>
        <v/>
      </c>
      <c r="K297">
        <f>IF(A297="","",$C$24)</f>
        <v/>
      </c>
      <c r="L297">
        <f>IF(A297="","",$C$24-$C$25)</f>
        <v/>
      </c>
      <c r="M297">
        <f>IF(A297="","",$C$24+$C$25)</f>
        <v/>
      </c>
    </row>
    <row r="298">
      <c r="A298" s="23">
        <f>IFERROR(INDEX($R$108:$R$388,ROW()-107),"")</f>
        <v/>
      </c>
      <c r="B298">
        <f>IFERROR(INDEX($S$108:$S$388,ROW()-107),"")</f>
        <v/>
      </c>
      <c r="C298">
        <f>IFERROR(INDEX($W$108:$W$388,ROW()-107),"")</f>
        <v/>
      </c>
      <c r="D298" s="25">
        <f>IFERROR((C298-B298)*100,"")</f>
        <v/>
      </c>
      <c r="E298" s="25">
        <f>IFERROR(D298-D297,"")</f>
        <v/>
      </c>
      <c r="F298" s="25">
        <f>IFERROR(D297,"")</f>
        <v/>
      </c>
      <c r="G298" s="62">
        <f>IFERROR((D298-$C$24)/$C$25,"")</f>
        <v/>
      </c>
      <c r="H298" s="25">
        <f>IFERROR(D324-D298,"")</f>
        <v/>
      </c>
      <c r="I298" s="25">
        <f>IFERROR(D298-D294,"")</f>
        <v/>
      </c>
      <c r="J298" s="25">
        <f>IFERROR(D298-D285,"")</f>
        <v/>
      </c>
      <c r="K298">
        <f>IF(A298="","",$C$24)</f>
        <v/>
      </c>
      <c r="L298">
        <f>IF(A298="","",$C$24-$C$25)</f>
        <v/>
      </c>
      <c r="M298">
        <f>IF(A298="","",$C$24+$C$25)</f>
        <v/>
      </c>
    </row>
    <row r="299">
      <c r="A299" s="23">
        <f>IFERROR(INDEX($R$108:$R$388,ROW()-107),"")</f>
        <v/>
      </c>
      <c r="B299">
        <f>IFERROR(INDEX($S$108:$S$388,ROW()-107),"")</f>
        <v/>
      </c>
      <c r="C299">
        <f>IFERROR(INDEX($W$108:$W$388,ROW()-107),"")</f>
        <v/>
      </c>
      <c r="D299" s="25">
        <f>IFERROR((C299-B299)*100,"")</f>
        <v/>
      </c>
      <c r="E299" s="25">
        <f>IFERROR(D299-D298,"")</f>
        <v/>
      </c>
      <c r="F299" s="25">
        <f>IFERROR(D298,"")</f>
        <v/>
      </c>
      <c r="G299" s="62">
        <f>IFERROR((D299-$C$24)/$C$25,"")</f>
        <v/>
      </c>
      <c r="H299" s="25">
        <f>IFERROR(D325-D299,"")</f>
        <v/>
      </c>
      <c r="I299" s="25">
        <f>IFERROR(D299-D295,"")</f>
        <v/>
      </c>
      <c r="J299" s="25">
        <f>IFERROR(D299-D286,"")</f>
        <v/>
      </c>
      <c r="K299">
        <f>IF(A299="","",$C$24)</f>
        <v/>
      </c>
      <c r="L299">
        <f>IF(A299="","",$C$24-$C$25)</f>
        <v/>
      </c>
      <c r="M299">
        <f>IF(A299="","",$C$24+$C$25)</f>
        <v/>
      </c>
    </row>
    <row r="300">
      <c r="A300" s="23">
        <f>IFERROR(INDEX($R$108:$R$388,ROW()-107),"")</f>
        <v/>
      </c>
      <c r="B300">
        <f>IFERROR(INDEX($S$108:$S$388,ROW()-107),"")</f>
        <v/>
      </c>
      <c r="C300">
        <f>IFERROR(INDEX($W$108:$W$388,ROW()-107),"")</f>
        <v/>
      </c>
      <c r="D300" s="25">
        <f>IFERROR((C300-B300)*100,"")</f>
        <v/>
      </c>
      <c r="E300" s="25">
        <f>IFERROR(D300-D299,"")</f>
        <v/>
      </c>
      <c r="F300" s="25">
        <f>IFERROR(D299,"")</f>
        <v/>
      </c>
      <c r="G300" s="62">
        <f>IFERROR((D300-$C$24)/$C$25,"")</f>
        <v/>
      </c>
      <c r="H300" s="25">
        <f>IFERROR(D326-D300,"")</f>
        <v/>
      </c>
      <c r="I300" s="25">
        <f>IFERROR(D300-D296,"")</f>
        <v/>
      </c>
      <c r="J300" s="25">
        <f>IFERROR(D300-D287,"")</f>
        <v/>
      </c>
      <c r="K300">
        <f>IF(A300="","",$C$24)</f>
        <v/>
      </c>
      <c r="L300">
        <f>IF(A300="","",$C$24-$C$25)</f>
        <v/>
      </c>
      <c r="M300">
        <f>IF(A300="","",$C$24+$C$25)</f>
        <v/>
      </c>
    </row>
    <row r="301">
      <c r="A301" s="23">
        <f>IFERROR(INDEX($R$108:$R$388,ROW()-107),"")</f>
        <v/>
      </c>
      <c r="B301">
        <f>IFERROR(INDEX($S$108:$S$388,ROW()-107),"")</f>
        <v/>
      </c>
      <c r="C301">
        <f>IFERROR(INDEX($W$108:$W$388,ROW()-107),"")</f>
        <v/>
      </c>
      <c r="D301" s="25">
        <f>IFERROR((C301-B301)*100,"")</f>
        <v/>
      </c>
      <c r="E301" s="25">
        <f>IFERROR(D301-D300,"")</f>
        <v/>
      </c>
      <c r="F301" s="25">
        <f>IFERROR(D300,"")</f>
        <v/>
      </c>
      <c r="G301" s="62">
        <f>IFERROR((D301-$C$24)/$C$25,"")</f>
        <v/>
      </c>
      <c r="H301" s="25">
        <f>IFERROR(D327-D301,"")</f>
        <v/>
      </c>
      <c r="I301" s="25">
        <f>IFERROR(D301-D297,"")</f>
        <v/>
      </c>
      <c r="J301" s="25">
        <f>IFERROR(D301-D288,"")</f>
        <v/>
      </c>
      <c r="K301">
        <f>IF(A301="","",$C$24)</f>
        <v/>
      </c>
      <c r="L301">
        <f>IF(A301="","",$C$24-$C$25)</f>
        <v/>
      </c>
      <c r="M301">
        <f>IF(A301="","",$C$24+$C$25)</f>
        <v/>
      </c>
    </row>
    <row r="302">
      <c r="A302" s="23">
        <f>IFERROR(INDEX($R$108:$R$388,ROW()-107),"")</f>
        <v/>
      </c>
      <c r="B302">
        <f>IFERROR(INDEX($S$108:$S$388,ROW()-107),"")</f>
        <v/>
      </c>
      <c r="C302">
        <f>IFERROR(INDEX($W$108:$W$388,ROW()-107),"")</f>
        <v/>
      </c>
      <c r="D302" s="25">
        <f>IFERROR((C302-B302)*100,"")</f>
        <v/>
      </c>
      <c r="E302" s="25">
        <f>IFERROR(D302-D301,"")</f>
        <v/>
      </c>
      <c r="F302" s="25">
        <f>IFERROR(D301,"")</f>
        <v/>
      </c>
      <c r="G302" s="62">
        <f>IFERROR((D302-$C$24)/$C$25,"")</f>
        <v/>
      </c>
      <c r="H302" s="25">
        <f>IFERROR(D328-D302,"")</f>
        <v/>
      </c>
      <c r="I302" s="25">
        <f>IFERROR(D302-D298,"")</f>
        <v/>
      </c>
      <c r="J302" s="25">
        <f>IFERROR(D302-D289,"")</f>
        <v/>
      </c>
      <c r="K302">
        <f>IF(A302="","",$C$24)</f>
        <v/>
      </c>
      <c r="L302">
        <f>IF(A302="","",$C$24-$C$25)</f>
        <v/>
      </c>
      <c r="M302">
        <f>IF(A302="","",$C$24+$C$25)</f>
        <v/>
      </c>
    </row>
    <row r="303">
      <c r="A303" s="23">
        <f>IFERROR(INDEX($R$108:$R$388,ROW()-107),"")</f>
        <v/>
      </c>
      <c r="B303">
        <f>IFERROR(INDEX($S$108:$S$388,ROW()-107),"")</f>
        <v/>
      </c>
      <c r="C303">
        <f>IFERROR(INDEX($W$108:$W$388,ROW()-107),"")</f>
        <v/>
      </c>
      <c r="D303" s="25">
        <f>IFERROR((C303-B303)*100,"")</f>
        <v/>
      </c>
      <c r="E303" s="25">
        <f>IFERROR(D303-D302,"")</f>
        <v/>
      </c>
      <c r="F303" s="25">
        <f>IFERROR(D302,"")</f>
        <v/>
      </c>
      <c r="G303" s="62">
        <f>IFERROR((D303-$C$24)/$C$25,"")</f>
        <v/>
      </c>
      <c r="H303" s="25">
        <f>IFERROR(D329-D303,"")</f>
        <v/>
      </c>
      <c r="I303" s="25">
        <f>IFERROR(D303-D299,"")</f>
        <v/>
      </c>
      <c r="J303" s="25">
        <f>IFERROR(D303-D290,"")</f>
        <v/>
      </c>
      <c r="K303">
        <f>IF(A303="","",$C$24)</f>
        <v/>
      </c>
      <c r="L303">
        <f>IF(A303="","",$C$24-$C$25)</f>
        <v/>
      </c>
      <c r="M303">
        <f>IF(A303="","",$C$24+$C$25)</f>
        <v/>
      </c>
    </row>
    <row r="304">
      <c r="A304" s="23">
        <f>IFERROR(INDEX($R$108:$R$388,ROW()-107),"")</f>
        <v/>
      </c>
      <c r="B304">
        <f>IFERROR(INDEX($S$108:$S$388,ROW()-107),"")</f>
        <v/>
      </c>
      <c r="C304">
        <f>IFERROR(INDEX($W$108:$W$388,ROW()-107),"")</f>
        <v/>
      </c>
      <c r="D304" s="25">
        <f>IFERROR((C304-B304)*100,"")</f>
        <v/>
      </c>
      <c r="E304" s="25">
        <f>IFERROR(D304-D303,"")</f>
        <v/>
      </c>
      <c r="F304" s="25">
        <f>IFERROR(D303,"")</f>
        <v/>
      </c>
      <c r="G304" s="62">
        <f>IFERROR((D304-$C$24)/$C$25,"")</f>
        <v/>
      </c>
      <c r="H304" s="25">
        <f>IFERROR(D330-D304,"")</f>
        <v/>
      </c>
      <c r="I304" s="25">
        <f>IFERROR(D304-D300,"")</f>
        <v/>
      </c>
      <c r="J304" s="25">
        <f>IFERROR(D304-D291,"")</f>
        <v/>
      </c>
      <c r="K304">
        <f>IF(A304="","",$C$24)</f>
        <v/>
      </c>
      <c r="L304">
        <f>IF(A304="","",$C$24-$C$25)</f>
        <v/>
      </c>
      <c r="M304">
        <f>IF(A304="","",$C$24+$C$25)</f>
        <v/>
      </c>
    </row>
    <row r="305">
      <c r="A305" s="23">
        <f>IFERROR(INDEX($R$108:$R$388,ROW()-107),"")</f>
        <v/>
      </c>
      <c r="B305">
        <f>IFERROR(INDEX($S$108:$S$388,ROW()-107),"")</f>
        <v/>
      </c>
      <c r="C305">
        <f>IFERROR(INDEX($W$108:$W$388,ROW()-107),"")</f>
        <v/>
      </c>
      <c r="D305" s="25">
        <f>IFERROR((C305-B305)*100,"")</f>
        <v/>
      </c>
      <c r="E305" s="25">
        <f>IFERROR(D305-D304,"")</f>
        <v/>
      </c>
      <c r="F305" s="25">
        <f>IFERROR(D304,"")</f>
        <v/>
      </c>
      <c r="G305" s="62">
        <f>IFERROR((D305-$C$24)/$C$25,"")</f>
        <v/>
      </c>
      <c r="H305" s="25">
        <f>IFERROR(D331-D305,"")</f>
        <v/>
      </c>
      <c r="I305" s="25">
        <f>IFERROR(D305-D301,"")</f>
        <v/>
      </c>
      <c r="J305" s="25">
        <f>IFERROR(D305-D292,"")</f>
        <v/>
      </c>
      <c r="K305">
        <f>IF(A305="","",$C$24)</f>
        <v/>
      </c>
      <c r="L305">
        <f>IF(A305="","",$C$24-$C$25)</f>
        <v/>
      </c>
      <c r="M305">
        <f>IF(A305="","",$C$24+$C$25)</f>
        <v/>
      </c>
    </row>
    <row r="306">
      <c r="A306" s="23">
        <f>IFERROR(INDEX($R$108:$R$388,ROW()-107),"")</f>
        <v/>
      </c>
      <c r="B306">
        <f>IFERROR(INDEX($S$108:$S$388,ROW()-107),"")</f>
        <v/>
      </c>
      <c r="C306">
        <f>IFERROR(INDEX($W$108:$W$388,ROW()-107),"")</f>
        <v/>
      </c>
      <c r="D306" s="25">
        <f>IFERROR((C306-B306)*100,"")</f>
        <v/>
      </c>
      <c r="E306" s="25">
        <f>IFERROR(D306-D305,"")</f>
        <v/>
      </c>
      <c r="F306" s="25">
        <f>IFERROR(D305,"")</f>
        <v/>
      </c>
      <c r="G306" s="62">
        <f>IFERROR((D306-$C$24)/$C$25,"")</f>
        <v/>
      </c>
      <c r="H306" s="25">
        <f>IFERROR(D332-D306,"")</f>
        <v/>
      </c>
      <c r="I306" s="25">
        <f>IFERROR(D306-D302,"")</f>
        <v/>
      </c>
      <c r="J306" s="25">
        <f>IFERROR(D306-D293,"")</f>
        <v/>
      </c>
      <c r="K306">
        <f>IF(A306="","",$C$24)</f>
        <v/>
      </c>
      <c r="L306">
        <f>IF(A306="","",$C$24-$C$25)</f>
        <v/>
      </c>
      <c r="M306">
        <f>IF(A306="","",$C$24+$C$25)</f>
        <v/>
      </c>
    </row>
    <row r="307">
      <c r="A307" s="23">
        <f>IFERROR(INDEX($R$108:$R$388,ROW()-107),"")</f>
        <v/>
      </c>
      <c r="B307">
        <f>IFERROR(INDEX($S$108:$S$388,ROW()-107),"")</f>
        <v/>
      </c>
      <c r="C307">
        <f>IFERROR(INDEX($W$108:$W$388,ROW()-107),"")</f>
        <v/>
      </c>
      <c r="D307" s="25">
        <f>IFERROR((C307-B307)*100,"")</f>
        <v/>
      </c>
      <c r="E307" s="25">
        <f>IFERROR(D307-D306,"")</f>
        <v/>
      </c>
      <c r="F307" s="25">
        <f>IFERROR(D306,"")</f>
        <v/>
      </c>
      <c r="G307" s="62">
        <f>IFERROR((D307-$C$24)/$C$25,"")</f>
        <v/>
      </c>
      <c r="H307" s="25">
        <f>IFERROR(D333-D307,"")</f>
        <v/>
      </c>
      <c r="I307" s="25">
        <f>IFERROR(D307-D303,"")</f>
        <v/>
      </c>
      <c r="J307" s="25">
        <f>IFERROR(D307-D294,"")</f>
        <v/>
      </c>
      <c r="K307">
        <f>IF(A307="","",$C$24)</f>
        <v/>
      </c>
      <c r="L307">
        <f>IF(A307="","",$C$24-$C$25)</f>
        <v/>
      </c>
      <c r="M307">
        <f>IF(A307="","",$C$24+$C$25)</f>
        <v/>
      </c>
    </row>
    <row r="308">
      <c r="A308" s="23">
        <f>IFERROR(INDEX($R$108:$R$388,ROW()-107),"")</f>
        <v/>
      </c>
      <c r="B308">
        <f>IFERROR(INDEX($S$108:$S$388,ROW()-107),"")</f>
        <v/>
      </c>
      <c r="C308">
        <f>IFERROR(INDEX($W$108:$W$388,ROW()-107),"")</f>
        <v/>
      </c>
      <c r="D308" s="25">
        <f>IFERROR((C308-B308)*100,"")</f>
        <v/>
      </c>
      <c r="E308" s="25">
        <f>IFERROR(D308-D307,"")</f>
        <v/>
      </c>
      <c r="F308" s="25">
        <f>IFERROR(D307,"")</f>
        <v/>
      </c>
      <c r="G308" s="62">
        <f>IFERROR((D308-$C$24)/$C$25,"")</f>
        <v/>
      </c>
      <c r="H308" s="25">
        <f>IFERROR(D334-D308,"")</f>
        <v/>
      </c>
      <c r="I308" s="25">
        <f>IFERROR(D308-D304,"")</f>
        <v/>
      </c>
      <c r="J308" s="25">
        <f>IFERROR(D308-D295,"")</f>
        <v/>
      </c>
      <c r="K308">
        <f>IF(A308="","",$C$24)</f>
        <v/>
      </c>
      <c r="L308">
        <f>IF(A308="","",$C$24-$C$25)</f>
        <v/>
      </c>
      <c r="M308">
        <f>IF(A308="","",$C$24+$C$25)</f>
        <v/>
      </c>
    </row>
    <row r="309">
      <c r="A309" s="23">
        <f>IFERROR(INDEX($R$108:$R$388,ROW()-107),"")</f>
        <v/>
      </c>
      <c r="B309">
        <f>IFERROR(INDEX($S$108:$S$388,ROW()-107),"")</f>
        <v/>
      </c>
      <c r="C309">
        <f>IFERROR(INDEX($W$108:$W$388,ROW()-107),"")</f>
        <v/>
      </c>
      <c r="D309" s="25">
        <f>IFERROR((C309-B309)*100,"")</f>
        <v/>
      </c>
      <c r="E309" s="25">
        <f>IFERROR(D309-D308,"")</f>
        <v/>
      </c>
      <c r="F309" s="25">
        <f>IFERROR(D308,"")</f>
        <v/>
      </c>
      <c r="G309" s="62">
        <f>IFERROR((D309-$C$24)/$C$25,"")</f>
        <v/>
      </c>
      <c r="H309" s="25">
        <f>IFERROR(D335-D309,"")</f>
        <v/>
      </c>
      <c r="I309" s="25">
        <f>IFERROR(D309-D305,"")</f>
        <v/>
      </c>
      <c r="J309" s="25">
        <f>IFERROR(D309-D296,"")</f>
        <v/>
      </c>
      <c r="K309">
        <f>IF(A309="","",$C$24)</f>
        <v/>
      </c>
      <c r="L309">
        <f>IF(A309="","",$C$24-$C$25)</f>
        <v/>
      </c>
      <c r="M309">
        <f>IF(A309="","",$C$24+$C$25)</f>
        <v/>
      </c>
    </row>
    <row r="310">
      <c r="A310" s="23">
        <f>IFERROR(INDEX($R$108:$R$388,ROW()-107),"")</f>
        <v/>
      </c>
      <c r="B310">
        <f>IFERROR(INDEX($S$108:$S$388,ROW()-107),"")</f>
        <v/>
      </c>
      <c r="C310">
        <f>IFERROR(INDEX($W$108:$W$388,ROW()-107),"")</f>
        <v/>
      </c>
      <c r="D310" s="25">
        <f>IFERROR((C310-B310)*100,"")</f>
        <v/>
      </c>
      <c r="E310" s="25">
        <f>IFERROR(D310-D309,"")</f>
        <v/>
      </c>
      <c r="F310" s="25">
        <f>IFERROR(D309,"")</f>
        <v/>
      </c>
      <c r="G310" s="62">
        <f>IFERROR((D310-$C$24)/$C$25,"")</f>
        <v/>
      </c>
      <c r="H310" s="25">
        <f>IFERROR(D336-D310,"")</f>
        <v/>
      </c>
      <c r="I310" s="25">
        <f>IFERROR(D310-D306,"")</f>
        <v/>
      </c>
      <c r="J310" s="25">
        <f>IFERROR(D310-D297,"")</f>
        <v/>
      </c>
      <c r="K310">
        <f>IF(A310="","",$C$24)</f>
        <v/>
      </c>
      <c r="L310">
        <f>IF(A310="","",$C$24-$C$25)</f>
        <v/>
      </c>
      <c r="M310">
        <f>IF(A310="","",$C$24+$C$25)</f>
        <v/>
      </c>
    </row>
    <row r="311">
      <c r="A311" s="23">
        <f>IFERROR(INDEX($R$108:$R$388,ROW()-107),"")</f>
        <v/>
      </c>
      <c r="B311">
        <f>IFERROR(INDEX($S$108:$S$388,ROW()-107),"")</f>
        <v/>
      </c>
      <c r="C311">
        <f>IFERROR(INDEX($W$108:$W$388,ROW()-107),"")</f>
        <v/>
      </c>
      <c r="D311" s="25">
        <f>IFERROR((C311-B311)*100,"")</f>
        <v/>
      </c>
      <c r="E311" s="25">
        <f>IFERROR(D311-D310,"")</f>
        <v/>
      </c>
      <c r="F311" s="25">
        <f>IFERROR(D310,"")</f>
        <v/>
      </c>
      <c r="G311" s="62">
        <f>IFERROR((D311-$C$24)/$C$25,"")</f>
        <v/>
      </c>
      <c r="H311" s="25">
        <f>IFERROR(D337-D311,"")</f>
        <v/>
      </c>
      <c r="I311" s="25">
        <f>IFERROR(D311-D307,"")</f>
        <v/>
      </c>
      <c r="J311" s="25">
        <f>IFERROR(D311-D298,"")</f>
        <v/>
      </c>
      <c r="K311">
        <f>IF(A311="","",$C$24)</f>
        <v/>
      </c>
      <c r="L311">
        <f>IF(A311="","",$C$24-$C$25)</f>
        <v/>
      </c>
      <c r="M311">
        <f>IF(A311="","",$C$24+$C$25)</f>
        <v/>
      </c>
    </row>
    <row r="312">
      <c r="A312" s="23">
        <f>IFERROR(INDEX($R$108:$R$388,ROW()-107),"")</f>
        <v/>
      </c>
      <c r="B312">
        <f>IFERROR(INDEX($S$108:$S$388,ROW()-107),"")</f>
        <v/>
      </c>
      <c r="C312">
        <f>IFERROR(INDEX($W$108:$W$388,ROW()-107),"")</f>
        <v/>
      </c>
      <c r="D312" s="25">
        <f>IFERROR((C312-B312)*100,"")</f>
        <v/>
      </c>
      <c r="E312" s="25">
        <f>IFERROR(D312-D311,"")</f>
        <v/>
      </c>
      <c r="F312" s="25">
        <f>IFERROR(D311,"")</f>
        <v/>
      </c>
      <c r="G312" s="62">
        <f>IFERROR((D312-$C$24)/$C$25,"")</f>
        <v/>
      </c>
      <c r="H312" s="25">
        <f>IFERROR(D338-D312,"")</f>
        <v/>
      </c>
      <c r="I312" s="25">
        <f>IFERROR(D312-D308,"")</f>
        <v/>
      </c>
      <c r="J312" s="25">
        <f>IFERROR(D312-D299,"")</f>
        <v/>
      </c>
      <c r="K312">
        <f>IF(A312="","",$C$24)</f>
        <v/>
      </c>
      <c r="L312">
        <f>IF(A312="","",$C$24-$C$25)</f>
        <v/>
      </c>
      <c r="M312">
        <f>IF(A312="","",$C$24+$C$25)</f>
        <v/>
      </c>
    </row>
    <row r="313">
      <c r="A313" s="23">
        <f>IFERROR(INDEX($R$108:$R$388,ROW()-107),"")</f>
        <v/>
      </c>
      <c r="B313">
        <f>IFERROR(INDEX($S$108:$S$388,ROW()-107),"")</f>
        <v/>
      </c>
      <c r="C313">
        <f>IFERROR(INDEX($W$108:$W$388,ROW()-107),"")</f>
        <v/>
      </c>
      <c r="D313" s="25">
        <f>IFERROR((C313-B313)*100,"")</f>
        <v/>
      </c>
      <c r="E313" s="25">
        <f>IFERROR(D313-D312,"")</f>
        <v/>
      </c>
      <c r="F313" s="25">
        <f>IFERROR(D312,"")</f>
        <v/>
      </c>
      <c r="G313" s="62">
        <f>IFERROR((D313-$C$24)/$C$25,"")</f>
        <v/>
      </c>
      <c r="H313" s="25">
        <f>IFERROR(D339-D313,"")</f>
        <v/>
      </c>
      <c r="I313" s="25">
        <f>IFERROR(D313-D309,"")</f>
        <v/>
      </c>
      <c r="J313" s="25">
        <f>IFERROR(D313-D300,"")</f>
        <v/>
      </c>
      <c r="K313">
        <f>IF(A313="","",$C$24)</f>
        <v/>
      </c>
      <c r="L313">
        <f>IF(A313="","",$C$24-$C$25)</f>
        <v/>
      </c>
      <c r="M313">
        <f>IF(A313="","",$C$24+$C$25)</f>
        <v/>
      </c>
    </row>
    <row r="314">
      <c r="A314" s="23">
        <f>IFERROR(INDEX($R$108:$R$388,ROW()-107),"")</f>
        <v/>
      </c>
      <c r="B314">
        <f>IFERROR(INDEX($S$108:$S$388,ROW()-107),"")</f>
        <v/>
      </c>
      <c r="C314">
        <f>IFERROR(INDEX($W$108:$W$388,ROW()-107),"")</f>
        <v/>
      </c>
      <c r="D314" s="25">
        <f>IFERROR((C314-B314)*100,"")</f>
        <v/>
      </c>
      <c r="E314" s="25">
        <f>IFERROR(D314-D313,"")</f>
        <v/>
      </c>
      <c r="F314" s="25">
        <f>IFERROR(D313,"")</f>
        <v/>
      </c>
      <c r="G314" s="62">
        <f>IFERROR((D314-$C$24)/$C$25,"")</f>
        <v/>
      </c>
      <c r="H314" s="25">
        <f>IFERROR(D340-D314,"")</f>
        <v/>
      </c>
      <c r="I314" s="25">
        <f>IFERROR(D314-D310,"")</f>
        <v/>
      </c>
      <c r="J314" s="25">
        <f>IFERROR(D314-D301,"")</f>
        <v/>
      </c>
      <c r="K314">
        <f>IF(A314="","",$C$24)</f>
        <v/>
      </c>
      <c r="L314">
        <f>IF(A314="","",$C$24-$C$25)</f>
        <v/>
      </c>
      <c r="M314">
        <f>IF(A314="","",$C$24+$C$25)</f>
        <v/>
      </c>
    </row>
    <row r="315">
      <c r="A315" s="23">
        <f>IFERROR(INDEX($R$108:$R$388,ROW()-107),"")</f>
        <v/>
      </c>
      <c r="B315">
        <f>IFERROR(INDEX($S$108:$S$388,ROW()-107),"")</f>
        <v/>
      </c>
      <c r="C315">
        <f>IFERROR(INDEX($W$108:$W$388,ROW()-107),"")</f>
        <v/>
      </c>
      <c r="D315" s="25">
        <f>IFERROR((C315-B315)*100,"")</f>
        <v/>
      </c>
      <c r="E315" s="25">
        <f>IFERROR(D315-D314,"")</f>
        <v/>
      </c>
      <c r="F315" s="25">
        <f>IFERROR(D314,"")</f>
        <v/>
      </c>
      <c r="G315" s="62">
        <f>IFERROR((D315-$C$24)/$C$25,"")</f>
        <v/>
      </c>
      <c r="H315" s="25">
        <f>IFERROR(D341-D315,"")</f>
        <v/>
      </c>
      <c r="I315" s="25">
        <f>IFERROR(D315-D311,"")</f>
        <v/>
      </c>
      <c r="J315" s="25">
        <f>IFERROR(D315-D302,"")</f>
        <v/>
      </c>
      <c r="K315">
        <f>IF(A315="","",$C$24)</f>
        <v/>
      </c>
      <c r="L315">
        <f>IF(A315="","",$C$24-$C$25)</f>
        <v/>
      </c>
      <c r="M315">
        <f>IF(A315="","",$C$24+$C$25)</f>
        <v/>
      </c>
    </row>
    <row r="316">
      <c r="A316" s="23">
        <f>IFERROR(INDEX($R$108:$R$388,ROW()-107),"")</f>
        <v/>
      </c>
      <c r="B316">
        <f>IFERROR(INDEX($S$108:$S$388,ROW()-107),"")</f>
        <v/>
      </c>
      <c r="C316">
        <f>IFERROR(INDEX($W$108:$W$388,ROW()-107),"")</f>
        <v/>
      </c>
      <c r="D316" s="25">
        <f>IFERROR((C316-B316)*100,"")</f>
        <v/>
      </c>
      <c r="E316" s="25">
        <f>IFERROR(D316-D315,"")</f>
        <v/>
      </c>
      <c r="F316" s="25">
        <f>IFERROR(D315,"")</f>
        <v/>
      </c>
      <c r="G316" s="62">
        <f>IFERROR((D316-$C$24)/$C$25,"")</f>
        <v/>
      </c>
      <c r="H316" s="25">
        <f>IFERROR(D342-D316,"")</f>
        <v/>
      </c>
      <c r="I316" s="25">
        <f>IFERROR(D316-D312,"")</f>
        <v/>
      </c>
      <c r="J316" s="25">
        <f>IFERROR(D316-D303,"")</f>
        <v/>
      </c>
      <c r="K316">
        <f>IF(A316="","",$C$24)</f>
        <v/>
      </c>
      <c r="L316">
        <f>IF(A316="","",$C$24-$C$25)</f>
        <v/>
      </c>
      <c r="M316">
        <f>IF(A316="","",$C$24+$C$25)</f>
        <v/>
      </c>
    </row>
    <row r="317">
      <c r="A317" s="23">
        <f>IFERROR(INDEX($R$108:$R$388,ROW()-107),"")</f>
        <v/>
      </c>
      <c r="B317">
        <f>IFERROR(INDEX($S$108:$S$388,ROW()-107),"")</f>
        <v/>
      </c>
      <c r="C317">
        <f>IFERROR(INDEX($W$108:$W$388,ROW()-107),"")</f>
        <v/>
      </c>
      <c r="D317" s="25">
        <f>IFERROR((C317-B317)*100,"")</f>
        <v/>
      </c>
      <c r="E317" s="25">
        <f>IFERROR(D317-D316,"")</f>
        <v/>
      </c>
      <c r="F317" s="25">
        <f>IFERROR(D316,"")</f>
        <v/>
      </c>
      <c r="G317" s="62">
        <f>IFERROR((D317-$C$24)/$C$25,"")</f>
        <v/>
      </c>
      <c r="H317" s="25">
        <f>IFERROR(D343-D317,"")</f>
        <v/>
      </c>
      <c r="I317" s="25">
        <f>IFERROR(D317-D313,"")</f>
        <v/>
      </c>
      <c r="J317" s="25">
        <f>IFERROR(D317-D304,"")</f>
        <v/>
      </c>
      <c r="K317">
        <f>IF(A317="","",$C$24)</f>
        <v/>
      </c>
      <c r="L317">
        <f>IF(A317="","",$C$24-$C$25)</f>
        <v/>
      </c>
      <c r="M317">
        <f>IF(A317="","",$C$24+$C$25)</f>
        <v/>
      </c>
    </row>
    <row r="318">
      <c r="A318" s="23">
        <f>IFERROR(INDEX($R$108:$R$388,ROW()-107),"")</f>
        <v/>
      </c>
      <c r="B318">
        <f>IFERROR(INDEX($S$108:$S$388,ROW()-107),"")</f>
        <v/>
      </c>
      <c r="C318">
        <f>IFERROR(INDEX($W$108:$W$388,ROW()-107),"")</f>
        <v/>
      </c>
      <c r="D318" s="25">
        <f>IFERROR((C318-B318)*100,"")</f>
        <v/>
      </c>
      <c r="E318" s="25">
        <f>IFERROR(D318-D317,"")</f>
        <v/>
      </c>
      <c r="F318" s="25">
        <f>IFERROR(D317,"")</f>
        <v/>
      </c>
      <c r="G318" s="62">
        <f>IFERROR((D318-$C$24)/$C$25,"")</f>
        <v/>
      </c>
      <c r="H318" s="25">
        <f>IFERROR(D344-D318,"")</f>
        <v/>
      </c>
      <c r="I318" s="25">
        <f>IFERROR(D318-D314,"")</f>
        <v/>
      </c>
      <c r="J318" s="25">
        <f>IFERROR(D318-D305,"")</f>
        <v/>
      </c>
      <c r="K318">
        <f>IF(A318="","",$C$24)</f>
        <v/>
      </c>
      <c r="L318">
        <f>IF(A318="","",$C$24-$C$25)</f>
        <v/>
      </c>
      <c r="M318">
        <f>IF(A318="","",$C$24+$C$25)</f>
        <v/>
      </c>
    </row>
    <row r="319">
      <c r="A319" s="23">
        <f>IFERROR(INDEX($R$108:$R$388,ROW()-107),"")</f>
        <v/>
      </c>
      <c r="B319">
        <f>IFERROR(INDEX($S$108:$S$388,ROW()-107),"")</f>
        <v/>
      </c>
      <c r="C319">
        <f>IFERROR(INDEX($W$108:$W$388,ROW()-107),"")</f>
        <v/>
      </c>
      <c r="D319" s="25">
        <f>IFERROR((C319-B319)*100,"")</f>
        <v/>
      </c>
      <c r="E319" s="25">
        <f>IFERROR(D319-D318,"")</f>
        <v/>
      </c>
      <c r="F319" s="25">
        <f>IFERROR(D318,"")</f>
        <v/>
      </c>
      <c r="G319" s="62">
        <f>IFERROR((D319-$C$24)/$C$25,"")</f>
        <v/>
      </c>
      <c r="H319" s="25">
        <f>IFERROR(D345-D319,"")</f>
        <v/>
      </c>
      <c r="I319" s="25">
        <f>IFERROR(D319-D315,"")</f>
        <v/>
      </c>
      <c r="J319" s="25">
        <f>IFERROR(D319-D306,"")</f>
        <v/>
      </c>
      <c r="K319">
        <f>IF(A319="","",$C$24)</f>
        <v/>
      </c>
      <c r="L319">
        <f>IF(A319="","",$C$24-$C$25)</f>
        <v/>
      </c>
      <c r="M319">
        <f>IF(A319="","",$C$24+$C$25)</f>
        <v/>
      </c>
    </row>
    <row r="320">
      <c r="A320" s="23">
        <f>IFERROR(INDEX($R$108:$R$388,ROW()-107),"")</f>
        <v/>
      </c>
      <c r="B320">
        <f>IFERROR(INDEX($S$108:$S$388,ROW()-107),"")</f>
        <v/>
      </c>
      <c r="C320">
        <f>IFERROR(INDEX($W$108:$W$388,ROW()-107),"")</f>
        <v/>
      </c>
      <c r="D320" s="25">
        <f>IFERROR((C320-B320)*100,"")</f>
        <v/>
      </c>
      <c r="E320" s="25">
        <f>IFERROR(D320-D319,"")</f>
        <v/>
      </c>
      <c r="F320" s="25">
        <f>IFERROR(D319,"")</f>
        <v/>
      </c>
      <c r="G320" s="62">
        <f>IFERROR((D320-$C$24)/$C$25,"")</f>
        <v/>
      </c>
      <c r="H320" s="25">
        <f>IFERROR(D346-D320,"")</f>
        <v/>
      </c>
      <c r="I320" s="25">
        <f>IFERROR(D320-D316,"")</f>
        <v/>
      </c>
      <c r="J320" s="25">
        <f>IFERROR(D320-D307,"")</f>
        <v/>
      </c>
      <c r="K320">
        <f>IF(A320="","",$C$24)</f>
        <v/>
      </c>
      <c r="L320">
        <f>IF(A320="","",$C$24-$C$25)</f>
        <v/>
      </c>
      <c r="M320">
        <f>IF(A320="","",$C$24+$C$25)</f>
        <v/>
      </c>
    </row>
    <row r="321">
      <c r="A321" s="23">
        <f>IFERROR(INDEX($R$108:$R$388,ROW()-107),"")</f>
        <v/>
      </c>
      <c r="B321">
        <f>IFERROR(INDEX($S$108:$S$388,ROW()-107),"")</f>
        <v/>
      </c>
      <c r="C321">
        <f>IFERROR(INDEX($W$108:$W$388,ROW()-107),"")</f>
        <v/>
      </c>
      <c r="D321" s="25">
        <f>IFERROR((C321-B321)*100,"")</f>
        <v/>
      </c>
      <c r="E321" s="25">
        <f>IFERROR(D321-D320,"")</f>
        <v/>
      </c>
      <c r="F321" s="25">
        <f>IFERROR(D320,"")</f>
        <v/>
      </c>
      <c r="G321" s="62">
        <f>IFERROR((D321-$C$24)/$C$25,"")</f>
        <v/>
      </c>
      <c r="H321" s="25">
        <f>IFERROR(D347-D321,"")</f>
        <v/>
      </c>
      <c r="I321" s="25">
        <f>IFERROR(D321-D317,"")</f>
        <v/>
      </c>
      <c r="J321" s="25">
        <f>IFERROR(D321-D308,"")</f>
        <v/>
      </c>
      <c r="K321">
        <f>IF(A321="","",$C$24)</f>
        <v/>
      </c>
      <c r="L321">
        <f>IF(A321="","",$C$24-$C$25)</f>
        <v/>
      </c>
      <c r="M321">
        <f>IF(A321="","",$C$24+$C$25)</f>
        <v/>
      </c>
    </row>
    <row r="322">
      <c r="A322" s="23">
        <f>IFERROR(INDEX($R$108:$R$388,ROW()-107),"")</f>
        <v/>
      </c>
      <c r="B322">
        <f>IFERROR(INDEX($S$108:$S$388,ROW()-107),"")</f>
        <v/>
      </c>
      <c r="C322">
        <f>IFERROR(INDEX($W$108:$W$388,ROW()-107),"")</f>
        <v/>
      </c>
      <c r="D322" s="25">
        <f>IFERROR((C322-B322)*100,"")</f>
        <v/>
      </c>
      <c r="E322" s="25">
        <f>IFERROR(D322-D321,"")</f>
        <v/>
      </c>
      <c r="F322" s="25">
        <f>IFERROR(D321,"")</f>
        <v/>
      </c>
      <c r="G322" s="62">
        <f>IFERROR((D322-$C$24)/$C$25,"")</f>
        <v/>
      </c>
      <c r="H322" s="25">
        <f>IFERROR(D348-D322,"")</f>
        <v/>
      </c>
      <c r="I322" s="25">
        <f>IFERROR(D322-D318,"")</f>
        <v/>
      </c>
      <c r="J322" s="25">
        <f>IFERROR(D322-D309,"")</f>
        <v/>
      </c>
      <c r="K322">
        <f>IF(A322="","",$C$24)</f>
        <v/>
      </c>
      <c r="L322">
        <f>IF(A322="","",$C$24-$C$25)</f>
        <v/>
      </c>
      <c r="M322">
        <f>IF(A322="","",$C$24+$C$25)</f>
        <v/>
      </c>
    </row>
    <row r="323">
      <c r="A323" s="23">
        <f>IFERROR(INDEX($R$108:$R$388,ROW()-107),"")</f>
        <v/>
      </c>
      <c r="B323">
        <f>IFERROR(INDEX($S$108:$S$388,ROW()-107),"")</f>
        <v/>
      </c>
      <c r="C323">
        <f>IFERROR(INDEX($W$108:$W$388,ROW()-107),"")</f>
        <v/>
      </c>
      <c r="D323" s="25">
        <f>IFERROR((C323-B323)*100,"")</f>
        <v/>
      </c>
      <c r="E323" s="25">
        <f>IFERROR(D323-D322,"")</f>
        <v/>
      </c>
      <c r="F323" s="25">
        <f>IFERROR(D322,"")</f>
        <v/>
      </c>
      <c r="G323" s="62">
        <f>IFERROR((D323-$C$24)/$C$25,"")</f>
        <v/>
      </c>
      <c r="H323" s="25">
        <f>IFERROR(D349-D323,"")</f>
        <v/>
      </c>
      <c r="I323" s="25">
        <f>IFERROR(D323-D319,"")</f>
        <v/>
      </c>
      <c r="J323" s="25">
        <f>IFERROR(D323-D310,"")</f>
        <v/>
      </c>
      <c r="K323">
        <f>IF(A323="","",$C$24)</f>
        <v/>
      </c>
      <c r="L323">
        <f>IF(A323="","",$C$24-$C$25)</f>
        <v/>
      </c>
      <c r="M323">
        <f>IF(A323="","",$C$24+$C$25)</f>
        <v/>
      </c>
    </row>
    <row r="324">
      <c r="A324" s="23">
        <f>IFERROR(INDEX($R$108:$R$388,ROW()-107),"")</f>
        <v/>
      </c>
      <c r="B324">
        <f>IFERROR(INDEX($S$108:$S$388,ROW()-107),"")</f>
        <v/>
      </c>
      <c r="C324">
        <f>IFERROR(INDEX($W$108:$W$388,ROW()-107),"")</f>
        <v/>
      </c>
      <c r="D324" s="25">
        <f>IFERROR((C324-B324)*100,"")</f>
        <v/>
      </c>
      <c r="E324" s="25">
        <f>IFERROR(D324-D323,"")</f>
        <v/>
      </c>
      <c r="F324" s="25">
        <f>IFERROR(D323,"")</f>
        <v/>
      </c>
      <c r="G324" s="62">
        <f>IFERROR((D324-$C$24)/$C$25,"")</f>
        <v/>
      </c>
      <c r="H324" s="25">
        <f>IFERROR(D350-D324,"")</f>
        <v/>
      </c>
      <c r="I324" s="25">
        <f>IFERROR(D324-D320,"")</f>
        <v/>
      </c>
      <c r="J324" s="25">
        <f>IFERROR(D324-D311,"")</f>
        <v/>
      </c>
      <c r="K324">
        <f>IF(A324="","",$C$24)</f>
        <v/>
      </c>
      <c r="L324">
        <f>IF(A324="","",$C$24-$C$25)</f>
        <v/>
      </c>
      <c r="M324">
        <f>IF(A324="","",$C$24+$C$25)</f>
        <v/>
      </c>
    </row>
    <row r="325">
      <c r="A325" s="23">
        <f>IFERROR(INDEX($R$108:$R$388,ROW()-107),"")</f>
        <v/>
      </c>
      <c r="B325">
        <f>IFERROR(INDEX($S$108:$S$388,ROW()-107),"")</f>
        <v/>
      </c>
      <c r="C325">
        <f>IFERROR(INDEX($W$108:$W$388,ROW()-107),"")</f>
        <v/>
      </c>
      <c r="D325" s="25">
        <f>IFERROR((C325-B325)*100,"")</f>
        <v/>
      </c>
      <c r="E325" s="25">
        <f>IFERROR(D325-D324,"")</f>
        <v/>
      </c>
      <c r="F325" s="25">
        <f>IFERROR(D324,"")</f>
        <v/>
      </c>
      <c r="G325" s="62">
        <f>IFERROR((D325-$C$24)/$C$25,"")</f>
        <v/>
      </c>
      <c r="H325" s="25">
        <f>IFERROR(D351-D325,"")</f>
        <v/>
      </c>
      <c r="I325" s="25">
        <f>IFERROR(D325-D321,"")</f>
        <v/>
      </c>
      <c r="J325" s="25">
        <f>IFERROR(D325-D312,"")</f>
        <v/>
      </c>
      <c r="K325">
        <f>IF(A325="","",$C$24)</f>
        <v/>
      </c>
      <c r="L325">
        <f>IF(A325="","",$C$24-$C$25)</f>
        <v/>
      </c>
      <c r="M325">
        <f>IF(A325="","",$C$24+$C$25)</f>
        <v/>
      </c>
    </row>
    <row r="326">
      <c r="A326" s="23">
        <f>IFERROR(INDEX($R$108:$R$388,ROW()-107),"")</f>
        <v/>
      </c>
      <c r="B326">
        <f>IFERROR(INDEX($S$108:$S$388,ROW()-107),"")</f>
        <v/>
      </c>
      <c r="C326">
        <f>IFERROR(INDEX($W$108:$W$388,ROW()-107),"")</f>
        <v/>
      </c>
      <c r="D326" s="25">
        <f>IFERROR((C326-B326)*100,"")</f>
        <v/>
      </c>
      <c r="E326" s="25">
        <f>IFERROR(D326-D325,"")</f>
        <v/>
      </c>
      <c r="F326" s="25">
        <f>IFERROR(D325,"")</f>
        <v/>
      </c>
      <c r="G326" s="62">
        <f>IFERROR((D326-$C$24)/$C$25,"")</f>
        <v/>
      </c>
      <c r="H326" s="25">
        <f>IFERROR(D352-D326,"")</f>
        <v/>
      </c>
      <c r="I326" s="25">
        <f>IFERROR(D326-D322,"")</f>
        <v/>
      </c>
      <c r="J326" s="25">
        <f>IFERROR(D326-D313,"")</f>
        <v/>
      </c>
      <c r="K326">
        <f>IF(A326="","",$C$24)</f>
        <v/>
      </c>
      <c r="L326">
        <f>IF(A326="","",$C$24-$C$25)</f>
        <v/>
      </c>
      <c r="M326">
        <f>IF(A326="","",$C$24+$C$25)</f>
        <v/>
      </c>
    </row>
    <row r="327">
      <c r="A327" s="23">
        <f>IFERROR(INDEX($R$108:$R$388,ROW()-107),"")</f>
        <v/>
      </c>
      <c r="B327">
        <f>IFERROR(INDEX($S$108:$S$388,ROW()-107),"")</f>
        <v/>
      </c>
      <c r="C327">
        <f>IFERROR(INDEX($W$108:$W$388,ROW()-107),"")</f>
        <v/>
      </c>
      <c r="D327" s="25">
        <f>IFERROR((C327-B327)*100,"")</f>
        <v/>
      </c>
      <c r="E327" s="25">
        <f>IFERROR(D327-D326,"")</f>
        <v/>
      </c>
      <c r="F327" s="25">
        <f>IFERROR(D326,"")</f>
        <v/>
      </c>
      <c r="G327" s="62">
        <f>IFERROR((D327-$C$24)/$C$25,"")</f>
        <v/>
      </c>
      <c r="H327" s="25">
        <f>IFERROR(D353-D327,"")</f>
        <v/>
      </c>
      <c r="I327" s="25">
        <f>IFERROR(D327-D323,"")</f>
        <v/>
      </c>
      <c r="J327" s="25">
        <f>IFERROR(D327-D314,"")</f>
        <v/>
      </c>
      <c r="K327">
        <f>IF(A327="","",$C$24)</f>
        <v/>
      </c>
      <c r="L327">
        <f>IF(A327="","",$C$24-$C$25)</f>
        <v/>
      </c>
      <c r="M327">
        <f>IF(A327="","",$C$24+$C$25)</f>
        <v/>
      </c>
    </row>
    <row r="328">
      <c r="A328" s="23">
        <f>IFERROR(INDEX($R$108:$R$388,ROW()-107),"")</f>
        <v/>
      </c>
      <c r="B328">
        <f>IFERROR(INDEX($S$108:$S$388,ROW()-107),"")</f>
        <v/>
      </c>
      <c r="C328">
        <f>IFERROR(INDEX($W$108:$W$388,ROW()-107),"")</f>
        <v/>
      </c>
      <c r="D328" s="25">
        <f>IFERROR((C328-B328)*100,"")</f>
        <v/>
      </c>
      <c r="E328" s="25">
        <f>IFERROR(D328-D327,"")</f>
        <v/>
      </c>
      <c r="F328" s="25">
        <f>IFERROR(D327,"")</f>
        <v/>
      </c>
      <c r="G328" s="62">
        <f>IFERROR((D328-$C$24)/$C$25,"")</f>
        <v/>
      </c>
      <c r="H328" s="25">
        <f>IFERROR(D354-D328,"")</f>
        <v/>
      </c>
      <c r="I328" s="25">
        <f>IFERROR(D328-D324,"")</f>
        <v/>
      </c>
      <c r="J328" s="25">
        <f>IFERROR(D328-D315,"")</f>
        <v/>
      </c>
      <c r="K328">
        <f>IF(A328="","",$C$24)</f>
        <v/>
      </c>
      <c r="L328">
        <f>IF(A328="","",$C$24-$C$25)</f>
        <v/>
      </c>
      <c r="M328">
        <f>IF(A328="","",$C$24+$C$25)</f>
        <v/>
      </c>
    </row>
    <row r="329">
      <c r="A329" s="23">
        <f>IFERROR(INDEX($R$108:$R$388,ROW()-107),"")</f>
        <v/>
      </c>
      <c r="B329">
        <f>IFERROR(INDEX($S$108:$S$388,ROW()-107),"")</f>
        <v/>
      </c>
      <c r="C329">
        <f>IFERROR(INDEX($W$108:$W$388,ROW()-107),"")</f>
        <v/>
      </c>
      <c r="D329" s="25">
        <f>IFERROR((C329-B329)*100,"")</f>
        <v/>
      </c>
      <c r="E329" s="25">
        <f>IFERROR(D329-D328,"")</f>
        <v/>
      </c>
      <c r="F329" s="25">
        <f>IFERROR(D328,"")</f>
        <v/>
      </c>
      <c r="G329" s="62">
        <f>IFERROR((D329-$C$24)/$C$25,"")</f>
        <v/>
      </c>
      <c r="H329" s="25">
        <f>IFERROR(D355-D329,"")</f>
        <v/>
      </c>
      <c r="I329" s="25">
        <f>IFERROR(D329-D325,"")</f>
        <v/>
      </c>
      <c r="J329" s="25">
        <f>IFERROR(D329-D316,"")</f>
        <v/>
      </c>
      <c r="K329">
        <f>IF(A329="","",$C$24)</f>
        <v/>
      </c>
      <c r="L329">
        <f>IF(A329="","",$C$24-$C$25)</f>
        <v/>
      </c>
      <c r="M329">
        <f>IF(A329="","",$C$24+$C$25)</f>
        <v/>
      </c>
    </row>
    <row r="330">
      <c r="A330" s="23">
        <f>IFERROR(INDEX($R$108:$R$388,ROW()-107),"")</f>
        <v/>
      </c>
      <c r="B330">
        <f>IFERROR(INDEX($S$108:$S$388,ROW()-107),"")</f>
        <v/>
      </c>
      <c r="C330">
        <f>IFERROR(INDEX($W$108:$W$388,ROW()-107),"")</f>
        <v/>
      </c>
      <c r="D330" s="25">
        <f>IFERROR((C330-B330)*100,"")</f>
        <v/>
      </c>
      <c r="E330" s="25">
        <f>IFERROR(D330-D329,"")</f>
        <v/>
      </c>
      <c r="F330" s="25">
        <f>IFERROR(D329,"")</f>
        <v/>
      </c>
      <c r="G330" s="62">
        <f>IFERROR((D330-$C$24)/$C$25,"")</f>
        <v/>
      </c>
      <c r="H330" s="25">
        <f>IFERROR(D356-D330,"")</f>
        <v/>
      </c>
      <c r="I330" s="25">
        <f>IFERROR(D330-D326,"")</f>
        <v/>
      </c>
      <c r="J330" s="25">
        <f>IFERROR(D330-D317,"")</f>
        <v/>
      </c>
      <c r="K330">
        <f>IF(A330="","",$C$24)</f>
        <v/>
      </c>
      <c r="L330">
        <f>IF(A330="","",$C$24-$C$25)</f>
        <v/>
      </c>
      <c r="M330">
        <f>IF(A330="","",$C$24+$C$25)</f>
        <v/>
      </c>
    </row>
    <row r="331">
      <c r="A331" s="23">
        <f>IFERROR(INDEX($R$108:$R$388,ROW()-107),"")</f>
        <v/>
      </c>
      <c r="B331">
        <f>IFERROR(INDEX($S$108:$S$388,ROW()-107),"")</f>
        <v/>
      </c>
      <c r="C331">
        <f>IFERROR(INDEX($W$108:$W$388,ROW()-107),"")</f>
        <v/>
      </c>
      <c r="D331" s="25">
        <f>IFERROR((C331-B331)*100,"")</f>
        <v/>
      </c>
      <c r="E331" s="25">
        <f>IFERROR(D331-D330,"")</f>
        <v/>
      </c>
      <c r="F331" s="25">
        <f>IFERROR(D330,"")</f>
        <v/>
      </c>
      <c r="G331" s="62">
        <f>IFERROR((D331-$C$24)/$C$25,"")</f>
        <v/>
      </c>
      <c r="H331" s="25">
        <f>IFERROR(D357-D331,"")</f>
        <v/>
      </c>
      <c r="I331" s="25">
        <f>IFERROR(D331-D327,"")</f>
        <v/>
      </c>
      <c r="J331" s="25">
        <f>IFERROR(D331-D318,"")</f>
        <v/>
      </c>
      <c r="K331">
        <f>IF(A331="","",$C$24)</f>
        <v/>
      </c>
      <c r="L331">
        <f>IF(A331="","",$C$24-$C$25)</f>
        <v/>
      </c>
      <c r="M331">
        <f>IF(A331="","",$C$24+$C$25)</f>
        <v/>
      </c>
    </row>
    <row r="332">
      <c r="A332" s="23">
        <f>IFERROR(INDEX($R$108:$R$388,ROW()-107),"")</f>
        <v/>
      </c>
      <c r="B332">
        <f>IFERROR(INDEX($S$108:$S$388,ROW()-107),"")</f>
        <v/>
      </c>
      <c r="C332">
        <f>IFERROR(INDEX($W$108:$W$388,ROW()-107),"")</f>
        <v/>
      </c>
      <c r="D332" s="25">
        <f>IFERROR((C332-B332)*100,"")</f>
        <v/>
      </c>
      <c r="E332" s="25">
        <f>IFERROR(D332-D331,"")</f>
        <v/>
      </c>
      <c r="F332" s="25">
        <f>IFERROR(D331,"")</f>
        <v/>
      </c>
      <c r="G332" s="62">
        <f>IFERROR((D332-$C$24)/$C$25,"")</f>
        <v/>
      </c>
      <c r="H332" s="25">
        <f>IFERROR(D358-D332,"")</f>
        <v/>
      </c>
      <c r="I332" s="25">
        <f>IFERROR(D332-D328,"")</f>
        <v/>
      </c>
      <c r="J332" s="25">
        <f>IFERROR(D332-D319,"")</f>
        <v/>
      </c>
      <c r="K332">
        <f>IF(A332="","",$C$24)</f>
        <v/>
      </c>
      <c r="L332">
        <f>IF(A332="","",$C$24-$C$25)</f>
        <v/>
      </c>
      <c r="M332">
        <f>IF(A332="","",$C$24+$C$25)</f>
        <v/>
      </c>
    </row>
    <row r="333">
      <c r="A333" s="23">
        <f>IFERROR(INDEX($R$108:$R$388,ROW()-107),"")</f>
        <v/>
      </c>
      <c r="B333">
        <f>IFERROR(INDEX($S$108:$S$388,ROW()-107),"")</f>
        <v/>
      </c>
      <c r="C333">
        <f>IFERROR(INDEX($W$108:$W$388,ROW()-107),"")</f>
        <v/>
      </c>
      <c r="D333" s="25">
        <f>IFERROR((C333-B333)*100,"")</f>
        <v/>
      </c>
      <c r="E333" s="25">
        <f>IFERROR(D333-D332,"")</f>
        <v/>
      </c>
      <c r="F333" s="25">
        <f>IFERROR(D332,"")</f>
        <v/>
      </c>
      <c r="G333" s="62">
        <f>IFERROR((D333-$C$24)/$C$25,"")</f>
        <v/>
      </c>
      <c r="H333" s="25">
        <f>IFERROR(D359-D333,"")</f>
        <v/>
      </c>
      <c r="I333" s="25">
        <f>IFERROR(D333-D329,"")</f>
        <v/>
      </c>
      <c r="J333" s="25">
        <f>IFERROR(D333-D320,"")</f>
        <v/>
      </c>
      <c r="K333">
        <f>IF(A333="","",$C$24)</f>
        <v/>
      </c>
      <c r="L333">
        <f>IF(A333="","",$C$24-$C$25)</f>
        <v/>
      </c>
      <c r="M333">
        <f>IF(A333="","",$C$24+$C$25)</f>
        <v/>
      </c>
    </row>
    <row r="334">
      <c r="A334" s="23">
        <f>IFERROR(INDEX($R$108:$R$388,ROW()-107),"")</f>
        <v/>
      </c>
      <c r="B334">
        <f>IFERROR(INDEX($S$108:$S$388,ROW()-107),"")</f>
        <v/>
      </c>
      <c r="C334">
        <f>IFERROR(INDEX($W$108:$W$388,ROW()-107),"")</f>
        <v/>
      </c>
      <c r="D334" s="25">
        <f>IFERROR((C334-B334)*100,"")</f>
        <v/>
      </c>
      <c r="E334" s="25">
        <f>IFERROR(D334-D333,"")</f>
        <v/>
      </c>
      <c r="F334" s="25">
        <f>IFERROR(D333,"")</f>
        <v/>
      </c>
      <c r="G334" s="62">
        <f>IFERROR((D334-$C$24)/$C$25,"")</f>
        <v/>
      </c>
      <c r="H334" s="25">
        <f>IFERROR(D360-D334,"")</f>
        <v/>
      </c>
      <c r="I334" s="25">
        <f>IFERROR(D334-D330,"")</f>
        <v/>
      </c>
      <c r="J334" s="25">
        <f>IFERROR(D334-D321,"")</f>
        <v/>
      </c>
      <c r="K334">
        <f>IF(A334="","",$C$24)</f>
        <v/>
      </c>
      <c r="L334">
        <f>IF(A334="","",$C$24-$C$25)</f>
        <v/>
      </c>
      <c r="M334">
        <f>IF(A334="","",$C$24+$C$25)</f>
        <v/>
      </c>
    </row>
    <row r="335">
      <c r="A335" s="23">
        <f>IFERROR(INDEX($R$108:$R$388,ROW()-107),"")</f>
        <v/>
      </c>
      <c r="B335">
        <f>IFERROR(INDEX($S$108:$S$388,ROW()-107),"")</f>
        <v/>
      </c>
      <c r="C335">
        <f>IFERROR(INDEX($W$108:$W$388,ROW()-107),"")</f>
        <v/>
      </c>
      <c r="D335" s="25">
        <f>IFERROR((C335-B335)*100,"")</f>
        <v/>
      </c>
      <c r="E335" s="25">
        <f>IFERROR(D335-D334,"")</f>
        <v/>
      </c>
      <c r="F335" s="25">
        <f>IFERROR(D334,"")</f>
        <v/>
      </c>
      <c r="G335" s="62">
        <f>IFERROR((D335-$C$24)/$C$25,"")</f>
        <v/>
      </c>
      <c r="H335" s="25">
        <f>IFERROR(D361-D335,"")</f>
        <v/>
      </c>
      <c r="I335" s="25">
        <f>IFERROR(D335-D331,"")</f>
        <v/>
      </c>
      <c r="J335" s="25">
        <f>IFERROR(D335-D322,"")</f>
        <v/>
      </c>
      <c r="K335">
        <f>IF(A335="","",$C$24)</f>
        <v/>
      </c>
      <c r="L335">
        <f>IF(A335="","",$C$24-$C$25)</f>
        <v/>
      </c>
      <c r="M335">
        <f>IF(A335="","",$C$24+$C$25)</f>
        <v/>
      </c>
    </row>
    <row r="336">
      <c r="A336" s="23">
        <f>IFERROR(INDEX($R$108:$R$388,ROW()-107),"")</f>
        <v/>
      </c>
      <c r="B336">
        <f>IFERROR(INDEX($S$108:$S$388,ROW()-107),"")</f>
        <v/>
      </c>
      <c r="C336">
        <f>IFERROR(INDEX($W$108:$W$388,ROW()-107),"")</f>
        <v/>
      </c>
      <c r="D336" s="25">
        <f>IFERROR((C336-B336)*100,"")</f>
        <v/>
      </c>
      <c r="E336" s="25">
        <f>IFERROR(D336-D335,"")</f>
        <v/>
      </c>
      <c r="F336" s="25">
        <f>IFERROR(D335,"")</f>
        <v/>
      </c>
      <c r="G336" s="62">
        <f>IFERROR((D336-$C$24)/$C$25,"")</f>
        <v/>
      </c>
      <c r="H336" s="25">
        <f>IFERROR(D362-D336,"")</f>
        <v/>
      </c>
      <c r="I336" s="25">
        <f>IFERROR(D336-D332,"")</f>
        <v/>
      </c>
      <c r="J336" s="25">
        <f>IFERROR(D336-D323,"")</f>
        <v/>
      </c>
      <c r="K336">
        <f>IF(A336="","",$C$24)</f>
        <v/>
      </c>
      <c r="L336">
        <f>IF(A336="","",$C$24-$C$25)</f>
        <v/>
      </c>
      <c r="M336">
        <f>IF(A336="","",$C$24+$C$25)</f>
        <v/>
      </c>
    </row>
    <row r="337">
      <c r="A337" s="23">
        <f>IFERROR(INDEX($R$108:$R$388,ROW()-107),"")</f>
        <v/>
      </c>
      <c r="B337">
        <f>IFERROR(INDEX($S$108:$S$388,ROW()-107),"")</f>
        <v/>
      </c>
      <c r="C337">
        <f>IFERROR(INDEX($W$108:$W$388,ROW()-107),"")</f>
        <v/>
      </c>
      <c r="D337" s="25">
        <f>IFERROR((C337-B337)*100,"")</f>
        <v/>
      </c>
      <c r="E337" s="25">
        <f>IFERROR(D337-D336,"")</f>
        <v/>
      </c>
      <c r="F337" s="25">
        <f>IFERROR(D336,"")</f>
        <v/>
      </c>
      <c r="G337" s="62">
        <f>IFERROR((D337-$C$24)/$C$25,"")</f>
        <v/>
      </c>
      <c r="H337" s="25">
        <f>IFERROR(D363-D337,"")</f>
        <v/>
      </c>
      <c r="I337" s="25">
        <f>IFERROR(D337-D333,"")</f>
        <v/>
      </c>
      <c r="J337" s="25">
        <f>IFERROR(D337-D324,"")</f>
        <v/>
      </c>
      <c r="K337">
        <f>IF(A337="","",$C$24)</f>
        <v/>
      </c>
      <c r="L337">
        <f>IF(A337="","",$C$24-$C$25)</f>
        <v/>
      </c>
      <c r="M337">
        <f>IF(A337="","",$C$24+$C$25)</f>
        <v/>
      </c>
    </row>
    <row r="338">
      <c r="A338" s="23">
        <f>IFERROR(INDEX($R$108:$R$388,ROW()-107),"")</f>
        <v/>
      </c>
      <c r="B338">
        <f>IFERROR(INDEX($S$108:$S$388,ROW()-107),"")</f>
        <v/>
      </c>
      <c r="C338">
        <f>IFERROR(INDEX($W$108:$W$388,ROW()-107),"")</f>
        <v/>
      </c>
      <c r="D338" s="25">
        <f>IFERROR((C338-B338)*100,"")</f>
        <v/>
      </c>
      <c r="E338" s="25">
        <f>IFERROR(D338-D337,"")</f>
        <v/>
      </c>
      <c r="F338" s="25">
        <f>IFERROR(D337,"")</f>
        <v/>
      </c>
      <c r="G338" s="62">
        <f>IFERROR((D338-$C$24)/$C$25,"")</f>
        <v/>
      </c>
      <c r="H338" s="25">
        <f>IFERROR(D364-D338,"")</f>
        <v/>
      </c>
      <c r="I338" s="25">
        <f>IFERROR(D338-D334,"")</f>
        <v/>
      </c>
      <c r="J338" s="25">
        <f>IFERROR(D338-D325,"")</f>
        <v/>
      </c>
      <c r="K338">
        <f>IF(A338="","",$C$24)</f>
        <v/>
      </c>
      <c r="L338">
        <f>IF(A338="","",$C$24-$C$25)</f>
        <v/>
      </c>
      <c r="M338">
        <f>IF(A338="","",$C$24+$C$25)</f>
        <v/>
      </c>
    </row>
    <row r="339">
      <c r="A339" s="23">
        <f>IFERROR(INDEX($R$108:$R$388,ROW()-107),"")</f>
        <v/>
      </c>
      <c r="B339">
        <f>IFERROR(INDEX($S$108:$S$388,ROW()-107),"")</f>
        <v/>
      </c>
      <c r="C339">
        <f>IFERROR(INDEX($W$108:$W$388,ROW()-107),"")</f>
        <v/>
      </c>
      <c r="D339" s="25">
        <f>IFERROR((C339-B339)*100,"")</f>
        <v/>
      </c>
      <c r="E339" s="25">
        <f>IFERROR(D339-D338,"")</f>
        <v/>
      </c>
      <c r="F339" s="25">
        <f>IFERROR(D338,"")</f>
        <v/>
      </c>
      <c r="G339" s="62">
        <f>IFERROR((D339-$C$24)/$C$25,"")</f>
        <v/>
      </c>
      <c r="H339" s="25">
        <f>IFERROR(D365-D339,"")</f>
        <v/>
      </c>
      <c r="I339" s="25">
        <f>IFERROR(D339-D335,"")</f>
        <v/>
      </c>
      <c r="J339" s="25">
        <f>IFERROR(D339-D326,"")</f>
        <v/>
      </c>
      <c r="K339">
        <f>IF(A339="","",$C$24)</f>
        <v/>
      </c>
      <c r="L339">
        <f>IF(A339="","",$C$24-$C$25)</f>
        <v/>
      </c>
      <c r="M339">
        <f>IF(A339="","",$C$24+$C$25)</f>
        <v/>
      </c>
    </row>
    <row r="340">
      <c r="A340" s="23">
        <f>IFERROR(INDEX($R$108:$R$388,ROW()-107),"")</f>
        <v/>
      </c>
      <c r="B340">
        <f>IFERROR(INDEX($S$108:$S$388,ROW()-107),"")</f>
        <v/>
      </c>
      <c r="C340">
        <f>IFERROR(INDEX($W$108:$W$388,ROW()-107),"")</f>
        <v/>
      </c>
      <c r="D340" s="25">
        <f>IFERROR((C340-B340)*100,"")</f>
        <v/>
      </c>
      <c r="E340" s="25">
        <f>IFERROR(D340-D339,"")</f>
        <v/>
      </c>
      <c r="F340" s="25">
        <f>IFERROR(D339,"")</f>
        <v/>
      </c>
      <c r="G340" s="62">
        <f>IFERROR((D340-$C$24)/$C$25,"")</f>
        <v/>
      </c>
      <c r="H340" s="25">
        <f>IFERROR(D366-D340,"")</f>
        <v/>
      </c>
      <c r="I340" s="25">
        <f>IFERROR(D340-D336,"")</f>
        <v/>
      </c>
      <c r="J340" s="25">
        <f>IFERROR(D340-D327,"")</f>
        <v/>
      </c>
      <c r="K340">
        <f>IF(A340="","",$C$24)</f>
        <v/>
      </c>
      <c r="L340">
        <f>IF(A340="","",$C$24-$C$25)</f>
        <v/>
      </c>
      <c r="M340">
        <f>IF(A340="","",$C$24+$C$25)</f>
        <v/>
      </c>
    </row>
    <row r="341">
      <c r="A341" s="23">
        <f>IFERROR(INDEX($R$108:$R$388,ROW()-107),"")</f>
        <v/>
      </c>
      <c r="B341">
        <f>IFERROR(INDEX($S$108:$S$388,ROW()-107),"")</f>
        <v/>
      </c>
      <c r="C341">
        <f>IFERROR(INDEX($W$108:$W$388,ROW()-107),"")</f>
        <v/>
      </c>
      <c r="D341" s="25">
        <f>IFERROR((C341-B341)*100,"")</f>
        <v/>
      </c>
      <c r="E341" s="25">
        <f>IFERROR(D341-D340,"")</f>
        <v/>
      </c>
      <c r="F341" s="25">
        <f>IFERROR(D340,"")</f>
        <v/>
      </c>
      <c r="G341" s="62">
        <f>IFERROR((D341-$C$24)/$C$25,"")</f>
        <v/>
      </c>
      <c r="H341" s="25">
        <f>IFERROR(D367-D341,"")</f>
        <v/>
      </c>
      <c r="I341" s="25">
        <f>IFERROR(D341-D337,"")</f>
        <v/>
      </c>
      <c r="J341" s="25">
        <f>IFERROR(D341-D328,"")</f>
        <v/>
      </c>
      <c r="K341">
        <f>IF(A341="","",$C$24)</f>
        <v/>
      </c>
      <c r="L341">
        <f>IF(A341="","",$C$24-$C$25)</f>
        <v/>
      </c>
      <c r="M341">
        <f>IF(A341="","",$C$24+$C$25)</f>
        <v/>
      </c>
    </row>
    <row r="342">
      <c r="A342" s="23">
        <f>IFERROR(INDEX($R$108:$R$388,ROW()-107),"")</f>
        <v/>
      </c>
      <c r="B342">
        <f>IFERROR(INDEX($S$108:$S$388,ROW()-107),"")</f>
        <v/>
      </c>
      <c r="C342">
        <f>IFERROR(INDEX($W$108:$W$388,ROW()-107),"")</f>
        <v/>
      </c>
      <c r="D342" s="25">
        <f>IFERROR((C342-B342)*100,"")</f>
        <v/>
      </c>
      <c r="E342" s="25">
        <f>IFERROR(D342-D341,"")</f>
        <v/>
      </c>
      <c r="F342" s="25">
        <f>IFERROR(D341,"")</f>
        <v/>
      </c>
      <c r="G342" s="62">
        <f>IFERROR((D342-$C$24)/$C$25,"")</f>
        <v/>
      </c>
      <c r="H342" s="25">
        <f>IFERROR(D368-D342,"")</f>
        <v/>
      </c>
      <c r="I342" s="25">
        <f>IFERROR(D342-D338,"")</f>
        <v/>
      </c>
      <c r="J342" s="25">
        <f>IFERROR(D342-D329,"")</f>
        <v/>
      </c>
      <c r="K342">
        <f>IF(A342="","",$C$24)</f>
        <v/>
      </c>
      <c r="L342">
        <f>IF(A342="","",$C$24-$C$25)</f>
        <v/>
      </c>
      <c r="M342">
        <f>IF(A342="","",$C$24+$C$25)</f>
        <v/>
      </c>
    </row>
    <row r="343">
      <c r="A343" s="23">
        <f>IFERROR(INDEX($R$108:$R$388,ROW()-107),"")</f>
        <v/>
      </c>
      <c r="B343">
        <f>IFERROR(INDEX($S$108:$S$388,ROW()-107),"")</f>
        <v/>
      </c>
      <c r="C343">
        <f>IFERROR(INDEX($W$108:$W$388,ROW()-107),"")</f>
        <v/>
      </c>
      <c r="D343" s="25">
        <f>IFERROR((C343-B343)*100,"")</f>
        <v/>
      </c>
      <c r="E343" s="25">
        <f>IFERROR(D343-D342,"")</f>
        <v/>
      </c>
      <c r="F343" s="25">
        <f>IFERROR(D342,"")</f>
        <v/>
      </c>
      <c r="G343" s="62">
        <f>IFERROR((D343-$C$24)/$C$25,"")</f>
        <v/>
      </c>
      <c r="H343" s="25">
        <f>IFERROR(D369-D343,"")</f>
        <v/>
      </c>
      <c r="I343" s="25">
        <f>IFERROR(D343-D339,"")</f>
        <v/>
      </c>
      <c r="J343" s="25">
        <f>IFERROR(D343-D330,"")</f>
        <v/>
      </c>
      <c r="K343">
        <f>IF(A343="","",$C$24)</f>
        <v/>
      </c>
      <c r="L343">
        <f>IF(A343="","",$C$24-$C$25)</f>
        <v/>
      </c>
      <c r="M343">
        <f>IF(A343="","",$C$24+$C$25)</f>
        <v/>
      </c>
    </row>
    <row r="344">
      <c r="A344" s="23">
        <f>IFERROR(INDEX($R$108:$R$388,ROW()-107),"")</f>
        <v/>
      </c>
      <c r="B344">
        <f>IFERROR(INDEX($S$108:$S$388,ROW()-107),"")</f>
        <v/>
      </c>
      <c r="C344">
        <f>IFERROR(INDEX($W$108:$W$388,ROW()-107),"")</f>
        <v/>
      </c>
      <c r="D344" s="25">
        <f>IFERROR((C344-B344)*100,"")</f>
        <v/>
      </c>
      <c r="E344" s="25">
        <f>IFERROR(D344-D343,"")</f>
        <v/>
      </c>
      <c r="F344" s="25">
        <f>IFERROR(D343,"")</f>
        <v/>
      </c>
      <c r="G344" s="62">
        <f>IFERROR((D344-$C$24)/$C$25,"")</f>
        <v/>
      </c>
      <c r="H344" s="25">
        <f>IFERROR(D370-D344,"")</f>
        <v/>
      </c>
      <c r="I344" s="25">
        <f>IFERROR(D344-D340,"")</f>
        <v/>
      </c>
      <c r="J344" s="25">
        <f>IFERROR(D344-D331,"")</f>
        <v/>
      </c>
      <c r="K344">
        <f>IF(A344="","",$C$24)</f>
        <v/>
      </c>
      <c r="L344">
        <f>IF(A344="","",$C$24-$C$25)</f>
        <v/>
      </c>
      <c r="M344">
        <f>IF(A344="","",$C$24+$C$25)</f>
        <v/>
      </c>
    </row>
    <row r="345">
      <c r="A345" s="23">
        <f>IFERROR(INDEX($R$108:$R$388,ROW()-107),"")</f>
        <v/>
      </c>
      <c r="B345">
        <f>IFERROR(INDEX($S$108:$S$388,ROW()-107),"")</f>
        <v/>
      </c>
      <c r="C345">
        <f>IFERROR(INDEX($W$108:$W$388,ROW()-107),"")</f>
        <v/>
      </c>
      <c r="D345" s="25">
        <f>IFERROR((C345-B345)*100,"")</f>
        <v/>
      </c>
      <c r="E345" s="25">
        <f>IFERROR(D345-D344,"")</f>
        <v/>
      </c>
      <c r="F345" s="25">
        <f>IFERROR(D344,"")</f>
        <v/>
      </c>
      <c r="G345" s="62">
        <f>IFERROR((D345-$C$24)/$C$25,"")</f>
        <v/>
      </c>
      <c r="H345" s="25">
        <f>IFERROR(D371-D345,"")</f>
        <v/>
      </c>
      <c r="I345" s="25">
        <f>IFERROR(D345-D341,"")</f>
        <v/>
      </c>
      <c r="J345" s="25">
        <f>IFERROR(D345-D332,"")</f>
        <v/>
      </c>
      <c r="K345">
        <f>IF(A345="","",$C$24)</f>
        <v/>
      </c>
      <c r="L345">
        <f>IF(A345="","",$C$24-$C$25)</f>
        <v/>
      </c>
      <c r="M345">
        <f>IF(A345="","",$C$24+$C$25)</f>
        <v/>
      </c>
    </row>
    <row r="346">
      <c r="A346" s="23">
        <f>IFERROR(INDEX($R$108:$R$388,ROW()-107),"")</f>
        <v/>
      </c>
      <c r="B346">
        <f>IFERROR(INDEX($S$108:$S$388,ROW()-107),"")</f>
        <v/>
      </c>
      <c r="C346">
        <f>IFERROR(INDEX($W$108:$W$388,ROW()-107),"")</f>
        <v/>
      </c>
      <c r="D346" s="25">
        <f>IFERROR((C346-B346)*100,"")</f>
        <v/>
      </c>
      <c r="E346" s="25">
        <f>IFERROR(D346-D345,"")</f>
        <v/>
      </c>
      <c r="F346" s="25">
        <f>IFERROR(D345,"")</f>
        <v/>
      </c>
      <c r="G346" s="62">
        <f>IFERROR((D346-$C$24)/$C$25,"")</f>
        <v/>
      </c>
      <c r="H346" s="25">
        <f>IFERROR(D372-D346,"")</f>
        <v/>
      </c>
      <c r="I346" s="25">
        <f>IFERROR(D346-D342,"")</f>
        <v/>
      </c>
      <c r="J346" s="25">
        <f>IFERROR(D346-D333,"")</f>
        <v/>
      </c>
      <c r="K346">
        <f>IF(A346="","",$C$24)</f>
        <v/>
      </c>
      <c r="L346">
        <f>IF(A346="","",$C$24-$C$25)</f>
        <v/>
      </c>
      <c r="M346">
        <f>IF(A346="","",$C$24+$C$25)</f>
        <v/>
      </c>
    </row>
    <row r="347">
      <c r="A347" s="23">
        <f>IFERROR(INDEX($R$108:$R$388,ROW()-107),"")</f>
        <v/>
      </c>
      <c r="B347">
        <f>IFERROR(INDEX($S$108:$S$388,ROW()-107),"")</f>
        <v/>
      </c>
      <c r="C347">
        <f>IFERROR(INDEX($W$108:$W$388,ROW()-107),"")</f>
        <v/>
      </c>
      <c r="D347" s="25">
        <f>IFERROR((C347-B347)*100,"")</f>
        <v/>
      </c>
      <c r="E347" s="25">
        <f>IFERROR(D347-D346,"")</f>
        <v/>
      </c>
      <c r="F347" s="25">
        <f>IFERROR(D346,"")</f>
        <v/>
      </c>
      <c r="G347" s="62">
        <f>IFERROR((D347-$C$24)/$C$25,"")</f>
        <v/>
      </c>
      <c r="H347" s="25">
        <f>IFERROR(D373-D347,"")</f>
        <v/>
      </c>
      <c r="I347" s="25">
        <f>IFERROR(D347-D343,"")</f>
        <v/>
      </c>
      <c r="J347" s="25">
        <f>IFERROR(D347-D334,"")</f>
        <v/>
      </c>
      <c r="K347">
        <f>IF(A347="","",$C$24)</f>
        <v/>
      </c>
      <c r="L347">
        <f>IF(A347="","",$C$24-$C$25)</f>
        <v/>
      </c>
      <c r="M347">
        <f>IF(A347="","",$C$24+$C$25)</f>
        <v/>
      </c>
    </row>
    <row r="348">
      <c r="A348" s="23">
        <f>IFERROR(INDEX($R$108:$R$388,ROW()-107),"")</f>
        <v/>
      </c>
      <c r="B348">
        <f>IFERROR(INDEX($S$108:$S$388,ROW()-107),"")</f>
        <v/>
      </c>
      <c r="C348">
        <f>IFERROR(INDEX($W$108:$W$388,ROW()-107),"")</f>
        <v/>
      </c>
      <c r="D348" s="25">
        <f>IFERROR((C348-B348)*100,"")</f>
        <v/>
      </c>
      <c r="E348" s="25">
        <f>IFERROR(D348-D347,"")</f>
        <v/>
      </c>
      <c r="F348" s="25">
        <f>IFERROR(D347,"")</f>
        <v/>
      </c>
      <c r="G348" s="62">
        <f>IFERROR((D348-$C$24)/$C$25,"")</f>
        <v/>
      </c>
      <c r="H348" s="25">
        <f>IFERROR(D374-D348,"")</f>
        <v/>
      </c>
      <c r="I348" s="25">
        <f>IFERROR(D348-D344,"")</f>
        <v/>
      </c>
      <c r="J348" s="25">
        <f>IFERROR(D348-D335,"")</f>
        <v/>
      </c>
      <c r="K348">
        <f>IF(A348="","",$C$24)</f>
        <v/>
      </c>
      <c r="L348">
        <f>IF(A348="","",$C$24-$C$25)</f>
        <v/>
      </c>
      <c r="M348">
        <f>IF(A348="","",$C$24+$C$25)</f>
        <v/>
      </c>
    </row>
    <row r="349">
      <c r="A349" s="23">
        <f>IFERROR(INDEX($R$108:$R$388,ROW()-107),"")</f>
        <v/>
      </c>
      <c r="B349">
        <f>IFERROR(INDEX($S$108:$S$388,ROW()-107),"")</f>
        <v/>
      </c>
      <c r="C349">
        <f>IFERROR(INDEX($W$108:$W$388,ROW()-107),"")</f>
        <v/>
      </c>
      <c r="D349" s="25">
        <f>IFERROR((C349-B349)*100,"")</f>
        <v/>
      </c>
      <c r="E349" s="25">
        <f>IFERROR(D349-D348,"")</f>
        <v/>
      </c>
      <c r="F349" s="25">
        <f>IFERROR(D348,"")</f>
        <v/>
      </c>
      <c r="G349" s="62">
        <f>IFERROR((D349-$C$24)/$C$25,"")</f>
        <v/>
      </c>
      <c r="H349" s="25">
        <f>IFERROR(D375-D349,"")</f>
        <v/>
      </c>
      <c r="I349" s="25">
        <f>IFERROR(D349-D345,"")</f>
        <v/>
      </c>
      <c r="J349" s="25">
        <f>IFERROR(D349-D336,"")</f>
        <v/>
      </c>
      <c r="K349">
        <f>IF(A349="","",$C$24)</f>
        <v/>
      </c>
      <c r="L349">
        <f>IF(A349="","",$C$24-$C$25)</f>
        <v/>
      </c>
      <c r="M349">
        <f>IF(A349="","",$C$24+$C$25)</f>
        <v/>
      </c>
    </row>
    <row r="350">
      <c r="A350" s="23">
        <f>IFERROR(INDEX($R$108:$R$388,ROW()-107),"")</f>
        <v/>
      </c>
      <c r="B350">
        <f>IFERROR(INDEX($S$108:$S$388,ROW()-107),"")</f>
        <v/>
      </c>
      <c r="C350">
        <f>IFERROR(INDEX($W$108:$W$388,ROW()-107),"")</f>
        <v/>
      </c>
      <c r="D350" s="25">
        <f>IFERROR((C350-B350)*100,"")</f>
        <v/>
      </c>
      <c r="E350" s="25">
        <f>IFERROR(D350-D349,"")</f>
        <v/>
      </c>
      <c r="F350" s="25">
        <f>IFERROR(D349,"")</f>
        <v/>
      </c>
      <c r="G350" s="62">
        <f>IFERROR((D350-$C$24)/$C$25,"")</f>
        <v/>
      </c>
      <c r="H350" s="25">
        <f>IFERROR(D376-D350,"")</f>
        <v/>
      </c>
      <c r="I350" s="25">
        <f>IFERROR(D350-D346,"")</f>
        <v/>
      </c>
      <c r="J350" s="25">
        <f>IFERROR(D350-D337,"")</f>
        <v/>
      </c>
      <c r="K350">
        <f>IF(A350="","",$C$24)</f>
        <v/>
      </c>
      <c r="L350">
        <f>IF(A350="","",$C$24-$C$25)</f>
        <v/>
      </c>
      <c r="M350">
        <f>IF(A350="","",$C$24+$C$25)</f>
        <v/>
      </c>
    </row>
    <row r="351">
      <c r="A351" s="23">
        <f>IFERROR(INDEX($R$108:$R$388,ROW()-107),"")</f>
        <v/>
      </c>
      <c r="B351">
        <f>IFERROR(INDEX($S$108:$S$388,ROW()-107),"")</f>
        <v/>
      </c>
      <c r="C351">
        <f>IFERROR(INDEX($W$108:$W$388,ROW()-107),"")</f>
        <v/>
      </c>
      <c r="D351" s="25">
        <f>IFERROR((C351-B351)*100,"")</f>
        <v/>
      </c>
      <c r="E351" s="25">
        <f>IFERROR(D351-D350,"")</f>
        <v/>
      </c>
      <c r="F351" s="25">
        <f>IFERROR(D350,"")</f>
        <v/>
      </c>
      <c r="G351" s="62">
        <f>IFERROR((D351-$C$24)/$C$25,"")</f>
        <v/>
      </c>
      <c r="H351" s="25">
        <f>IFERROR(D377-D351,"")</f>
        <v/>
      </c>
      <c r="I351" s="25">
        <f>IFERROR(D351-D347,"")</f>
        <v/>
      </c>
      <c r="J351" s="25">
        <f>IFERROR(D351-D338,"")</f>
        <v/>
      </c>
      <c r="K351">
        <f>IF(A351="","",$C$24)</f>
        <v/>
      </c>
      <c r="L351">
        <f>IF(A351="","",$C$24-$C$25)</f>
        <v/>
      </c>
      <c r="M351">
        <f>IF(A351="","",$C$24+$C$25)</f>
        <v/>
      </c>
    </row>
    <row r="352">
      <c r="A352" s="23">
        <f>IFERROR(INDEX($R$108:$R$388,ROW()-107),"")</f>
        <v/>
      </c>
      <c r="B352">
        <f>IFERROR(INDEX($S$108:$S$388,ROW()-107),"")</f>
        <v/>
      </c>
      <c r="C352">
        <f>IFERROR(INDEX($W$108:$W$388,ROW()-107),"")</f>
        <v/>
      </c>
      <c r="D352" s="25">
        <f>IFERROR((C352-B352)*100,"")</f>
        <v/>
      </c>
      <c r="E352" s="25">
        <f>IFERROR(D352-D351,"")</f>
        <v/>
      </c>
      <c r="F352" s="25">
        <f>IFERROR(D351,"")</f>
        <v/>
      </c>
      <c r="G352" s="62">
        <f>IFERROR((D352-$C$24)/$C$25,"")</f>
        <v/>
      </c>
      <c r="H352" s="25">
        <f>IFERROR(D378-D352,"")</f>
        <v/>
      </c>
      <c r="I352" s="25">
        <f>IFERROR(D352-D348,"")</f>
        <v/>
      </c>
      <c r="J352" s="25">
        <f>IFERROR(D352-D339,"")</f>
        <v/>
      </c>
      <c r="K352">
        <f>IF(A352="","",$C$24)</f>
        <v/>
      </c>
      <c r="L352">
        <f>IF(A352="","",$C$24-$C$25)</f>
        <v/>
      </c>
      <c r="M352">
        <f>IF(A352="","",$C$24+$C$25)</f>
        <v/>
      </c>
    </row>
    <row r="353">
      <c r="A353" s="23">
        <f>IFERROR(INDEX($R$108:$R$388,ROW()-107),"")</f>
        <v/>
      </c>
      <c r="B353">
        <f>IFERROR(INDEX($S$108:$S$388,ROW()-107),"")</f>
        <v/>
      </c>
      <c r="C353">
        <f>IFERROR(INDEX($W$108:$W$388,ROW()-107),"")</f>
        <v/>
      </c>
      <c r="D353" s="25">
        <f>IFERROR((C353-B353)*100,"")</f>
        <v/>
      </c>
      <c r="E353" s="25">
        <f>IFERROR(D353-D352,"")</f>
        <v/>
      </c>
      <c r="F353" s="25">
        <f>IFERROR(D352,"")</f>
        <v/>
      </c>
      <c r="G353" s="62">
        <f>IFERROR((D353-$C$24)/$C$25,"")</f>
        <v/>
      </c>
      <c r="H353" s="25">
        <f>IFERROR(D379-D353,"")</f>
        <v/>
      </c>
      <c r="I353" s="25">
        <f>IFERROR(D353-D349,"")</f>
        <v/>
      </c>
      <c r="J353" s="25">
        <f>IFERROR(D353-D340,"")</f>
        <v/>
      </c>
      <c r="K353">
        <f>IF(A353="","",$C$24)</f>
        <v/>
      </c>
      <c r="L353">
        <f>IF(A353="","",$C$24-$C$25)</f>
        <v/>
      </c>
      <c r="M353">
        <f>IF(A353="","",$C$24+$C$25)</f>
        <v/>
      </c>
    </row>
    <row r="354">
      <c r="A354" s="23">
        <f>IFERROR(INDEX($R$108:$R$388,ROW()-107),"")</f>
        <v/>
      </c>
      <c r="B354">
        <f>IFERROR(INDEX($S$108:$S$388,ROW()-107),"")</f>
        <v/>
      </c>
      <c r="C354">
        <f>IFERROR(INDEX($W$108:$W$388,ROW()-107),"")</f>
        <v/>
      </c>
      <c r="D354" s="25">
        <f>IFERROR((C354-B354)*100,"")</f>
        <v/>
      </c>
      <c r="E354" s="25">
        <f>IFERROR(D354-D353,"")</f>
        <v/>
      </c>
      <c r="F354" s="25">
        <f>IFERROR(D353,"")</f>
        <v/>
      </c>
      <c r="G354" s="62">
        <f>IFERROR((D354-$C$24)/$C$25,"")</f>
        <v/>
      </c>
      <c r="H354" s="25">
        <f>IFERROR(D380-D354,"")</f>
        <v/>
      </c>
      <c r="I354" s="25">
        <f>IFERROR(D354-D350,"")</f>
        <v/>
      </c>
      <c r="J354" s="25">
        <f>IFERROR(D354-D341,"")</f>
        <v/>
      </c>
      <c r="K354">
        <f>IF(A354="","",$C$24)</f>
        <v/>
      </c>
      <c r="L354">
        <f>IF(A354="","",$C$24-$C$25)</f>
        <v/>
      </c>
      <c r="M354">
        <f>IF(A354="","",$C$24+$C$25)</f>
        <v/>
      </c>
    </row>
    <row r="355">
      <c r="A355" s="23">
        <f>IFERROR(INDEX($R$108:$R$388,ROW()-107),"")</f>
        <v/>
      </c>
      <c r="B355">
        <f>IFERROR(INDEX($S$108:$S$388,ROW()-107),"")</f>
        <v/>
      </c>
      <c r="C355">
        <f>IFERROR(INDEX($W$108:$W$388,ROW()-107),"")</f>
        <v/>
      </c>
      <c r="D355" s="25">
        <f>IFERROR((C355-B355)*100,"")</f>
        <v/>
      </c>
      <c r="E355" s="25">
        <f>IFERROR(D355-D354,"")</f>
        <v/>
      </c>
      <c r="F355" s="25">
        <f>IFERROR(D354,"")</f>
        <v/>
      </c>
      <c r="G355" s="62">
        <f>IFERROR((D355-$C$24)/$C$25,"")</f>
        <v/>
      </c>
      <c r="H355" s="25">
        <f>IFERROR(D381-D355,"")</f>
        <v/>
      </c>
      <c r="I355" s="25">
        <f>IFERROR(D355-D351,"")</f>
        <v/>
      </c>
      <c r="J355" s="25">
        <f>IFERROR(D355-D342,"")</f>
        <v/>
      </c>
      <c r="K355">
        <f>IF(A355="","",$C$24)</f>
        <v/>
      </c>
      <c r="L355">
        <f>IF(A355="","",$C$24-$C$25)</f>
        <v/>
      </c>
      <c r="M355">
        <f>IF(A355="","",$C$24+$C$25)</f>
        <v/>
      </c>
    </row>
    <row r="356">
      <c r="A356" s="23">
        <f>IFERROR(INDEX($R$108:$R$388,ROW()-107),"")</f>
        <v/>
      </c>
      <c r="B356">
        <f>IFERROR(INDEX($S$108:$S$388,ROW()-107),"")</f>
        <v/>
      </c>
      <c r="C356">
        <f>IFERROR(INDEX($W$108:$W$388,ROW()-107),"")</f>
        <v/>
      </c>
      <c r="D356" s="25">
        <f>IFERROR((C356-B356)*100,"")</f>
        <v/>
      </c>
      <c r="E356" s="25">
        <f>IFERROR(D356-D355,"")</f>
        <v/>
      </c>
      <c r="F356" s="25">
        <f>IFERROR(D355,"")</f>
        <v/>
      </c>
      <c r="G356" s="62">
        <f>IFERROR((D356-$C$24)/$C$25,"")</f>
        <v/>
      </c>
      <c r="H356" s="25">
        <f>IFERROR(D382-D356,"")</f>
        <v/>
      </c>
      <c r="I356" s="25">
        <f>IFERROR(D356-D352,"")</f>
        <v/>
      </c>
      <c r="J356" s="25">
        <f>IFERROR(D356-D343,"")</f>
        <v/>
      </c>
      <c r="K356">
        <f>IF(A356="","",$C$24)</f>
        <v/>
      </c>
      <c r="L356">
        <f>IF(A356="","",$C$24-$C$25)</f>
        <v/>
      </c>
      <c r="M356">
        <f>IF(A356="","",$C$24+$C$25)</f>
        <v/>
      </c>
    </row>
    <row r="357">
      <c r="A357" s="23">
        <f>IFERROR(INDEX($R$108:$R$388,ROW()-107),"")</f>
        <v/>
      </c>
      <c r="B357">
        <f>IFERROR(INDEX($S$108:$S$388,ROW()-107),"")</f>
        <v/>
      </c>
      <c r="C357">
        <f>IFERROR(INDEX($W$108:$W$388,ROW()-107),"")</f>
        <v/>
      </c>
      <c r="D357" s="25">
        <f>IFERROR((C357-B357)*100,"")</f>
        <v/>
      </c>
      <c r="E357" s="25">
        <f>IFERROR(D357-D356,"")</f>
        <v/>
      </c>
      <c r="F357" s="25">
        <f>IFERROR(D356,"")</f>
        <v/>
      </c>
      <c r="G357" s="62">
        <f>IFERROR((D357-$C$24)/$C$25,"")</f>
        <v/>
      </c>
      <c r="H357" s="25">
        <f>IFERROR(D383-D357,"")</f>
        <v/>
      </c>
      <c r="I357" s="25">
        <f>IFERROR(D357-D353,"")</f>
        <v/>
      </c>
      <c r="J357" s="25">
        <f>IFERROR(D357-D344,"")</f>
        <v/>
      </c>
      <c r="K357">
        <f>IF(A357="","",$C$24)</f>
        <v/>
      </c>
      <c r="L357">
        <f>IF(A357="","",$C$24-$C$25)</f>
        <v/>
      </c>
      <c r="M357">
        <f>IF(A357="","",$C$24+$C$25)</f>
        <v/>
      </c>
    </row>
    <row r="358">
      <c r="A358" s="23">
        <f>IFERROR(INDEX($R$108:$R$388,ROW()-107),"")</f>
        <v/>
      </c>
      <c r="B358">
        <f>IFERROR(INDEX($S$108:$S$388,ROW()-107),"")</f>
        <v/>
      </c>
      <c r="C358">
        <f>IFERROR(INDEX($W$108:$W$388,ROW()-107),"")</f>
        <v/>
      </c>
      <c r="D358" s="25">
        <f>IFERROR((C358-B358)*100,"")</f>
        <v/>
      </c>
      <c r="E358" s="25">
        <f>IFERROR(D358-D357,"")</f>
        <v/>
      </c>
      <c r="F358" s="25">
        <f>IFERROR(D357,"")</f>
        <v/>
      </c>
      <c r="G358" s="62">
        <f>IFERROR((D358-$C$24)/$C$25,"")</f>
        <v/>
      </c>
      <c r="H358" s="25">
        <f>IFERROR(D384-D358,"")</f>
        <v/>
      </c>
      <c r="I358" s="25">
        <f>IFERROR(D358-D354,"")</f>
        <v/>
      </c>
      <c r="J358" s="25">
        <f>IFERROR(D358-D345,"")</f>
        <v/>
      </c>
      <c r="K358">
        <f>IF(A358="","",$C$24)</f>
        <v/>
      </c>
      <c r="L358">
        <f>IF(A358="","",$C$24-$C$25)</f>
        <v/>
      </c>
      <c r="M358">
        <f>IF(A358="","",$C$24+$C$25)</f>
        <v/>
      </c>
    </row>
    <row r="359">
      <c r="A359" s="23">
        <f>IFERROR(INDEX($R$108:$R$388,ROW()-107),"")</f>
        <v/>
      </c>
      <c r="B359">
        <f>IFERROR(INDEX($S$108:$S$388,ROW()-107),"")</f>
        <v/>
      </c>
      <c r="C359">
        <f>IFERROR(INDEX($W$108:$W$388,ROW()-107),"")</f>
        <v/>
      </c>
      <c r="D359" s="25">
        <f>IFERROR((C359-B359)*100,"")</f>
        <v/>
      </c>
      <c r="E359" s="25">
        <f>IFERROR(D359-D358,"")</f>
        <v/>
      </c>
      <c r="F359" s="25">
        <f>IFERROR(D358,"")</f>
        <v/>
      </c>
      <c r="G359" s="62">
        <f>IFERROR((D359-$C$24)/$C$25,"")</f>
        <v/>
      </c>
      <c r="H359" s="25">
        <f>IFERROR(D385-D359,"")</f>
        <v/>
      </c>
      <c r="I359" s="25">
        <f>IFERROR(D359-D355,"")</f>
        <v/>
      </c>
      <c r="J359" s="25">
        <f>IFERROR(D359-D346,"")</f>
        <v/>
      </c>
      <c r="K359">
        <f>IF(A359="","",$C$24)</f>
        <v/>
      </c>
      <c r="L359">
        <f>IF(A359="","",$C$24-$C$25)</f>
        <v/>
      </c>
      <c r="M359">
        <f>IF(A359="","",$C$24+$C$25)</f>
        <v/>
      </c>
    </row>
    <row r="360">
      <c r="A360" s="23">
        <f>IFERROR(INDEX($R$108:$R$388,ROW()-107),"")</f>
        <v/>
      </c>
      <c r="B360">
        <f>IFERROR(INDEX($S$108:$S$388,ROW()-107),"")</f>
        <v/>
      </c>
      <c r="C360">
        <f>IFERROR(INDEX($W$108:$W$388,ROW()-107),"")</f>
        <v/>
      </c>
      <c r="D360" s="25">
        <f>IFERROR((C360-B360)*100,"")</f>
        <v/>
      </c>
      <c r="E360" s="25">
        <f>IFERROR(D360-D359,"")</f>
        <v/>
      </c>
      <c r="F360" s="25">
        <f>IFERROR(D359,"")</f>
        <v/>
      </c>
      <c r="G360" s="62">
        <f>IFERROR((D360-$C$24)/$C$25,"")</f>
        <v/>
      </c>
      <c r="H360" s="25">
        <f>IFERROR(D386-D360,"")</f>
        <v/>
      </c>
      <c r="I360" s="25">
        <f>IFERROR(D360-D356,"")</f>
        <v/>
      </c>
      <c r="J360" s="25">
        <f>IFERROR(D360-D347,"")</f>
        <v/>
      </c>
      <c r="K360">
        <f>IF(A360="","",$C$24)</f>
        <v/>
      </c>
      <c r="L360">
        <f>IF(A360="","",$C$24-$C$25)</f>
        <v/>
      </c>
      <c r="M360">
        <f>IF(A360="","",$C$24+$C$25)</f>
        <v/>
      </c>
    </row>
    <row r="361">
      <c r="A361" s="23">
        <f>IFERROR(INDEX($R$108:$R$388,ROW()-107),"")</f>
        <v/>
      </c>
      <c r="B361">
        <f>IFERROR(INDEX($S$108:$S$388,ROW()-107),"")</f>
        <v/>
      </c>
      <c r="C361">
        <f>IFERROR(INDEX($W$108:$W$388,ROW()-107),"")</f>
        <v/>
      </c>
      <c r="D361" s="25">
        <f>IFERROR((C361-B361)*100,"")</f>
        <v/>
      </c>
      <c r="E361" s="25">
        <f>IFERROR(D361-D360,"")</f>
        <v/>
      </c>
      <c r="F361" s="25">
        <f>IFERROR(D360,"")</f>
        <v/>
      </c>
      <c r="G361" s="62">
        <f>IFERROR((D361-$C$24)/$C$25,"")</f>
        <v/>
      </c>
      <c r="H361" s="25">
        <f>IFERROR(D387-D361,"")</f>
        <v/>
      </c>
      <c r="I361" s="25">
        <f>IFERROR(D361-D357,"")</f>
        <v/>
      </c>
      <c r="J361" s="25">
        <f>IFERROR(D361-D348,"")</f>
        <v/>
      </c>
      <c r="K361">
        <f>IF(A361="","",$C$24)</f>
        <v/>
      </c>
      <c r="L361">
        <f>IF(A361="","",$C$24-$C$25)</f>
        <v/>
      </c>
      <c r="M361">
        <f>IF(A361="","",$C$24+$C$25)</f>
        <v/>
      </c>
    </row>
    <row r="362">
      <c r="A362" s="23">
        <f>IFERROR(INDEX($R$108:$R$388,ROW()-107),"")</f>
        <v/>
      </c>
      <c r="B362">
        <f>IFERROR(INDEX($S$108:$S$388,ROW()-107),"")</f>
        <v/>
      </c>
      <c r="C362">
        <f>IFERROR(INDEX($W$108:$W$388,ROW()-107),"")</f>
        <v/>
      </c>
      <c r="D362" s="25">
        <f>IFERROR((C362-B362)*100,"")</f>
        <v/>
      </c>
      <c r="E362" s="25">
        <f>IFERROR(D362-D361,"")</f>
        <v/>
      </c>
      <c r="F362" s="25">
        <f>IFERROR(D361,"")</f>
        <v/>
      </c>
      <c r="G362" s="62">
        <f>IFERROR((D362-$C$24)/$C$25,"")</f>
        <v/>
      </c>
      <c r="H362" s="25" t="n"/>
      <c r="I362" s="25">
        <f>IFERROR(D362-D358,"")</f>
        <v/>
      </c>
      <c r="J362" s="25">
        <f>IFERROR(D362-D349,"")</f>
        <v/>
      </c>
      <c r="K362">
        <f>IF(A362="","",$C$24)</f>
        <v/>
      </c>
      <c r="L362">
        <f>IF(A362="","",$C$24-$C$25)</f>
        <v/>
      </c>
      <c r="M362">
        <f>IF(A362="","",$C$24+$C$25)</f>
        <v/>
      </c>
    </row>
    <row r="363">
      <c r="A363" s="23">
        <f>IFERROR(INDEX($R$108:$R$388,ROW()-107),"")</f>
        <v/>
      </c>
      <c r="B363">
        <f>IFERROR(INDEX($S$108:$S$388,ROW()-107),"")</f>
        <v/>
      </c>
      <c r="C363">
        <f>IFERROR(INDEX($W$108:$W$388,ROW()-107),"")</f>
        <v/>
      </c>
      <c r="D363" s="25">
        <f>IFERROR((C363-B363)*100,"")</f>
        <v/>
      </c>
      <c r="E363" s="25">
        <f>IFERROR(D363-D362,"")</f>
        <v/>
      </c>
      <c r="F363" s="25">
        <f>IFERROR(D362,"")</f>
        <v/>
      </c>
      <c r="G363" s="62">
        <f>IFERROR((D363-$C$24)/$C$25,"")</f>
        <v/>
      </c>
      <c r="H363" s="25" t="n"/>
      <c r="I363" s="25">
        <f>IFERROR(D363-D359,"")</f>
        <v/>
      </c>
      <c r="J363" s="25">
        <f>IFERROR(D363-D350,"")</f>
        <v/>
      </c>
      <c r="K363">
        <f>IF(A363="","",$C$24)</f>
        <v/>
      </c>
      <c r="L363">
        <f>IF(A363="","",$C$24-$C$25)</f>
        <v/>
      </c>
      <c r="M363">
        <f>IF(A363="","",$C$24+$C$25)</f>
        <v/>
      </c>
    </row>
    <row r="364">
      <c r="A364" s="23">
        <f>IFERROR(INDEX($R$108:$R$388,ROW()-107),"")</f>
        <v/>
      </c>
      <c r="B364">
        <f>IFERROR(INDEX($S$108:$S$388,ROW()-107),"")</f>
        <v/>
      </c>
      <c r="C364">
        <f>IFERROR(INDEX($W$108:$W$388,ROW()-107),"")</f>
        <v/>
      </c>
      <c r="D364" s="25">
        <f>IFERROR((C364-B364)*100,"")</f>
        <v/>
      </c>
      <c r="E364" s="25">
        <f>IFERROR(D364-D363,"")</f>
        <v/>
      </c>
      <c r="F364" s="25">
        <f>IFERROR(D363,"")</f>
        <v/>
      </c>
      <c r="G364" s="62">
        <f>IFERROR((D364-$C$24)/$C$25,"")</f>
        <v/>
      </c>
      <c r="H364" s="25" t="n"/>
      <c r="I364" s="25">
        <f>IFERROR(D364-D360,"")</f>
        <v/>
      </c>
      <c r="J364" s="25">
        <f>IFERROR(D364-D351,"")</f>
        <v/>
      </c>
      <c r="K364">
        <f>IF(A364="","",$C$24)</f>
        <v/>
      </c>
      <c r="L364">
        <f>IF(A364="","",$C$24-$C$25)</f>
        <v/>
      </c>
      <c r="M364">
        <f>IF(A364="","",$C$24+$C$25)</f>
        <v/>
      </c>
    </row>
    <row r="365">
      <c r="A365" s="23">
        <f>IFERROR(INDEX($R$108:$R$388,ROW()-107),"")</f>
        <v/>
      </c>
      <c r="B365">
        <f>IFERROR(INDEX($S$108:$S$388,ROW()-107),"")</f>
        <v/>
      </c>
      <c r="C365">
        <f>IFERROR(INDEX($W$108:$W$388,ROW()-107),"")</f>
        <v/>
      </c>
      <c r="D365" s="25">
        <f>IFERROR((C365-B365)*100,"")</f>
        <v/>
      </c>
      <c r="E365" s="25">
        <f>IFERROR(D365-D364,"")</f>
        <v/>
      </c>
      <c r="F365" s="25">
        <f>IFERROR(D364,"")</f>
        <v/>
      </c>
      <c r="G365" s="62">
        <f>IFERROR((D365-$C$24)/$C$25,"")</f>
        <v/>
      </c>
      <c r="H365" s="25" t="n"/>
      <c r="I365" s="25">
        <f>IFERROR(D365-D361,"")</f>
        <v/>
      </c>
      <c r="J365" s="25">
        <f>IFERROR(D365-D352,"")</f>
        <v/>
      </c>
      <c r="K365">
        <f>IF(A365="","",$C$24)</f>
        <v/>
      </c>
      <c r="L365">
        <f>IF(A365="","",$C$24-$C$25)</f>
        <v/>
      </c>
      <c r="M365">
        <f>IF(A365="","",$C$24+$C$25)</f>
        <v/>
      </c>
    </row>
    <row r="366">
      <c r="A366" s="23">
        <f>IFERROR(INDEX($R$108:$R$388,ROW()-107),"")</f>
        <v/>
      </c>
      <c r="B366">
        <f>IFERROR(INDEX($S$108:$S$388,ROW()-107),"")</f>
        <v/>
      </c>
      <c r="C366">
        <f>IFERROR(INDEX($W$108:$W$388,ROW()-107),"")</f>
        <v/>
      </c>
      <c r="D366" s="25">
        <f>IFERROR((C366-B366)*100,"")</f>
        <v/>
      </c>
      <c r="E366" s="25">
        <f>IFERROR(D366-D365,"")</f>
        <v/>
      </c>
      <c r="F366" s="25">
        <f>IFERROR(D365,"")</f>
        <v/>
      </c>
      <c r="G366" s="62">
        <f>IFERROR((D366-$C$24)/$C$25,"")</f>
        <v/>
      </c>
      <c r="H366" s="25" t="n"/>
      <c r="I366" s="25">
        <f>IFERROR(D366-D362,"")</f>
        <v/>
      </c>
      <c r="J366" s="25">
        <f>IFERROR(D366-D353,"")</f>
        <v/>
      </c>
      <c r="K366">
        <f>IF(A366="","",$C$24)</f>
        <v/>
      </c>
      <c r="L366">
        <f>IF(A366="","",$C$24-$C$25)</f>
        <v/>
      </c>
      <c r="M366">
        <f>IF(A366="","",$C$24+$C$25)</f>
        <v/>
      </c>
    </row>
    <row r="367">
      <c r="A367" s="23">
        <f>IFERROR(INDEX($R$108:$R$388,ROW()-107),"")</f>
        <v/>
      </c>
      <c r="B367">
        <f>IFERROR(INDEX($S$108:$S$388,ROW()-107),"")</f>
        <v/>
      </c>
      <c r="C367">
        <f>IFERROR(INDEX($W$108:$W$388,ROW()-107),"")</f>
        <v/>
      </c>
      <c r="D367" s="25">
        <f>IFERROR((C367-B367)*100,"")</f>
        <v/>
      </c>
      <c r="E367" s="25">
        <f>IFERROR(D367-D366,"")</f>
        <v/>
      </c>
      <c r="F367" s="25">
        <f>IFERROR(D366,"")</f>
        <v/>
      </c>
      <c r="G367" s="62">
        <f>IFERROR((D367-$C$24)/$C$25,"")</f>
        <v/>
      </c>
      <c r="H367" s="25" t="n"/>
      <c r="I367" s="25">
        <f>IFERROR(D367-D363,"")</f>
        <v/>
      </c>
      <c r="J367" s="25">
        <f>IFERROR(D367-D354,"")</f>
        <v/>
      </c>
      <c r="K367">
        <f>IF(A367="","",$C$24)</f>
        <v/>
      </c>
      <c r="L367">
        <f>IF(A367="","",$C$24-$C$25)</f>
        <v/>
      </c>
      <c r="M367">
        <f>IF(A367="","",$C$24+$C$25)</f>
        <v/>
      </c>
    </row>
    <row r="368">
      <c r="A368" s="23">
        <f>IFERROR(INDEX($R$108:$R$388,ROW()-107),"")</f>
        <v/>
      </c>
      <c r="B368">
        <f>IFERROR(INDEX($S$108:$S$388,ROW()-107),"")</f>
        <v/>
      </c>
      <c r="C368">
        <f>IFERROR(INDEX($W$108:$W$388,ROW()-107),"")</f>
        <v/>
      </c>
      <c r="D368" s="25">
        <f>IFERROR((C368-B368)*100,"")</f>
        <v/>
      </c>
      <c r="E368" s="25">
        <f>IFERROR(D368-D367,"")</f>
        <v/>
      </c>
      <c r="F368" s="25">
        <f>IFERROR(D367,"")</f>
        <v/>
      </c>
      <c r="G368" s="62">
        <f>IFERROR((D368-$C$24)/$C$25,"")</f>
        <v/>
      </c>
      <c r="H368" s="25" t="n"/>
      <c r="I368" s="25">
        <f>IFERROR(D368-D364,"")</f>
        <v/>
      </c>
      <c r="J368" s="25">
        <f>IFERROR(D368-D355,"")</f>
        <v/>
      </c>
      <c r="K368">
        <f>IF(A368="","",$C$24)</f>
        <v/>
      </c>
      <c r="L368">
        <f>IF(A368="","",$C$24-$C$25)</f>
        <v/>
      </c>
      <c r="M368">
        <f>IF(A368="","",$C$24+$C$25)</f>
        <v/>
      </c>
    </row>
    <row r="369">
      <c r="A369" s="23">
        <f>IFERROR(INDEX($R$108:$R$388,ROW()-107),"")</f>
        <v/>
      </c>
      <c r="B369">
        <f>IFERROR(INDEX($S$108:$S$388,ROW()-107),"")</f>
        <v/>
      </c>
      <c r="C369">
        <f>IFERROR(INDEX($W$108:$W$388,ROW()-107),"")</f>
        <v/>
      </c>
      <c r="D369" s="25">
        <f>IFERROR((C369-B369)*100,"")</f>
        <v/>
      </c>
      <c r="E369" s="25">
        <f>IFERROR(D369-D368,"")</f>
        <v/>
      </c>
      <c r="F369" s="25">
        <f>IFERROR(D368,"")</f>
        <v/>
      </c>
      <c r="G369" s="62">
        <f>IFERROR((D369-$C$24)/$C$25,"")</f>
        <v/>
      </c>
      <c r="H369" s="25" t="n"/>
      <c r="I369" s="25">
        <f>IFERROR(D369-D365,"")</f>
        <v/>
      </c>
      <c r="J369" s="25">
        <f>IFERROR(D369-D356,"")</f>
        <v/>
      </c>
      <c r="K369">
        <f>IF(A369="","",$C$24)</f>
        <v/>
      </c>
      <c r="L369">
        <f>IF(A369="","",$C$24-$C$25)</f>
        <v/>
      </c>
      <c r="M369">
        <f>IF(A369="","",$C$24+$C$25)</f>
        <v/>
      </c>
    </row>
    <row r="370">
      <c r="A370" s="23">
        <f>IFERROR(INDEX($R$108:$R$388,ROW()-107),"")</f>
        <v/>
      </c>
      <c r="B370">
        <f>IFERROR(INDEX($S$108:$S$388,ROW()-107),"")</f>
        <v/>
      </c>
      <c r="C370">
        <f>IFERROR(INDEX($W$108:$W$388,ROW()-107),"")</f>
        <v/>
      </c>
      <c r="D370" s="25">
        <f>IFERROR((C370-B370)*100,"")</f>
        <v/>
      </c>
      <c r="E370" s="25">
        <f>IFERROR(D370-D369,"")</f>
        <v/>
      </c>
      <c r="F370" s="25">
        <f>IFERROR(D369,"")</f>
        <v/>
      </c>
      <c r="G370" s="62">
        <f>IFERROR((D370-$C$24)/$C$25,"")</f>
        <v/>
      </c>
      <c r="H370" s="25" t="n"/>
      <c r="I370" s="25">
        <f>IFERROR(D370-D366,"")</f>
        <v/>
      </c>
      <c r="J370" s="25">
        <f>IFERROR(D370-D357,"")</f>
        <v/>
      </c>
      <c r="K370">
        <f>IF(A370="","",$C$24)</f>
        <v/>
      </c>
      <c r="L370">
        <f>IF(A370="","",$C$24-$C$25)</f>
        <v/>
      </c>
      <c r="M370">
        <f>IF(A370="","",$C$24+$C$25)</f>
        <v/>
      </c>
    </row>
    <row r="371">
      <c r="A371" s="23">
        <f>IFERROR(INDEX($R$108:$R$388,ROW()-107),"")</f>
        <v/>
      </c>
      <c r="B371">
        <f>IFERROR(INDEX($S$108:$S$388,ROW()-107),"")</f>
        <v/>
      </c>
      <c r="C371">
        <f>IFERROR(INDEX($W$108:$W$388,ROW()-107),"")</f>
        <v/>
      </c>
      <c r="D371" s="25">
        <f>IFERROR((C371-B371)*100,"")</f>
        <v/>
      </c>
      <c r="E371" s="25">
        <f>IFERROR(D371-D370,"")</f>
        <v/>
      </c>
      <c r="F371" s="25">
        <f>IFERROR(D370,"")</f>
        <v/>
      </c>
      <c r="G371" s="62">
        <f>IFERROR((D371-$C$24)/$C$25,"")</f>
        <v/>
      </c>
      <c r="H371" s="25" t="n"/>
      <c r="I371" s="25">
        <f>IFERROR(D371-D367,"")</f>
        <v/>
      </c>
      <c r="J371" s="25">
        <f>IFERROR(D371-D358,"")</f>
        <v/>
      </c>
      <c r="K371">
        <f>IF(A371="","",$C$24)</f>
        <v/>
      </c>
      <c r="L371">
        <f>IF(A371="","",$C$24-$C$25)</f>
        <v/>
      </c>
      <c r="M371">
        <f>IF(A371="","",$C$24+$C$25)</f>
        <v/>
      </c>
    </row>
    <row r="372">
      <c r="A372" s="23">
        <f>IFERROR(INDEX($R$108:$R$388,ROW()-107),"")</f>
        <v/>
      </c>
      <c r="B372">
        <f>IFERROR(INDEX($S$108:$S$388,ROW()-107),"")</f>
        <v/>
      </c>
      <c r="C372">
        <f>IFERROR(INDEX($W$108:$W$388,ROW()-107),"")</f>
        <v/>
      </c>
      <c r="D372" s="25">
        <f>IFERROR((C372-B372)*100,"")</f>
        <v/>
      </c>
      <c r="E372" s="25">
        <f>IFERROR(D372-D371,"")</f>
        <v/>
      </c>
      <c r="F372" s="25">
        <f>IFERROR(D371,"")</f>
        <v/>
      </c>
      <c r="G372" s="62">
        <f>IFERROR((D372-$C$24)/$C$25,"")</f>
        <v/>
      </c>
      <c r="H372" s="25" t="n"/>
      <c r="I372" s="25">
        <f>IFERROR(D372-D368,"")</f>
        <v/>
      </c>
      <c r="J372" s="25">
        <f>IFERROR(D372-D359,"")</f>
        <v/>
      </c>
      <c r="K372">
        <f>IF(A372="","",$C$24)</f>
        <v/>
      </c>
      <c r="L372">
        <f>IF(A372="","",$C$24-$C$25)</f>
        <v/>
      </c>
      <c r="M372">
        <f>IF(A372="","",$C$24+$C$25)</f>
        <v/>
      </c>
    </row>
    <row r="373">
      <c r="A373" s="23">
        <f>IFERROR(INDEX($R$108:$R$388,ROW()-107),"")</f>
        <v/>
      </c>
      <c r="B373">
        <f>IFERROR(INDEX($S$108:$S$388,ROW()-107),"")</f>
        <v/>
      </c>
      <c r="C373">
        <f>IFERROR(INDEX($W$108:$W$388,ROW()-107),"")</f>
        <v/>
      </c>
      <c r="D373" s="25">
        <f>IFERROR((C373-B373)*100,"")</f>
        <v/>
      </c>
      <c r="E373" s="25">
        <f>IFERROR(D373-D372,"")</f>
        <v/>
      </c>
      <c r="F373" s="25">
        <f>IFERROR(D372,"")</f>
        <v/>
      </c>
      <c r="G373" s="62">
        <f>IFERROR((D373-$C$24)/$C$25,"")</f>
        <v/>
      </c>
      <c r="H373" s="25" t="n"/>
      <c r="I373" s="25">
        <f>IFERROR(D373-D369,"")</f>
        <v/>
      </c>
      <c r="J373" s="25">
        <f>IFERROR(D373-D360,"")</f>
        <v/>
      </c>
      <c r="K373">
        <f>IF(A373="","",$C$24)</f>
        <v/>
      </c>
      <c r="L373">
        <f>IF(A373="","",$C$24-$C$25)</f>
        <v/>
      </c>
      <c r="M373">
        <f>IF(A373="","",$C$24+$C$25)</f>
        <v/>
      </c>
    </row>
    <row r="374">
      <c r="A374" s="23">
        <f>IFERROR(INDEX($R$108:$R$388,ROW()-107),"")</f>
        <v/>
      </c>
      <c r="B374">
        <f>IFERROR(INDEX($S$108:$S$388,ROW()-107),"")</f>
        <v/>
      </c>
      <c r="C374">
        <f>IFERROR(INDEX($W$108:$W$388,ROW()-107),"")</f>
        <v/>
      </c>
      <c r="D374" s="25">
        <f>IFERROR((C374-B374)*100,"")</f>
        <v/>
      </c>
      <c r="E374" s="25">
        <f>IFERROR(D374-D373,"")</f>
        <v/>
      </c>
      <c r="F374" s="25">
        <f>IFERROR(D373,"")</f>
        <v/>
      </c>
      <c r="G374" s="62">
        <f>IFERROR((D374-$C$24)/$C$25,"")</f>
        <v/>
      </c>
      <c r="H374" s="25" t="n"/>
      <c r="I374" s="25">
        <f>IFERROR(D374-D370,"")</f>
        <v/>
      </c>
      <c r="J374" s="25">
        <f>IFERROR(D374-D361,"")</f>
        <v/>
      </c>
      <c r="K374">
        <f>IF(A374="","",$C$24)</f>
        <v/>
      </c>
      <c r="L374">
        <f>IF(A374="","",$C$24-$C$25)</f>
        <v/>
      </c>
      <c r="M374">
        <f>IF(A374="","",$C$24+$C$25)</f>
        <v/>
      </c>
    </row>
    <row r="375">
      <c r="A375" s="23">
        <f>IFERROR(INDEX($R$108:$R$388,ROW()-107),"")</f>
        <v/>
      </c>
      <c r="B375">
        <f>IFERROR(INDEX($S$108:$S$388,ROW()-107),"")</f>
        <v/>
      </c>
      <c r="C375">
        <f>IFERROR(INDEX($W$108:$W$388,ROW()-107),"")</f>
        <v/>
      </c>
      <c r="D375" s="25">
        <f>IFERROR((C375-B375)*100,"")</f>
        <v/>
      </c>
      <c r="E375" s="25">
        <f>IFERROR(D375-D374,"")</f>
        <v/>
      </c>
      <c r="F375" s="25">
        <f>IFERROR(D374,"")</f>
        <v/>
      </c>
      <c r="G375" s="62">
        <f>IFERROR((D375-$C$24)/$C$25,"")</f>
        <v/>
      </c>
      <c r="H375" s="25" t="n"/>
      <c r="I375" s="25">
        <f>IFERROR(D375-D371,"")</f>
        <v/>
      </c>
      <c r="J375" s="25">
        <f>IFERROR(D375-D362,"")</f>
        <v/>
      </c>
      <c r="K375">
        <f>IF(A375="","",$C$24)</f>
        <v/>
      </c>
      <c r="L375">
        <f>IF(A375="","",$C$24-$C$25)</f>
        <v/>
      </c>
      <c r="M375">
        <f>IF(A375="","",$C$24+$C$25)</f>
        <v/>
      </c>
    </row>
    <row r="376">
      <c r="A376" s="23">
        <f>IFERROR(INDEX($R$108:$R$388,ROW()-107),"")</f>
        <v/>
      </c>
      <c r="B376">
        <f>IFERROR(INDEX($S$108:$S$388,ROW()-107),"")</f>
        <v/>
      </c>
      <c r="C376">
        <f>IFERROR(INDEX($W$108:$W$388,ROW()-107),"")</f>
        <v/>
      </c>
      <c r="D376" s="25">
        <f>IFERROR((C376-B376)*100,"")</f>
        <v/>
      </c>
      <c r="E376" s="25">
        <f>IFERROR(D376-D375,"")</f>
        <v/>
      </c>
      <c r="F376" s="25">
        <f>IFERROR(D375,"")</f>
        <v/>
      </c>
      <c r="G376" s="62">
        <f>IFERROR((D376-$C$24)/$C$25,"")</f>
        <v/>
      </c>
      <c r="H376" s="25" t="n"/>
      <c r="I376" s="25">
        <f>IFERROR(D376-D372,"")</f>
        <v/>
      </c>
      <c r="J376" s="25">
        <f>IFERROR(D376-D363,"")</f>
        <v/>
      </c>
      <c r="K376">
        <f>IF(A376="","",$C$24)</f>
        <v/>
      </c>
      <c r="L376">
        <f>IF(A376="","",$C$24-$C$25)</f>
        <v/>
      </c>
      <c r="M376">
        <f>IF(A376="","",$C$24+$C$25)</f>
        <v/>
      </c>
    </row>
    <row r="377">
      <c r="A377" s="23">
        <f>IFERROR(INDEX($R$108:$R$388,ROW()-107),"")</f>
        <v/>
      </c>
      <c r="B377">
        <f>IFERROR(INDEX($S$108:$S$388,ROW()-107),"")</f>
        <v/>
      </c>
      <c r="C377">
        <f>IFERROR(INDEX($W$108:$W$388,ROW()-107),"")</f>
        <v/>
      </c>
      <c r="D377" s="25">
        <f>IFERROR((C377-B377)*100,"")</f>
        <v/>
      </c>
      <c r="E377" s="25">
        <f>IFERROR(D377-D376,"")</f>
        <v/>
      </c>
      <c r="F377" s="25">
        <f>IFERROR(D376,"")</f>
        <v/>
      </c>
      <c r="G377" s="62">
        <f>IFERROR((D377-$C$24)/$C$25,"")</f>
        <v/>
      </c>
      <c r="H377" s="25" t="n"/>
      <c r="I377" s="25">
        <f>IFERROR(D377-D373,"")</f>
        <v/>
      </c>
      <c r="J377" s="25">
        <f>IFERROR(D377-D364,"")</f>
        <v/>
      </c>
      <c r="K377">
        <f>IF(A377="","",$C$24)</f>
        <v/>
      </c>
      <c r="L377">
        <f>IF(A377="","",$C$24-$C$25)</f>
        <v/>
      </c>
      <c r="M377">
        <f>IF(A377="","",$C$24+$C$25)</f>
        <v/>
      </c>
    </row>
    <row r="378">
      <c r="A378" s="23">
        <f>IFERROR(INDEX($R$108:$R$388,ROW()-107),"")</f>
        <v/>
      </c>
      <c r="B378">
        <f>IFERROR(INDEX($S$108:$S$388,ROW()-107),"")</f>
        <v/>
      </c>
      <c r="C378">
        <f>IFERROR(INDEX($W$108:$W$388,ROW()-107),"")</f>
        <v/>
      </c>
      <c r="D378" s="25">
        <f>IFERROR((C378-B378)*100,"")</f>
        <v/>
      </c>
      <c r="E378" s="25">
        <f>IFERROR(D378-D377,"")</f>
        <v/>
      </c>
      <c r="F378" s="25">
        <f>IFERROR(D377,"")</f>
        <v/>
      </c>
      <c r="G378" s="62">
        <f>IFERROR((D378-$C$24)/$C$25,"")</f>
        <v/>
      </c>
      <c r="H378" s="25" t="n"/>
      <c r="I378" s="25">
        <f>IFERROR(D378-D374,"")</f>
        <v/>
      </c>
      <c r="J378" s="25">
        <f>IFERROR(D378-D365,"")</f>
        <v/>
      </c>
      <c r="K378">
        <f>IF(A378="","",$C$24)</f>
        <v/>
      </c>
      <c r="L378">
        <f>IF(A378="","",$C$24-$C$25)</f>
        <v/>
      </c>
      <c r="M378">
        <f>IF(A378="","",$C$24+$C$25)</f>
        <v/>
      </c>
    </row>
    <row r="379">
      <c r="A379" s="23">
        <f>IFERROR(INDEX($R$108:$R$388,ROW()-107),"")</f>
        <v/>
      </c>
      <c r="B379">
        <f>IFERROR(INDEX($S$108:$S$388,ROW()-107),"")</f>
        <v/>
      </c>
      <c r="C379">
        <f>IFERROR(INDEX($W$108:$W$388,ROW()-107),"")</f>
        <v/>
      </c>
      <c r="D379" s="25">
        <f>IFERROR((C379-B379)*100,"")</f>
        <v/>
      </c>
      <c r="E379" s="25">
        <f>IFERROR(D379-D378,"")</f>
        <v/>
      </c>
      <c r="F379" s="25">
        <f>IFERROR(D378,"")</f>
        <v/>
      </c>
      <c r="G379" s="62">
        <f>IFERROR((D379-$C$24)/$C$25,"")</f>
        <v/>
      </c>
      <c r="H379" s="25" t="n"/>
      <c r="I379" s="25">
        <f>IFERROR(D379-D375,"")</f>
        <v/>
      </c>
      <c r="J379" s="25">
        <f>IFERROR(D379-D366,"")</f>
        <v/>
      </c>
      <c r="K379">
        <f>IF(A379="","",$C$24)</f>
        <v/>
      </c>
      <c r="L379">
        <f>IF(A379="","",$C$24-$C$25)</f>
        <v/>
      </c>
      <c r="M379">
        <f>IF(A379="","",$C$24+$C$25)</f>
        <v/>
      </c>
    </row>
    <row r="380">
      <c r="A380" s="23">
        <f>IFERROR(INDEX($R$108:$R$388,ROW()-107),"")</f>
        <v/>
      </c>
      <c r="B380">
        <f>IFERROR(INDEX($S$108:$S$388,ROW()-107),"")</f>
        <v/>
      </c>
      <c r="C380">
        <f>IFERROR(INDEX($W$108:$W$388,ROW()-107),"")</f>
        <v/>
      </c>
      <c r="D380" s="25">
        <f>IFERROR((C380-B380)*100,"")</f>
        <v/>
      </c>
      <c r="E380" s="25">
        <f>IFERROR(D380-D379,"")</f>
        <v/>
      </c>
      <c r="F380" s="25">
        <f>IFERROR(D379,"")</f>
        <v/>
      </c>
      <c r="G380" s="62">
        <f>IFERROR((D380-$C$24)/$C$25,"")</f>
        <v/>
      </c>
      <c r="H380" s="25" t="n"/>
      <c r="I380" s="25">
        <f>IFERROR(D380-D376,"")</f>
        <v/>
      </c>
      <c r="J380" s="25">
        <f>IFERROR(D380-D367,"")</f>
        <v/>
      </c>
      <c r="K380">
        <f>IF(A380="","",$C$24)</f>
        <v/>
      </c>
      <c r="L380">
        <f>IF(A380="","",$C$24-$C$25)</f>
        <v/>
      </c>
      <c r="M380">
        <f>IF(A380="","",$C$24+$C$25)</f>
        <v/>
      </c>
    </row>
    <row r="381">
      <c r="A381" s="23">
        <f>IFERROR(INDEX($R$108:$R$388,ROW()-107),"")</f>
        <v/>
      </c>
      <c r="B381">
        <f>IFERROR(INDEX($S$108:$S$388,ROW()-107),"")</f>
        <v/>
      </c>
      <c r="C381">
        <f>IFERROR(INDEX($W$108:$W$388,ROW()-107),"")</f>
        <v/>
      </c>
      <c r="D381" s="25">
        <f>IFERROR((C381-B381)*100,"")</f>
        <v/>
      </c>
      <c r="E381" s="25">
        <f>IFERROR(D381-D380,"")</f>
        <v/>
      </c>
      <c r="F381" s="25">
        <f>IFERROR(D380,"")</f>
        <v/>
      </c>
      <c r="G381" s="62">
        <f>IFERROR((D381-$C$24)/$C$25,"")</f>
        <v/>
      </c>
      <c r="H381" s="25" t="n"/>
      <c r="I381" s="25">
        <f>IFERROR(D381-D377,"")</f>
        <v/>
      </c>
      <c r="J381" s="25">
        <f>IFERROR(D381-D368,"")</f>
        <v/>
      </c>
      <c r="K381">
        <f>IF(A381="","",$C$24)</f>
        <v/>
      </c>
      <c r="L381">
        <f>IF(A381="","",$C$24-$C$25)</f>
        <v/>
      </c>
      <c r="M381">
        <f>IF(A381="","",$C$24+$C$25)</f>
        <v/>
      </c>
    </row>
    <row r="382">
      <c r="A382" s="23">
        <f>IFERROR(INDEX($R$108:$R$388,ROW()-107),"")</f>
        <v/>
      </c>
      <c r="B382">
        <f>IFERROR(INDEX($S$108:$S$388,ROW()-107),"")</f>
        <v/>
      </c>
      <c r="C382">
        <f>IFERROR(INDEX($W$108:$W$388,ROW()-107),"")</f>
        <v/>
      </c>
      <c r="D382" s="25">
        <f>IFERROR((C382-B382)*100,"")</f>
        <v/>
      </c>
      <c r="E382" s="25">
        <f>IFERROR(D382-D381,"")</f>
        <v/>
      </c>
      <c r="F382" s="25">
        <f>IFERROR(D381,"")</f>
        <v/>
      </c>
      <c r="G382" s="62">
        <f>IFERROR((D382-$C$24)/$C$25,"")</f>
        <v/>
      </c>
      <c r="H382" s="25" t="n"/>
      <c r="I382" s="25">
        <f>IFERROR(D382-D378,"")</f>
        <v/>
      </c>
      <c r="J382" s="25">
        <f>IFERROR(D382-D369,"")</f>
        <v/>
      </c>
      <c r="K382">
        <f>IF(A382="","",$C$24)</f>
        <v/>
      </c>
      <c r="L382">
        <f>IF(A382="","",$C$24-$C$25)</f>
        <v/>
      </c>
      <c r="M382">
        <f>IF(A382="","",$C$24+$C$25)</f>
        <v/>
      </c>
    </row>
    <row r="383">
      <c r="A383" s="23">
        <f>IFERROR(INDEX($R$108:$R$388,ROW()-107),"")</f>
        <v/>
      </c>
      <c r="B383">
        <f>IFERROR(INDEX($S$108:$S$388,ROW()-107),"")</f>
        <v/>
      </c>
      <c r="C383">
        <f>IFERROR(INDEX($W$108:$W$388,ROW()-107),"")</f>
        <v/>
      </c>
      <c r="D383" s="25">
        <f>IFERROR((C383-B383)*100,"")</f>
        <v/>
      </c>
      <c r="E383" s="25">
        <f>IFERROR(D383-D382,"")</f>
        <v/>
      </c>
      <c r="F383" s="25">
        <f>IFERROR(D382,"")</f>
        <v/>
      </c>
      <c r="G383" s="62">
        <f>IFERROR((D383-$C$24)/$C$25,"")</f>
        <v/>
      </c>
      <c r="H383" s="25" t="n"/>
      <c r="I383" s="25">
        <f>IFERROR(D383-D379,"")</f>
        <v/>
      </c>
      <c r="J383" s="25">
        <f>IFERROR(D383-D370,"")</f>
        <v/>
      </c>
      <c r="K383">
        <f>IF(A383="","",$C$24)</f>
        <v/>
      </c>
      <c r="L383">
        <f>IF(A383="","",$C$24-$C$25)</f>
        <v/>
      </c>
      <c r="M383">
        <f>IF(A383="","",$C$24+$C$25)</f>
        <v/>
      </c>
    </row>
    <row r="384">
      <c r="A384" s="23">
        <f>IFERROR(INDEX($R$108:$R$388,ROW()-107),"")</f>
        <v/>
      </c>
      <c r="B384">
        <f>IFERROR(INDEX($S$108:$S$388,ROW()-107),"")</f>
        <v/>
      </c>
      <c r="C384">
        <f>IFERROR(INDEX($W$108:$W$388,ROW()-107),"")</f>
        <v/>
      </c>
      <c r="D384" s="25">
        <f>IFERROR((C384-B384)*100,"")</f>
        <v/>
      </c>
      <c r="E384" s="25">
        <f>IFERROR(D384-D383,"")</f>
        <v/>
      </c>
      <c r="F384" s="25">
        <f>IFERROR(D383,"")</f>
        <v/>
      </c>
      <c r="G384" s="62">
        <f>IFERROR((D384-$C$24)/$C$25,"")</f>
        <v/>
      </c>
      <c r="H384" s="25" t="n"/>
      <c r="I384" s="25">
        <f>IFERROR(D384-D380,"")</f>
        <v/>
      </c>
      <c r="J384" s="25">
        <f>IFERROR(D384-D371,"")</f>
        <v/>
      </c>
      <c r="K384">
        <f>IF(A384="","",$C$24)</f>
        <v/>
      </c>
      <c r="L384">
        <f>IF(A384="","",$C$24-$C$25)</f>
        <v/>
      </c>
      <c r="M384">
        <f>IF(A384="","",$C$24+$C$25)</f>
        <v/>
      </c>
    </row>
    <row r="385">
      <c r="A385" s="23">
        <f>IFERROR(INDEX($R$108:$R$388,ROW()-107),"")</f>
        <v/>
      </c>
      <c r="B385">
        <f>IFERROR(INDEX($S$108:$S$388,ROW()-107),"")</f>
        <v/>
      </c>
      <c r="C385">
        <f>IFERROR(INDEX($W$108:$W$388,ROW()-107),"")</f>
        <v/>
      </c>
      <c r="D385" s="25">
        <f>IFERROR((C385-B385)*100,"")</f>
        <v/>
      </c>
      <c r="E385" s="25">
        <f>IFERROR(D385-D384,"")</f>
        <v/>
      </c>
      <c r="F385" s="25">
        <f>IFERROR(D384,"")</f>
        <v/>
      </c>
      <c r="G385" s="62">
        <f>IFERROR((D385-$C$24)/$C$25,"")</f>
        <v/>
      </c>
      <c r="H385" s="25" t="n"/>
      <c r="I385" s="25">
        <f>IFERROR(D385-D381,"")</f>
        <v/>
      </c>
      <c r="J385" s="25">
        <f>IFERROR(D385-D372,"")</f>
        <v/>
      </c>
      <c r="K385">
        <f>IF(A385="","",$C$24)</f>
        <v/>
      </c>
      <c r="L385">
        <f>IF(A385="","",$C$24-$C$25)</f>
        <v/>
      </c>
      <c r="M385">
        <f>IF(A385="","",$C$24+$C$25)</f>
        <v/>
      </c>
    </row>
    <row r="386">
      <c r="A386" s="23">
        <f>IFERROR(INDEX($R$108:$R$388,ROW()-107),"")</f>
        <v/>
      </c>
      <c r="B386">
        <f>IFERROR(INDEX($S$108:$S$388,ROW()-107),"")</f>
        <v/>
      </c>
      <c r="C386">
        <f>IFERROR(INDEX($W$108:$W$388,ROW()-107),"")</f>
        <v/>
      </c>
      <c r="D386" s="25">
        <f>IFERROR((C386-B386)*100,"")</f>
        <v/>
      </c>
      <c r="E386" s="25">
        <f>IFERROR(D386-D385,"")</f>
        <v/>
      </c>
      <c r="F386" s="25">
        <f>IFERROR(D385,"")</f>
        <v/>
      </c>
      <c r="G386" s="62">
        <f>IFERROR((D386-$C$24)/$C$25,"")</f>
        <v/>
      </c>
      <c r="H386" s="25" t="n"/>
      <c r="I386" s="25">
        <f>IFERROR(D386-D382,"")</f>
        <v/>
      </c>
      <c r="J386" s="25">
        <f>IFERROR(D386-D373,"")</f>
        <v/>
      </c>
      <c r="K386">
        <f>IF(A386="","",$C$24)</f>
        <v/>
      </c>
      <c r="L386">
        <f>IF(A386="","",$C$24-$C$25)</f>
        <v/>
      </c>
      <c r="M386">
        <f>IF(A386="","",$C$24+$C$25)</f>
        <v/>
      </c>
    </row>
    <row r="387">
      <c r="A387" s="23">
        <f>IFERROR(INDEX($R$108:$R$388,ROW()-107),"")</f>
        <v/>
      </c>
      <c r="B387">
        <f>IFERROR(INDEX($S$108:$S$388,ROW()-107),"")</f>
        <v/>
      </c>
      <c r="C387">
        <f>IFERROR(INDEX($W$108:$W$388,ROW()-107),"")</f>
        <v/>
      </c>
      <c r="D387" s="25">
        <f>IFERROR((C387-B387)*100,"")</f>
        <v/>
      </c>
      <c r="E387" s="25">
        <f>IFERROR(D387-D386,"")</f>
        <v/>
      </c>
      <c r="F387" s="25">
        <f>IFERROR(D386,"")</f>
        <v/>
      </c>
      <c r="G387" s="62">
        <f>IFERROR((D387-$C$24)/$C$25,"")</f>
        <v/>
      </c>
      <c r="H387" s="25" t="n"/>
      <c r="I387" s="25">
        <f>IFERROR(D387-D383,"")</f>
        <v/>
      </c>
      <c r="J387" s="25">
        <f>IFERROR(D387-D374,"")</f>
        <v/>
      </c>
      <c r="K387">
        <f>IF(A387="","",$C$24)</f>
        <v/>
      </c>
      <c r="L387">
        <f>IF(A387="","",$C$24-$C$25)</f>
        <v/>
      </c>
      <c r="M387">
        <f>IF(A387="","",$C$24+$C$25)</f>
        <v/>
      </c>
    </row>
  </sheetData>
  <pageMargins left="0.75" right="0.75" top="1" bottom="1" header="0.5" footer="0.5"/>
  <drawing xmlns:r="http://schemas.openxmlformats.org/officeDocument/2006/relationships" r:id="rId1"/>
</worksheet>
</file>

<file path=xl/worksheets/sheet20.xml><?xml version="1.0" encoding="utf-8"?>
<worksheet xmlns="http://schemas.openxmlformats.org/spreadsheetml/2006/main">
  <sheetPr>
    <outlinePr summaryBelow="1" summaryRight="1"/>
    <pageSetUpPr/>
  </sheetPr>
  <dimension ref="A1:H44"/>
  <sheetViews>
    <sheetView showGridLines="0" workbookViewId="0">
      <pane ySplit="4" topLeftCell="A5" activePane="bottomLeft" state="frozen"/>
      <selection pane="bottomLeft" activeCell="A1" sqref="A1"/>
    </sheetView>
  </sheetViews>
  <sheetFormatPr baseColWidth="8" defaultRowHeight="15"/>
  <cols>
    <col width="34" customWidth="1" min="1" max="1"/>
    <col width="96" customWidth="1" min="2" max="2"/>
    <col width="52" customWidth="1" min="3" max="3"/>
  </cols>
  <sheetData>
    <row r="1">
      <c r="A1" s="1" t="inlineStr">
        <is>
          <t>BQL — member-level queries</t>
        </is>
      </c>
    </row>
    <row r="2">
      <c r="A2" s="2" t="inlineStr">
        <is>
          <t>Anything needing logic across index members. Paste-ready; each spills its own block, so leave room beneath.</t>
        </is>
      </c>
    </row>
    <row r="3" ht="4" customHeight="1">
      <c r="A3" s="3" t="n"/>
      <c r="B3" s="3" t="n"/>
      <c r="C3" s="3" t="n"/>
      <c r="D3" s="3" t="n"/>
      <c r="E3" s="3" t="n"/>
      <c r="F3" s="3" t="n"/>
      <c r="G3" s="3" t="n"/>
      <c r="H3" s="3" t="n"/>
    </row>
    <row r="5" ht="18" customHeight="1">
      <c r="A5" s="4" t="inlineStr">
        <is>
          <t>Purpose</t>
        </is>
      </c>
      <c r="B5" s="4" t="inlineStr">
        <is>
          <t>Query</t>
        </is>
      </c>
      <c r="C5" s="4" t="inlineStr">
        <is>
          <t>What it sources</t>
        </is>
      </c>
    </row>
    <row r="6" ht="30" customHeight="1">
      <c r="A6" s="5" t="inlineStr">
        <is>
          <t>TAIEX weights, descending</t>
        </is>
      </c>
      <c r="B6" s="63">
        <f>BQL("members('TWSE Index')","groupsort(id().weights, order=desc), id().value, name().value")</f>
        <v/>
      </c>
      <c r="C6" s="58" t="inlineStr">
        <is>
          <t>The 'TSMC is over 40% of the TAIEX' claim in §5.1. Help desk H#1331801627: sort with groupsort() in the expression, NOT a "sort=desc" parameter.</t>
        </is>
      </c>
    </row>
    <row r="10" ht="30" customHeight="1">
      <c r="A10" s="5" t="inlineStr">
        <is>
          <t>KOSPI 200 weights, descending</t>
        </is>
      </c>
      <c r="B10" s="63">
        <f>BQL("members('KOSPI2 Index')","groupsort(id().weights, order=desc), id().value, name().value")</f>
        <v/>
      </c>
      <c r="C10" s="58" t="inlineStr">
        <is>
          <t>Samsung plus SK Hynix combined weight.</t>
        </is>
      </c>
    </row>
    <row r="14" ht="30" customHeight="1">
      <c r="A14" s="5" t="inlineStr">
        <is>
          <t>SPX weights, descending</t>
        </is>
      </c>
      <c r="B14" s="63">
        <f>BQL("members('SPX Index')","groupsort(id().weights, order=desc), id().value, name().value")</f>
        <v/>
      </c>
      <c r="C14" s="58" t="inlineStr">
        <is>
          <t>Top-10 concentration for the breadth argument.</t>
        </is>
      </c>
    </row>
    <row r="18" ht="30" customHeight="1">
      <c r="A18" s="5" t="inlineStr">
        <is>
          <t>SPX % of members with an upward 4-week EPS revision</t>
        </is>
      </c>
      <c r="B18" s="63">
        <f>BQL("members('SPX Index')","sum(group(if(contributor_revisions(IS_EPS(FPT=A, FPO=1, AE=E), NUMUP, 4W) &gt; 0, 1, 0))) / count(group(id())) * 100")</f>
        <v/>
      </c>
      <c r="C18" s="58" t="inlineStr">
        <is>
          <t>Revision breadth, returned as a percentage. Help desk supplied this form — contributor_revisions(), not pct_chg(best_eps()).</t>
        </is>
      </c>
    </row>
    <row r="22" ht="30" customHeight="1">
      <c r="A22" s="5" t="inlineStr">
        <is>
          <t>SPX members, fwd P/E</t>
        </is>
      </c>
      <c r="B22" s="63">
        <f>BQL("members('SPX Index')","best_pe_ratio(fpo='1BF')")</f>
        <v/>
      </c>
      <c r="C22" s="58" t="inlineStr">
        <is>
          <t>Distribution of multiples, for the dispersion point in §2.2(a).</t>
        </is>
      </c>
    </row>
    <row r="26" ht="30" customHeight="1">
      <c r="A26" s="5" t="inlineStr">
        <is>
          <t>Market cap history, Samsung</t>
        </is>
      </c>
      <c r="B26" s="63">
        <f>BQL("005930 KS Equity","cur_mkt_cap(dates=range(2026-07-20,2026-07-31))")</f>
        <v/>
      </c>
      <c r="C26" s="58" t="inlineStr">
        <is>
          <t>The before/after on the DUV announcement. Date format confirmed: hardcoded BQL dates in Excel must be YYYY-MM-DD.</t>
        </is>
      </c>
    </row>
    <row r="30" ht="30" customHeight="1">
      <c r="A30" s="5" t="inlineStr">
        <is>
          <t>Market cap history, SK Hynix</t>
        </is>
      </c>
      <c r="B30" s="63">
        <f>BQL("000660 KS Equity","cur_mkt_cap(dates=range(2026-07-20,2026-07-31))")</f>
        <v/>
      </c>
      <c r="C30" s="58" t="inlineStr">
        <is>
          <t>Second leg of the ~$270bn figure in §3.4.</t>
        </is>
      </c>
    </row>
    <row r="34" ht="30" customHeight="1">
      <c r="A34" s="5" t="inlineStr">
        <is>
          <t>Market cap history, ASML</t>
        </is>
      </c>
      <c r="B34" s="63">
        <f>BQL("ASML NA Equity","cur_mkt_cap(dates=range(2026-07-20,2026-07-31))")</f>
        <v/>
      </c>
      <c r="C34" s="58" t="inlineStr">
        <is>
          <t>The −7% on the DUV announcement.</t>
        </is>
      </c>
    </row>
    <row r="40">
      <c r="A40" s="12" t="inlineStr">
        <is>
          <t>BQL is enabled on this seat (help desk H#1331801627). Two syntax points they corrected: sorting is done with groupsort() inside the expression rather than a "sort=desc" parameter, and hardcoded dates in Excel must be YYYY-MM-DD.</t>
        </is>
      </c>
    </row>
    <row r="42">
      <c r="A42" s="12" t="inlineStr">
        <is>
          <t>Use =BQL.QUERY() instead when you need a raw query string containing get(...) and for(...). Splitting a query across cells is optional — it exists to work around Excel's 255-character limit on a single quoted string inside a formula. Everything above is short enough to stay in one cell.</t>
        </is>
      </c>
    </row>
    <row r="44">
      <c r="A44" s="12" t="inlineStr">
        <is>
          <t>The help desk recommends BQL over BDH for the large historical pulls — it returns more data for far less of the daily capacity. Worth moving the credit history here if the BDH version proves slow.</t>
        </is>
      </c>
    </row>
  </sheetData>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H60"/>
  <sheetViews>
    <sheetView showGridLines="0" workbookViewId="0">
      <pane ySplit="4" topLeftCell="A5" activePane="bottomLeft" state="frozen"/>
      <selection pane="bottomLeft" activeCell="A1" sqref="A1"/>
    </sheetView>
  </sheetViews>
  <sheetFormatPr baseColWidth="8" defaultRowHeight="15"/>
  <cols>
    <col width="22" customWidth="1" min="1" max="1"/>
    <col width="42" customWidth="1" min="2" max="2"/>
    <col width="14" customWidth="1" min="3" max="3"/>
    <col width="62" customWidth="1" min="4" max="4"/>
  </cols>
  <sheetData>
    <row r="1">
      <c r="A1" s="1" t="inlineStr">
        <is>
          <t>Ticker register — what the help desk confirmed, and what is still open</t>
        </is>
      </c>
    </row>
    <row r="2">
      <c r="A2" s="2" t="inlineStr">
        <is>
          <t>Documentation, not the live source. The formulas on the other tabs carry their own tickers; if you change one there, change it here too.</t>
        </is>
      </c>
    </row>
    <row r="3" ht="4" customHeight="1">
      <c r="A3" s="3" t="n"/>
      <c r="B3" s="3" t="n"/>
      <c r="C3" s="3" t="n"/>
      <c r="D3" s="3" t="n"/>
      <c r="E3" s="3" t="n"/>
      <c r="F3" s="3" t="n"/>
      <c r="G3" s="3" t="n"/>
      <c r="H3" s="3" t="n"/>
    </row>
    <row r="5" ht="18" customHeight="1">
      <c r="A5" s="4" t="inlineStr">
        <is>
          <t>Ticker</t>
        </is>
      </c>
      <c r="B5" s="4" t="inlineStr">
        <is>
          <t>What it is</t>
        </is>
      </c>
      <c r="C5" s="4" t="inlineStr">
        <is>
          <t>Status</t>
        </is>
      </c>
      <c r="D5" s="4" t="inlineStr">
        <is>
          <t>Action / source</t>
        </is>
      </c>
    </row>
    <row r="6">
      <c r="A6" s="14" t="inlineStr">
        <is>
          <t>SPW Index</t>
        </is>
      </c>
      <c r="B6" s="13" t="inlineStr">
        <is>
          <t>S&amp;P 500 Equal Weight, price return</t>
        </is>
      </c>
      <c r="C6" s="40" t="inlineStr">
        <is>
          <t>CONFIRMED</t>
        </is>
      </c>
      <c r="D6" s="58" t="inlineStr">
        <is>
          <t>H#1331801611. SPXEWTR is the total-return version and will differ.</t>
        </is>
      </c>
    </row>
    <row r="7">
      <c r="A7" s="14" t="inlineStr">
        <is>
          <t>USDKRW / USDCNH / USDINR Curncy</t>
        </is>
      </c>
      <c r="B7" s="13" t="inlineStr">
        <is>
          <t>FX spot</t>
        </is>
      </c>
      <c r="C7" s="40" t="inlineStr">
        <is>
          <t>CONFIRMED</t>
        </is>
      </c>
      <c r="D7" s="58" t="inlineStr">
        <is>
          <t>Confirmed as written.</t>
        </is>
      </c>
    </row>
    <row r="8">
      <c r="A8" s="14" t="inlineStr">
        <is>
          <t>USDJPY Curncy</t>
        </is>
      </c>
      <c r="B8" s="13" t="inlineStr">
        <is>
          <t>USD/JPY spot</t>
        </is>
      </c>
      <c r="C8" s="40" t="inlineStr">
        <is>
          <t>CONFIRMED</t>
        </is>
      </c>
      <c r="D8" s="58" t="inlineStr">
        <is>
          <t>JPY Curncy also acceptable.</t>
        </is>
      </c>
    </row>
    <row r="9">
      <c r="A9" s="14" t="inlineStr">
        <is>
          <t>CO1 Comdty</t>
        </is>
      </c>
      <c r="B9" s="13" t="inlineStr">
        <is>
          <t>Brent, front-month generic</t>
        </is>
      </c>
      <c r="C9" s="40" t="inlineStr">
        <is>
          <t>CONFIRMED</t>
        </is>
      </c>
      <c r="D9" s="58" t="inlineStr">
        <is>
          <t>Confirmed.</t>
        </is>
      </c>
    </row>
    <row r="10">
      <c r="A10" s="14" t="inlineStr">
        <is>
          <t>XAU Curncy</t>
        </is>
      </c>
      <c r="B10" s="13" t="inlineStr">
        <is>
          <t>Gold spot, $/oz</t>
        </is>
      </c>
      <c r="C10" s="40" t="inlineStr">
        <is>
          <t>CONFIRMED</t>
        </is>
      </c>
      <c r="D10" s="58" t="inlineStr">
        <is>
          <t>Confirmed.</t>
        </is>
      </c>
    </row>
    <row r="11">
      <c r="A11" s="14" t="inlineStr">
        <is>
          <t>XB1 Comdty</t>
        </is>
      </c>
      <c r="B11" s="13" t="inlineStr">
        <is>
          <t>RBOB gasoline, front-month generic</t>
        </is>
      </c>
      <c r="C11" s="40" t="inlineStr">
        <is>
          <t>CONFIRMED</t>
        </is>
      </c>
      <c r="D11" s="58" t="inlineStr">
        <is>
          <t>Confirmed — but it is a futures proxy, not the pump price.</t>
        </is>
      </c>
    </row>
    <row r="12">
      <c r="A12" s="14" t="inlineStr">
        <is>
          <t>VIX Index</t>
        </is>
      </c>
      <c r="B12" s="13" t="inlineStr">
        <is>
          <t>Cboe VIX</t>
        </is>
      </c>
      <c r="C12" s="40" t="inlineStr">
        <is>
          <t>CONFIRMED</t>
        </is>
      </c>
      <c r="D12" s="58" t="inlineStr">
        <is>
          <t>Confirmed.</t>
        </is>
      </c>
    </row>
    <row r="13">
      <c r="A13" s="14" t="inlineStr">
        <is>
          <t>VNKY Index</t>
        </is>
      </c>
      <c r="B13" s="13" t="inlineStr">
        <is>
          <t>Nikkei volatility index</t>
        </is>
      </c>
      <c r="C13" s="40" t="inlineStr">
        <is>
          <t>CONFIRMED</t>
        </is>
      </c>
      <c r="D13" s="58" t="inlineStr">
        <is>
          <t>Confirmed.</t>
        </is>
      </c>
    </row>
    <row r="14">
      <c r="A14" s="14" t="inlineStr">
        <is>
          <t>VKOSPI Index</t>
        </is>
      </c>
      <c r="B14" s="13" t="inlineStr">
        <is>
          <t>KOSPI volatility index</t>
        </is>
      </c>
      <c r="C14" s="40" t="inlineStr">
        <is>
          <t>CONFIRMED</t>
        </is>
      </c>
      <c r="D14" s="58" t="inlineStr">
        <is>
          <t>Confirmed.</t>
        </is>
      </c>
    </row>
    <row r="15">
      <c r="A15" s="14" t="inlineStr">
        <is>
          <t>LF98OAS Index</t>
        </is>
      </c>
      <c r="B15" s="13" t="inlineStr">
        <is>
          <t>Bloomberg US Corporate HY, average OAS</t>
        </is>
      </c>
      <c r="C15" s="40" t="inlineStr">
        <is>
          <t>CONFIRMED</t>
        </is>
      </c>
      <c r="D15" s="58" t="inlineStr">
        <is>
          <t>Confirmed. Series starts 1994, so 1996 history is available.</t>
        </is>
      </c>
    </row>
    <row r="16">
      <c r="A16" s="14" t="inlineStr">
        <is>
          <t>LUACOAS Index</t>
        </is>
      </c>
      <c r="B16" s="13" t="inlineStr">
        <is>
          <t>Bloomberg US Corporate IG, average OAS</t>
        </is>
      </c>
      <c r="C16" s="40" t="inlineStr">
        <is>
          <t>CONFIRMED</t>
        </is>
      </c>
      <c r="D16" s="58" t="inlineStr">
        <is>
          <t>Confirmed.</t>
        </is>
      </c>
    </row>
    <row r="17">
      <c r="A17" s="14" t="inlineStr">
        <is>
          <t>005930 KS Equity</t>
        </is>
      </c>
      <c r="B17" s="13" t="inlineStr">
        <is>
          <t>Samsung Electronics</t>
        </is>
      </c>
      <c r="C17" s="40" t="inlineStr">
        <is>
          <t>CONFIRMED</t>
        </is>
      </c>
      <c r="D17" s="58" t="inlineStr">
        <is>
          <t>Confirmed. CUR_MKT_CAP history available via BDH.</t>
        </is>
      </c>
    </row>
    <row r="18">
      <c r="A18" s="14" t="inlineStr">
        <is>
          <t>000660 KS Equity</t>
        </is>
      </c>
      <c r="B18" s="13" t="inlineStr">
        <is>
          <t>SK Hynix</t>
        </is>
      </c>
      <c r="C18" s="40" t="inlineStr">
        <is>
          <t>CONFIRMED</t>
        </is>
      </c>
      <c r="D18" s="58" t="inlineStr">
        <is>
          <t>Confirmed.</t>
        </is>
      </c>
    </row>
    <row r="19">
      <c r="A19" s="14" t="inlineStr">
        <is>
          <t>ASML NA Equity</t>
        </is>
      </c>
      <c r="B19" s="13" t="inlineStr">
        <is>
          <t>ASML</t>
        </is>
      </c>
      <c r="C19" s="40" t="inlineStr">
        <is>
          <t>CONFIRMED</t>
        </is>
      </c>
      <c r="D19" s="58" t="inlineStr">
        <is>
          <t>Confirmed.</t>
        </is>
      </c>
    </row>
    <row r="20">
      <c r="A20" s="14" t="inlineStr">
        <is>
          <t>AUTMUSAG Index</t>
        </is>
      </c>
      <c r="B20" s="13" t="inlineStr">
        <is>
          <t>US average retail gasoline, $/gal (AAA)</t>
        </is>
      </c>
      <c r="C20" s="64" t="inlineStr">
        <is>
          <t>CORRECTED</t>
        </is>
      </c>
      <c r="D20" s="58" t="inlineStr">
        <is>
          <t>Replaces XB1 as the retail series. Entitlement is provider-dependent — check DES &lt;GO&gt;.</t>
        </is>
      </c>
    </row>
    <row r="21">
      <c r="A21" s="14" t="inlineStr">
        <is>
          <t>NGAPGRPG Index</t>
        </is>
      </c>
      <c r="B21" s="13" t="inlineStr">
        <is>
          <t>US retail gasoline, weekly (DOE/EIA)</t>
        </is>
      </c>
      <c r="C21" s="64" t="inlineStr">
        <is>
          <t>CORRECTED</t>
        </is>
      </c>
      <c r="D21" s="58" t="inlineStr">
        <is>
          <t>Fallback if AUTMUSAG is not entitled.</t>
        </is>
      </c>
    </row>
    <row r="22">
      <c r="A22" s="14" t="inlineStr">
        <is>
          <t>BAIGOAS Index</t>
        </is>
      </c>
      <c r="B22" s="13" t="inlineStr">
        <is>
          <t>Bloomberg Asia USD IG, average OAS</t>
        </is>
      </c>
      <c r="C22" s="64" t="inlineStr">
        <is>
          <t>CORRECTED</t>
        </is>
      </c>
      <c r="D22" s="58" t="inlineStr">
        <is>
          <t>New. JACI is provider-permissioned; this is the clean substitute.</t>
        </is>
      </c>
    </row>
    <row r="23">
      <c r="A23" s="14" t="inlineStr">
        <is>
          <t>BAHYOAS Index</t>
        </is>
      </c>
      <c r="B23" s="13" t="inlineStr">
        <is>
          <t>Bloomberg Asia USD HY, average OAS</t>
        </is>
      </c>
      <c r="C23" s="64" t="inlineStr">
        <is>
          <t>CORRECTED</t>
        </is>
      </c>
      <c r="D23" s="58" t="inlineStr">
        <is>
          <t>New.</t>
        </is>
      </c>
    </row>
    <row r="24">
      <c r="A24" s="14" t="inlineStr">
        <is>
          <t>GTJPY10Y Govt</t>
        </is>
      </c>
      <c r="B24" s="13" t="inlineStr">
        <is>
          <t>Japan 10y generic</t>
        </is>
      </c>
      <c r="C24" s="64" t="inlineStr">
        <is>
          <t>CORRECTED</t>
        </is>
      </c>
      <c r="D24" s="58" t="inlineStr">
        <is>
          <t>H#1331801623 gave this explicitly. Replaces GJGB10.</t>
        </is>
      </c>
    </row>
    <row r="25">
      <c r="A25" s="14" t="inlineStr">
        <is>
          <t>GTKRW10Y Govt</t>
        </is>
      </c>
      <c r="B25" s="13" t="inlineStr">
        <is>
          <t>Korea 10y generic</t>
        </is>
      </c>
      <c r="C25" s="39" t="inlineStr">
        <is>
          <t>VERIFY</t>
        </is>
      </c>
      <c r="D25" s="58" t="inlineStr">
        <is>
          <t>Follows the GT convention the help desk gave for Japan, but they did not confirm this one. SECF &lt;GO&gt;, then DES &lt;GO&gt; to check units.</t>
        </is>
      </c>
    </row>
    <row r="26">
      <c r="A26" s="14" t="inlineStr">
        <is>
          <t>GTTWD10Y Govt</t>
        </is>
      </c>
      <c r="B26" s="13" t="inlineStr">
        <is>
          <t>Taiwan 10y generic</t>
        </is>
      </c>
      <c r="C26" s="39" t="inlineStr">
        <is>
          <t>VERIFY</t>
        </is>
      </c>
      <c r="D26" s="58" t="inlineStr">
        <is>
          <t>As above.</t>
        </is>
      </c>
    </row>
    <row r="27">
      <c r="A27" s="14" t="inlineStr">
        <is>
          <t>GTINR10Y Govt</t>
        </is>
      </c>
      <c r="B27" s="13" t="inlineStr">
        <is>
          <t>India 10y generic</t>
        </is>
      </c>
      <c r="C27" s="39" t="inlineStr">
        <is>
          <t>VERIFY</t>
        </is>
      </c>
      <c r="D27" s="58" t="inlineStr">
        <is>
          <t>As above.</t>
        </is>
      </c>
    </row>
    <row r="28">
      <c r="A28" s="14" t="inlineStr">
        <is>
          <t>USGG10YR Index</t>
        </is>
      </c>
      <c r="B28" s="13" t="inlineStr">
        <is>
          <t>US 10y generic</t>
        </is>
      </c>
      <c r="C28" s="39" t="inlineStr">
        <is>
          <t>VERIFY</t>
        </is>
      </c>
      <c r="D28" s="58" t="inlineStr">
        <is>
          <t>Long-standing valid ticker, left as is. GTUSD10Y Govt is the GT-convention equivalent if you want consistency across the sheet.</t>
        </is>
      </c>
    </row>
    <row r="29">
      <c r="A29" s="14" t="inlineStr">
        <is>
          <t>BOJDTR Index</t>
        </is>
      </c>
      <c r="B29" s="13" t="inlineStr">
        <is>
          <t>BoJ policy rate</t>
        </is>
      </c>
      <c r="C29" s="39" t="inlineStr">
        <is>
          <t>VERIFY</t>
        </is>
      </c>
      <c r="D29" s="58" t="inlineStr">
        <is>
          <t>Help desk declined to confirm. ECST S &lt;GO&gt; or SECF &lt;GO&gt;, search by country and indicator, then DES &lt;GO&gt;.</t>
        </is>
      </c>
    </row>
    <row r="30">
      <c r="A30" s="14" t="inlineStr">
        <is>
          <t>KORP7DR Index</t>
        </is>
      </c>
      <c r="B30" s="13" t="inlineStr">
        <is>
          <t>BoK base rate</t>
        </is>
      </c>
      <c r="C30" s="39" t="inlineStr">
        <is>
          <t>VERIFY</t>
        </is>
      </c>
      <c r="D30" s="58" t="inlineStr">
        <is>
          <t>As above.</t>
        </is>
      </c>
    </row>
    <row r="31">
      <c r="A31" s="14" t="inlineStr">
        <is>
          <t>INRPYLD Index</t>
        </is>
      </c>
      <c r="B31" s="13" t="inlineStr">
        <is>
          <t>RBI repo rate</t>
        </is>
      </c>
      <c r="C31" s="39" t="inlineStr">
        <is>
          <t>VERIFY</t>
        </is>
      </c>
      <c r="D31" s="58" t="inlineStr">
        <is>
          <t>As above.</t>
        </is>
      </c>
    </row>
    <row r="32">
      <c r="A32" s="14" t="inlineStr">
        <is>
          <t>FDTR Index</t>
        </is>
      </c>
      <c r="B32" s="13" t="inlineStr">
        <is>
          <t>Fed funds target, upper bound</t>
        </is>
      </c>
      <c r="C32" s="39" t="inlineStr">
        <is>
          <t>VERIFY</t>
        </is>
      </c>
      <c r="D32" s="58" t="inlineStr">
        <is>
          <t>Widely used and almost certainly right, but not explicitly confirmed.</t>
        </is>
      </c>
    </row>
    <row r="33">
      <c r="A33" s="14" t="inlineStr">
        <is>
          <t>ACMTP10 Index</t>
        </is>
      </c>
      <c r="B33" s="13" t="inlineStr">
        <is>
          <t>ACM 10y term premium</t>
        </is>
      </c>
      <c r="C33" s="39" t="inlineStr">
        <is>
          <t>VERIFY</t>
        </is>
      </c>
      <c r="D33" s="58" t="inlineStr">
        <is>
          <t>Not confirmed. SECF &lt;GO&gt;.</t>
        </is>
      </c>
    </row>
    <row r="34">
      <c r="A34" s="14" t="inlineStr">
        <is>
          <t>FFU6 / FFV6 / FFF7 Comdty</t>
        </is>
      </c>
      <c r="B34" s="13" t="inlineStr">
        <is>
          <t>Fed funds futures, Sep-26 / Oct-26 / Jan-27</t>
        </is>
      </c>
      <c r="C34" s="39" t="inlineStr">
        <is>
          <t>VERIFY</t>
        </is>
      </c>
      <c r="D34" s="58" t="inlineStr">
        <is>
          <t>Help desk: use DES &lt;GO&gt; to verify the exact contract month and expiry.</t>
        </is>
      </c>
    </row>
    <row r="35">
      <c r="A35" s="14" t="inlineStr">
        <is>
          <t>CPI YOY / CPI XYOY Index</t>
        </is>
      </c>
      <c r="B35" s="13" t="inlineStr">
        <is>
          <t>US headline and core CPI</t>
        </is>
      </c>
      <c r="C35" s="39" t="inlineStr">
        <is>
          <t>VERIFY</t>
        </is>
      </c>
      <c r="D35" s="58" t="inlineStr">
        <is>
          <t>Not confirmed. ECST S &lt;GO&gt;.</t>
        </is>
      </c>
    </row>
    <row r="36">
      <c r="A36" s="14" t="inlineStr">
        <is>
          <t>JNCPIYOY / JNCPIXFY Index</t>
        </is>
      </c>
      <c r="B36" s="13" t="inlineStr">
        <is>
          <t>Japan headline and core CPI</t>
        </is>
      </c>
      <c r="C36" s="39" t="inlineStr">
        <is>
          <t>VERIFY</t>
        </is>
      </c>
      <c r="D36" s="58" t="inlineStr">
        <is>
          <t>As above.</t>
        </is>
      </c>
    </row>
    <row r="37">
      <c r="A37" s="14" t="inlineStr">
        <is>
          <t>KOCPIYOY / KOCPIXFY Index</t>
        </is>
      </c>
      <c r="B37" s="13" t="inlineStr">
        <is>
          <t>Korea headline and core CPI</t>
        </is>
      </c>
      <c r="C37" s="39" t="inlineStr">
        <is>
          <t>VERIFY</t>
        </is>
      </c>
      <c r="D37" s="58" t="inlineStr">
        <is>
          <t>As above.</t>
        </is>
      </c>
    </row>
    <row r="38">
      <c r="A38" s="14" t="inlineStr">
        <is>
          <t>INFUTOTY / INCPIEXF Index</t>
        </is>
      </c>
      <c r="B38" s="13" t="inlineStr">
        <is>
          <t>India headline and core CPI</t>
        </is>
      </c>
      <c r="C38" s="39" t="inlineStr">
        <is>
          <t>VERIFY</t>
        </is>
      </c>
      <c r="D38" s="58" t="inlineStr">
        <is>
          <t>As above.</t>
        </is>
      </c>
    </row>
    <row r="39">
      <c r="A39" s="14" t="inlineStr">
        <is>
          <t>CNCPIYOY / CNCPICYY Index</t>
        </is>
      </c>
      <c r="B39" s="13" t="inlineStr">
        <is>
          <t>China headline and core CPI</t>
        </is>
      </c>
      <c r="C39" s="39" t="inlineStr">
        <is>
          <t>VERIFY</t>
        </is>
      </c>
      <c r="D39" s="58" t="inlineStr">
        <is>
          <t>As above.</t>
        </is>
      </c>
    </row>
    <row r="40">
      <c r="A40" s="14" t="inlineStr">
        <is>
          <t>CNGDPYOY Index</t>
        </is>
      </c>
      <c r="B40" s="13" t="inlineStr">
        <is>
          <t>China real GDP y/y</t>
        </is>
      </c>
      <c r="C40" s="39" t="inlineStr">
        <is>
          <t>VERIFY</t>
        </is>
      </c>
      <c r="D40" s="58" t="inlineStr">
        <is>
          <t>As above.</t>
        </is>
      </c>
    </row>
    <row r="41">
      <c r="A41" s="14" t="inlineStr">
        <is>
          <t>USGGBE10 Index</t>
        </is>
      </c>
      <c r="B41" s="13" t="inlineStr">
        <is>
          <t>US 10y breakeven</t>
        </is>
      </c>
      <c r="C41" s="39" t="inlineStr">
        <is>
          <t>VERIFY</t>
        </is>
      </c>
      <c r="D41" s="58" t="inlineStr">
        <is>
          <t>Not explicitly confirmed.</t>
        </is>
      </c>
    </row>
    <row r="42">
      <c r="A42" s="14" t="inlineStr">
        <is>
          <t>SHSZ300 Index</t>
        </is>
      </c>
      <c r="B42" s="13" t="inlineStr">
        <is>
          <t>CSI 300</t>
        </is>
      </c>
      <c r="C42" s="39" t="inlineStr">
        <is>
          <t>VERIFY</t>
        </is>
      </c>
      <c r="D42" s="58" t="inlineStr">
        <is>
          <t>New — AsiaValuation, Revisions, AsiaERP. Standard identifier but not confirmed by the help desk. SECF &lt;GO&gt;.</t>
        </is>
      </c>
    </row>
    <row r="43">
      <c r="A43" s="14" t="inlineStr">
        <is>
          <t>HSCEI Index</t>
        </is>
      </c>
      <c r="B43" s="13" t="inlineStr">
        <is>
          <t>Hang Seng China Enterprises</t>
        </is>
      </c>
      <c r="C43" s="39" t="inlineStr">
        <is>
          <t>VERIFY</t>
        </is>
      </c>
      <c r="D43" s="58" t="inlineStr">
        <is>
          <t>New. As above.</t>
        </is>
      </c>
    </row>
    <row r="44">
      <c r="A44" s="14" t="inlineStr">
        <is>
          <t>MXCN0IN / MXCN0MT Index</t>
        </is>
      </c>
      <c r="B44" s="13" t="inlineStr">
        <is>
          <t>MSCI China industrials / materials</t>
        </is>
      </c>
      <c r="C44" s="39" t="inlineStr">
        <is>
          <t>VERIFY</t>
        </is>
      </c>
      <c r="D44" s="58" t="inlineStr">
        <is>
          <t>New — SectorEPS. Follows MSCI's MX&lt;country&gt;0&lt;sector&gt; pattern. Confirm on SECF &lt;GO&gt; that it is the standard variant, not small-cap or net total return.</t>
        </is>
      </c>
    </row>
    <row r="45">
      <c r="A45" s="14" t="inlineStr">
        <is>
          <t>MXKR0IT / MXTW0IT Index</t>
        </is>
      </c>
      <c r="B45" s="13" t="inlineStr">
        <is>
          <t>MSCI Korea IT / Taiwan IT</t>
        </is>
      </c>
      <c r="C45" s="39" t="inlineStr">
        <is>
          <t>VERIFY</t>
        </is>
      </c>
      <c r="D45" s="58" t="inlineStr">
        <is>
          <t>As above.</t>
        </is>
      </c>
    </row>
    <row r="46">
      <c r="A46" s="14" t="inlineStr">
        <is>
          <t>MXJP0IN Index</t>
        </is>
      </c>
      <c r="B46" s="13" t="inlineStr">
        <is>
          <t>MSCI Japan industrials</t>
        </is>
      </c>
      <c r="C46" s="39" t="inlineStr">
        <is>
          <t>VERIFY</t>
        </is>
      </c>
      <c r="D46" s="58" t="inlineStr">
        <is>
          <t>As above.</t>
        </is>
      </c>
    </row>
    <row r="47">
      <c r="A47" s="14" t="inlineStr">
        <is>
          <t>GTCNY10Y / GTHKD10Y Govt</t>
        </is>
      </c>
      <c r="B47" s="13" t="inlineStr">
        <is>
          <t>China and Hong Kong 10y generics</t>
        </is>
      </c>
      <c r="C47" s="39" t="inlineStr">
        <is>
          <t>VERIFY</t>
        </is>
      </c>
      <c r="D47" s="58" t="inlineStr">
        <is>
          <t>New — RealYield, AsiaERP. Same GT convention the help desk gave for Japan; neither confirmed.</t>
        </is>
      </c>
    </row>
    <row r="48">
      <c r="A48" s="14" t="inlineStr">
        <is>
          <t>GTJPY2Y / GTJPY30Y Govt</t>
        </is>
      </c>
      <c r="B48" s="13" t="inlineStr">
        <is>
          <t>Japan 2y and 30y generics</t>
        </is>
      </c>
      <c r="C48" s="39" t="inlineStr">
        <is>
          <t>VERIFY</t>
        </is>
      </c>
      <c r="D48" s="58" t="inlineStr">
        <is>
          <t>New — CurveSlope, for JGB 2s10s and 10s30s.</t>
        </is>
      </c>
    </row>
    <row r="49">
      <c r="A49" s="14" t="inlineStr">
        <is>
          <t>GTKRW3Y Govt</t>
        </is>
      </c>
      <c r="B49" s="13" t="inlineStr">
        <is>
          <t>Korea 3y generic</t>
        </is>
      </c>
      <c r="C49" s="39" t="inlineStr">
        <is>
          <t>VERIFY</t>
        </is>
      </c>
      <c r="D49" s="58" t="inlineStr">
        <is>
          <t>New — CurveSlope. Korea's liquid short point is 3y, not 2y.</t>
        </is>
      </c>
    </row>
    <row r="50">
      <c r="A50" s="14" t="inlineStr">
        <is>
          <t>GTDEM2Y / GTDEM10Y Govt</t>
        </is>
      </c>
      <c r="B50" s="13" t="inlineStr">
        <is>
          <t>Bund 2y and 10y generics</t>
        </is>
      </c>
      <c r="C50" s="39" t="inlineStr">
        <is>
          <t>VERIFY</t>
        </is>
      </c>
      <c r="D50" s="58" t="inlineStr">
        <is>
          <t>New — CurveSlope. The non-Asian comparator on that exhibit.</t>
        </is>
      </c>
    </row>
    <row r="51">
      <c r="A51" s="14" t="inlineStr">
        <is>
          <t>USGG2YR Index</t>
        </is>
      </c>
      <c r="B51" s="13" t="inlineStr">
        <is>
          <t>US 2y generic</t>
        </is>
      </c>
      <c r="C51" s="39" t="inlineStr">
        <is>
          <t>VERIFY</t>
        </is>
      </c>
      <c r="D51" s="58" t="inlineStr">
        <is>
          <t>Already on the Dashboard; now also load-bearing for UST 2s10s.</t>
        </is>
      </c>
    </row>
    <row r="52">
      <c r="A52" s="14" t="inlineStr">
        <is>
          <t>JYSO1 / JYSO2 Curncy</t>
        </is>
      </c>
      <c r="B52" s="13" t="inlineStr">
        <is>
          <t>JPY OIS, 1y and 2y</t>
        </is>
      </c>
      <c r="C52" s="39" t="inlineStr">
        <is>
          <t>VERIFY</t>
        </is>
      </c>
      <c r="D52" s="58" t="inlineStr">
        <is>
          <t>New — BOJPath. Standard JPY OIS convention. If they do not resolve, read the curve off ICVS &lt;GO&gt; or use the TONA swap tickers.</t>
        </is>
      </c>
    </row>
    <row r="53">
      <c r="A53" s="14" t="inlineStr">
        <is>
          <t>JCPNEFEY Index</t>
        </is>
      </c>
      <c r="B53" s="13" t="inlineStr">
        <is>
          <t>Japan CPI ex fresh food and energy (core-core)</t>
        </is>
      </c>
      <c r="C53" s="39" t="inlineStr">
        <is>
          <t>VERIFY</t>
        </is>
      </c>
      <c r="D53" s="58" t="inlineStr">
        <is>
          <t>New — RealYield, BOJPath. Distinct from JNCPIXFY, which is ex fresh food only. The exhibit needs core-core.</t>
        </is>
      </c>
    </row>
    <row r="54">
      <c r="A54" s="14" t="inlineStr">
        <is>
          <t>HKCPUYOY Index</t>
        </is>
      </c>
      <c r="B54" s="13" t="inlineStr">
        <is>
          <t>Hong Kong underlying (core) CPI y/y</t>
        </is>
      </c>
      <c r="C54" s="39" t="inlineStr">
        <is>
          <t>VERIFY</t>
        </is>
      </c>
      <c r="D54" s="58" t="inlineStr">
        <is>
          <t>New — RealYield. Hong Kong reports a composite and an underlying CPI separately; this needs the underlying one. Least safe identifier on the new tabs.</t>
        </is>
      </c>
    </row>
    <row r="55">
      <c r="A55" s="14" t="inlineStr">
        <is>
          <t>TWCPCYOY Index</t>
        </is>
      </c>
      <c r="B55" s="13" t="inlineStr">
        <is>
          <t>Taiwan core CPI y/y</t>
        </is>
      </c>
      <c r="C55" s="39" t="inlineStr">
        <is>
          <t>VERIFY</t>
        </is>
      </c>
      <c r="D55" s="58" t="inlineStr">
        <is>
          <t>New — RealYield.</t>
        </is>
      </c>
    </row>
    <row r="56">
      <c r="A56" s="14" t="inlineStr">
        <is>
          <t>JNSHUNTO Index</t>
        </is>
      </c>
      <c r="B56" s="13" t="inlineStr">
        <is>
          <t>Shunto wage settlement, %</t>
        </is>
      </c>
      <c r="C56" s="39" t="inlineStr">
        <is>
          <t>NOT FOUND</t>
        </is>
      </c>
      <c r="D56" s="58" t="inlineStr">
        <is>
          <t>New — BOJPath. A candidate, not a confirmed ticker: Rengo publishes the settlement and there may be no Bloomberg series for it. The tab falls back to a manual-entry column if the pull returns empty, and shows which source it used.</t>
        </is>
      </c>
    </row>
    <row r="57">
      <c r="A57" s="14" t="inlineStr">
        <is>
          <t>NUMDOWN (BQL field)</t>
        </is>
      </c>
      <c r="B57" s="13" t="inlineStr">
        <is>
          <t>Downward estimate revisions count</t>
        </is>
      </c>
      <c r="C57" s="39" t="inlineStr">
        <is>
          <t>VERIFY</t>
        </is>
      </c>
      <c r="D57" s="58" t="inlineStr">
        <is>
          <t>New — Revisions. NUMUP was given by the help desk verbatim; this is its counterpart and was not. Check FLDS &lt;GO&gt;; fallback is NUMDN.</t>
        </is>
      </c>
    </row>
    <row r="60">
      <c r="A60" s="12" t="inlineStr">
        <is>
          <t>The help desk explicitly declined to confirm the macro and policy identifiers — "we are not advised to finish the whole work for you, but we are here to guide you." Their workflow: ECST S &lt;GO&gt; or SECF &lt;GO&gt; to search by country, indicator and tenor; DES &lt;GO&gt; on each candidate to confirm definition, source, frequency and units; DES &lt;GO&gt; on futures to verify contract month. Everything marked VERIFY above needs that pass before a number goes on a slide.</t>
        </is>
      </c>
    </row>
  </sheetData>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H110"/>
  <sheetViews>
    <sheetView showGridLines="0" workbookViewId="0">
      <pane ySplit="4" topLeftCell="A5" activePane="bottomLeft" state="frozen"/>
      <selection pane="bottomLeft" activeCell="A1" sqref="A1"/>
    </sheetView>
  </sheetViews>
  <sheetFormatPr baseColWidth="8" defaultRowHeight="15"/>
  <cols>
    <col width="4" customWidth="1" min="1" max="1"/>
    <col width="110" customWidth="1" min="2" max="2"/>
  </cols>
  <sheetData>
    <row r="1">
      <c r="A1" s="1" t="inlineStr">
        <is>
          <t>How to run this, and what to check</t>
        </is>
      </c>
    </row>
    <row r="2">
      <c r="A2" s="2" t="inlineStr">
        <is>
          <t>Built off-terminal. Everything is a formula — expect #NAME? until the Bloomberg add-in loads.</t>
        </is>
      </c>
    </row>
    <row r="3" ht="4" customHeight="1">
      <c r="A3" s="3" t="n"/>
      <c r="B3" s="3" t="n"/>
      <c r="C3" s="3" t="n"/>
      <c r="D3" s="3" t="n"/>
      <c r="E3" s="3" t="n"/>
      <c r="F3" s="3" t="n"/>
      <c r="G3" s="3" t="n"/>
      <c r="H3" s="3" t="n"/>
    </row>
    <row r="5">
      <c r="B5" s="9" t="inlineStr">
        <is>
          <t>On the Bloomberg laptop</t>
        </is>
      </c>
    </row>
    <row r="6" ht="14" customHeight="1">
      <c r="B6" s="65" t="inlineStr">
        <is>
          <t>1.  Open the file. Confirm the Bloomberg ribbon is present and you are logged in.</t>
        </is>
      </c>
    </row>
    <row r="7" ht="14" customHeight="1">
      <c r="B7" s="65" t="inlineStr">
        <is>
          <t>2.  Control tab — set As-of date. Leave =TODAY() for a live book, or hard-code it to freeze the numbers for the panel.</t>
        </is>
      </c>
    </row>
    <row r="8" ht="14" customHeight="1">
      <c r="B8" s="65" t="inlineStr">
        <is>
          <t>3.  Bloomberg ribbon &gt; Refresh &gt; Refresh Entire Workbook. Give the long credit history a minute.</t>
        </is>
      </c>
    </row>
    <row r="9" ht="14" customHeight="1">
      <c r="B9" s="65" t="inlineStr">
        <is>
          <t>4.  The charts redraw themselves — they point at the ranges the formulas spill into, not at pasted values.</t>
        </is>
      </c>
    </row>
    <row r="10" ht="14" customHeight="1">
      <c r="B10" s="65" t="inlineStr">
        <is>
          <t>5.  Anything still showing #N/A N/A is a ticker your seat cannot see. Swap the ticker on the sheet; do not delete the row.</t>
        </is>
      </c>
    </row>
    <row r="12">
      <c r="B12" s="9" t="inlineStr">
        <is>
          <t>Priority order if terminal time is short</t>
        </is>
      </c>
    </row>
    <row r="13" ht="14" customHeight="1">
      <c r="B13" s="65" t="inlineStr">
        <is>
          <t>1.  ERP           — the cross-market build. Converts Q3 from asserted to demonstrated.</t>
        </is>
      </c>
    </row>
    <row r="14" ht="14" customHeight="1">
      <c r="B14" s="65" t="inlineStr">
        <is>
          <t>2.  StockBond     — rolling correlation. Proves 'fixed income is not a hedge' empirically.</t>
        </is>
      </c>
    </row>
    <row r="15" ht="14" customHeight="1">
      <c r="B15" s="65" t="inlineStr">
        <is>
          <t>3.  Credit        — HY OAS percentile, computed rather than quoted.</t>
        </is>
      </c>
    </row>
    <row r="16" ht="14" customHeight="1">
      <c r="B16" s="65" t="inlineStr">
        <is>
          <t>4.  VolRegime     — realised vol against VIX.</t>
        </is>
      </c>
    </row>
    <row r="17" ht="14" customHeight="1">
      <c r="B17" s="65" t="inlineStr">
        <is>
          <t>5.  Dashboard     — everything else.</t>
        </is>
      </c>
    </row>
    <row r="19">
      <c r="B19" s="9" t="inlineStr">
        <is>
          <t>§7 verification items this workbook closes out</t>
        </is>
      </c>
    </row>
    <row r="20" ht="14" customHeight="1">
      <c r="B20" s="65" t="inlineStr">
        <is>
          <t>KOSPI 31 July close and the July percentage        — Dashboard, and a BDH on KOSPI2.</t>
        </is>
      </c>
    </row>
    <row r="21" ht="14" customHeight="1">
      <c r="B21" s="65" t="inlineStr">
        <is>
          <t>S&amp;P 500 forward P/E, 19.6x vs 20.9x                — ERP tab. State Bloomberg BEst vs FactSet explicitly on the slide.</t>
        </is>
      </c>
    </row>
    <row r="22" ht="14" customHeight="1">
      <c r="B22" s="65" t="inlineStr">
        <is>
          <t>US IG OAS, flagged stale                            — Credit tab.</t>
        </is>
      </c>
    </row>
    <row r="23" ht="14" customHeight="1">
      <c r="B23" s="65" t="inlineStr">
        <is>
          <t>USD/KRW, USD/CNH, USD/INR spot                      — Dashboard.</t>
        </is>
      </c>
    </row>
    <row r="24" ht="14" customHeight="1">
      <c r="B24" s="65" t="inlineStr">
        <is>
          <t>US HY OAS 'richest decile'                          — Credit tab computes the percentile.</t>
        </is>
      </c>
    </row>
    <row r="26">
      <c r="B26" s="9" t="inlineStr">
        <is>
          <t>Still manual — this workbook cannot get them</t>
        </is>
      </c>
    </row>
    <row r="27" ht="14" customHeight="1">
      <c r="B27" s="65" t="inlineStr">
        <is>
          <t>The 60-day US–Iran MoU deadline date and status.</t>
        </is>
      </c>
    </row>
    <row r="28" ht="14" customHeight="1">
      <c r="B28" s="65" t="inlineStr">
        <is>
          <t>RBI MPC outcome, 3–5 August.</t>
        </is>
      </c>
    </row>
    <row r="29" ht="14" customHeight="1">
      <c r="B29" s="65" t="inlineStr">
        <is>
          <t>FOMC-implied hike probability on the morning of the presentation (DiscountRate tab gets you the futures; read the probability off WIRP).</t>
        </is>
      </c>
    </row>
    <row r="30" ht="14" customHeight="1">
      <c r="B30" s="65" t="inlineStr">
        <is>
          <t>Trade 2 entry and target levels off the live 5s30s curve.</t>
        </is>
      </c>
    </row>
    <row r="31" ht="14" customHeight="1">
      <c r="B31" s="65" t="inlineStr">
        <is>
          <t>Trade 3 strikes off live gold spot.</t>
        </is>
      </c>
    </row>
    <row r="33">
      <c r="B33" s="9" t="inlineStr">
        <is>
          <t>Settled by the help desk — no longer in doubt</t>
        </is>
      </c>
    </row>
    <row r="34" ht="14" customHeight="1">
      <c r="B34" s="65" t="inlineStr">
        <is>
          <t>Daily capacity is 500,000 hits, a hit being one security x field x historic date. A full refresh of this</t>
        </is>
      </c>
    </row>
    <row r="35" ht="14" customHeight="1">
      <c r="B35" s="65" t="inlineStr">
        <is>
          <t xml:space="preserve">  workbook is roughly 30,000 — comfortably inside the limit, even refreshing repeatedly.  [H#1331801611]</t>
        </is>
      </c>
    </row>
    <row r="36" ht="14" customHeight="1">
      <c r="B36" s="65" t="inlineStr">
        <is>
          <t>BEST_EPS and BEST_PE_RATIO entitlement is NOT split by US vs non-US. They are index-level fields and are</t>
        </is>
      </c>
    </row>
    <row r="37" ht="14" customHeight="1">
      <c r="B37" s="65" t="inlineStr">
        <is>
          <t xml:space="preserve">  available on third-party tickers, so NKY, TPX, KOSPI2, TWSE and NIFTY are all fine.</t>
        </is>
      </c>
    </row>
    <row r="38" ht="14" customHeight="1">
      <c r="B38" s="65" t="inlineStr">
        <is>
          <t>VOLATILITY_30D and _90D are available historically via BDH, not just BDP — confirmed on FLDS.</t>
        </is>
      </c>
    </row>
    <row r="39" ht="14" customHeight="1">
      <c r="B39" s="65" t="inlineStr">
        <is>
          <t>LF98OAS starts in 1994, so 1996 history exists. Daily would hit capacity; the weekly pull on the Credit</t>
        </is>
      </c>
    </row>
    <row r="40" ht="14" customHeight="1">
      <c r="B40" s="65" t="inlineStr">
        <is>
          <t xml:space="preserve">  tab is the right call. BQL would be cheaper still if it proves slow.</t>
        </is>
      </c>
    </row>
    <row r="41" ht="14" customHeight="1">
      <c r="B41" s="65" t="inlineStr">
        <is>
          <t>BDH override syntax is "KEY=VALUE" as separate quoted arguments — the form used throughout. Dates are</t>
        </is>
      </c>
    </row>
    <row r="42" ht="14" customHeight="1">
      <c r="B42" s="65" t="inlineStr">
        <is>
          <t xml:space="preserve">  safest as YYYY-MM-DD.</t>
        </is>
      </c>
    </row>
    <row r="43" ht="14" customHeight="1">
      <c r="B43" s="65" t="inlineStr">
        <is>
          <t>BQL is enabled. Sorting uses groupsort() inside the expression, not a "sort=desc" parameter; hardcoded</t>
        </is>
      </c>
    </row>
    <row r="44" ht="14" customHeight="1">
      <c r="B44" s="65" t="inlineStr">
        <is>
          <t xml:space="preserve">  BQL dates in Excel must be YYYY-MM-DD.  [H#1331801627]</t>
        </is>
      </c>
    </row>
    <row r="46">
      <c r="B46" s="9" t="inlineStr">
        <is>
          <t>How the time series are pulled, and why</t>
        </is>
      </c>
    </row>
    <row r="47" ht="14" customHeight="1">
      <c r="B47" s="65" t="inlineStr">
        <is>
          <t>Every historical series is ONE BQL CALL PER SECURITY, staged from column R rightwards, then looked up</t>
        </is>
      </c>
    </row>
    <row r="48" ht="14" customHeight="1">
      <c r="B48" s="65" t="inlineStr">
        <is>
          <t>onto a date spine in the working columns on the left.</t>
        </is>
      </c>
    </row>
    <row r="49" ht="14" customHeight="1">
      <c r="B49" s="65" t="inlineStr"/>
    </row>
    <row r="50" ht="14" customHeight="1">
      <c r="B50" s="65" t="inlineStr">
        <is>
          <t>This was a deliberate change. A multi-security BDH may return one date column or one per security —</t>
        </is>
      </c>
    </row>
    <row r="51" ht="14" customHeight="1">
      <c r="B51" s="65" t="inlineStr">
        <is>
          <t>the help desk never answered which — and guessing wrong does not error, it silently pairs the wrong</t>
        </is>
      </c>
    </row>
    <row r="52" ht="14" customHeight="1">
      <c r="B52" s="65" t="inlineStr">
        <is>
          <t>series and produces a plausible correlation. One security per call removes the question entirely.</t>
        </is>
      </c>
    </row>
    <row r="53" ht="14" customHeight="1">
      <c r="B53" s="65" t="inlineStr">
        <is>
          <t>Looking each series up by date, rather than trusting Fill=P across different holiday calendars,</t>
        </is>
      </c>
    </row>
    <row r="54" ht="14" customHeight="1">
      <c r="B54" s="65" t="inlineStr">
        <is>
          <t>removes the second one. Both of those open items are now closed by construction, not by an answer.</t>
        </is>
      </c>
    </row>
    <row r="55" ht="14" customHeight="1">
      <c r="B55" s="65" t="inlineStr"/>
    </row>
    <row r="56" ht="14" customHeight="1">
      <c r="B56" s="65" t="inlineStr">
        <is>
          <t>It is also cheaper: the help desk twice recommended BQL over BDH for large pulls.</t>
        </is>
      </c>
    </row>
    <row r="57" ht="14" customHeight="1">
      <c r="B57" s="65" t="inlineStr"/>
    </row>
    <row r="58" ht="14" customHeight="1">
      <c r="B58" s="65" t="inlineStr">
        <is>
          <t>The one thing to eyeball on the first run: each staging block should spill DATE then value. If a block</t>
        </is>
      </c>
    </row>
    <row r="59" ht="14" customHeight="1">
      <c r="B59" s="65" t="inlineStr">
        <is>
          <t>comes back with an extra ID column in front, shift that block's value column one to the right in the</t>
        </is>
      </c>
    </row>
    <row r="60" ht="14" customHeight="1">
      <c r="B60" s="65" t="inlineStr">
        <is>
          <t>lookup formulas. Nothing else needs to change — the blocks are independent.</t>
        </is>
      </c>
    </row>
    <row r="62">
      <c r="B62" s="9" t="inlineStr">
        <is>
          <t>If it breaks, rebuild it — that takes two seconds</t>
        </is>
      </c>
    </row>
    <row r="63" ht="14" customHeight="1">
      <c r="B63" s="65" t="inlineStr">
        <is>
          <t>python3 data-puller/build_data_puller.py    regenerates this file from scratch.</t>
        </is>
      </c>
    </row>
    <row r="64" ht="14" customHeight="1">
      <c r="B64" s="65" t="inlineStr">
        <is>
          <t>The workbook is a build artefact, not a hand-made document. Never repair it by hand: fix the</t>
        </is>
      </c>
    </row>
    <row r="65" ht="14" customHeight="1">
      <c r="B65" s="65" t="inlineStr">
        <is>
          <t>script and rebuild, or your fix is lost the next time anyone regenerates it.</t>
        </is>
      </c>
    </row>
    <row r="66" ht="14" customHeight="1">
      <c r="B66" s="65" t="inlineStr"/>
    </row>
    <row r="67" ht="14" customHeight="1">
      <c r="B67" s="65" t="inlineStr">
        <is>
          <t>The first version of this file was far too heavy and did not survive use. What changed:</t>
        </is>
      </c>
    </row>
    <row r="68" ht="14" customHeight="1">
      <c r="B68" s="65" t="inlineStr">
        <is>
          <t xml:space="preserve">  - the rolling correlation used OFFSET, which is VOLATILE. All 2,600 of them re-ran a 60-point</t>
        </is>
      </c>
    </row>
    <row r="69" ht="14" customHeight="1">
      <c r="B69" s="65" t="inlineStr">
        <is>
          <t xml:space="preserve">    CORREL on every edit, while the add-in was also fetching. Now built with INDEX, non-volatile.</t>
        </is>
      </c>
    </row>
    <row r="70" ht="14" customHeight="1">
      <c r="B70" s="65" t="inlineStr">
        <is>
          <t xml:space="preserve">  - the value columns used INDEX/MATCH — roughly 20,000 linear scans of up to 2,600 cells each.</t>
        </is>
      </c>
    </row>
    <row r="71" ht="14" customHeight="1">
      <c r="B71" s="65" t="inlineStr">
        <is>
          <t xml:space="preserve">    Now positional INDEX, O(1), with a date alignment check per sheet instead of trusting it blind.</t>
        </is>
      </c>
    </row>
    <row r="72" ht="14" customHeight="1">
      <c r="B72" s="65" t="inlineStr">
        <is>
          <t xml:space="preserve">  - the credit history was sized for 8,000 daily rows but the pull is WEEKLY and returns ~1,560.</t>
        </is>
      </c>
    </row>
    <row r="73" ht="14" customHeight="1">
      <c r="B73" s="65" t="inlineStr">
        <is>
          <t xml:space="preserve">    6,400 empty rows that MEDIAN and PERCENTRANK still had to scan. Now sized correctly.</t>
        </is>
      </c>
    </row>
    <row r="74" ht="14" customHeight="1">
      <c r="B74" s="65" t="inlineStr">
        <is>
          <t xml:space="preserve">  - the main window was 10 years daily. Now 3, which is ample for the correlation regime change.</t>
        </is>
      </c>
    </row>
    <row r="75" ht="14" customHeight="1">
      <c r="B75" s="65" t="inlineStr">
        <is>
          <t>Total: 62,820 formulas and 2,600 volatile, down to about 18,700 and none.</t>
        </is>
      </c>
    </row>
    <row r="76" ht="14" customHeight="1">
      <c r="B76" s="65" t="inlineStr"/>
    </row>
    <row r="77" ht="14" customHeight="1">
      <c r="B77" s="65" t="inlineStr">
        <is>
          <t>To go back further, raise ROWS_DAILY in the build script AND move the Long history start on the</t>
        </is>
      </c>
    </row>
    <row r="78" ht="14" customHeight="1">
      <c r="B78" s="65" t="inlineStr">
        <is>
          <t>Control tab to match. Change one without the other and the series will simply be truncated.</t>
        </is>
      </c>
    </row>
    <row r="80">
      <c r="B80" s="9" t="inlineStr">
        <is>
          <t>Check this on every sheet before you trust a number</t>
        </is>
      </c>
    </row>
    <row r="81" ht="14" customHeight="1">
      <c r="B81" s="65" t="inlineStr">
        <is>
          <t>Each sheet with staged pulls carries a 'Date alignment check' near the top. It counts rows where</t>
        </is>
      </c>
    </row>
    <row r="82" ht="14" customHeight="1">
      <c r="B82" s="65" t="inlineStr">
        <is>
          <t>the staging blocks' date columns disagree. It should read 0 / OK.</t>
        </is>
      </c>
    </row>
    <row r="83" ht="14" customHeight="1">
      <c r="B83" s="65" t="inlineStr">
        <is>
          <t>If it does not, the positional lookups are reading across misaligned rows — the numbers will look</t>
        </is>
      </c>
    </row>
    <row r="84" ht="14" customHeight="1">
      <c r="B84" s="65" t="inlineStr">
        <is>
          <t>plausible and be wrong. Switch that sheet's value columns to INDEX/MATCH on the date and rebuild.</t>
        </is>
      </c>
    </row>
    <row r="86">
      <c r="B86" s="9" t="inlineStr">
        <is>
          <t>The seven Asia tabs, and the one thing they need</t>
        </is>
      </c>
    </row>
    <row r="87" ht="14" customHeight="1">
      <c r="B87" s="65" t="inlineStr">
        <is>
          <t>AsiaValuation, Revisions, SectorEPS, RealYield, BOJPath, CurveSlope and AsiaERP feed the three Asia</t>
        </is>
      </c>
    </row>
    <row r="88" ht="14" customHeight="1">
      <c r="B88" s="65" t="inlineStr">
        <is>
          <t>exhibit slides. They pull MONTHLY, not daily: a five-year valuation band and a ten-year percentile</t>
        </is>
      </c>
    </row>
    <row r="89" ht="14" customHeight="1">
      <c r="B89" s="65" t="inlineStr">
        <is>
          <t>do not move on a daily grid, and five markets by ten years daily would be the heaviest thing here.</t>
        </is>
      </c>
    </row>
    <row r="90" ht="14" customHeight="1">
      <c r="B90" s="65" t="inlineStr"/>
    </row>
    <row r="91" ht="14" customHeight="1">
      <c r="B91" s="65" t="inlineStr">
        <is>
          <t>They are also the least confirmed part of the workbook. Roughly twenty new identifiers, and only</t>
        </is>
      </c>
    </row>
    <row r="92" ht="14" customHeight="1">
      <c r="B92" s="65" t="inlineStr">
        <is>
          <t>the ones already on the register were ever confirmed. Before any of these numbers reaches a slide:</t>
        </is>
      </c>
    </row>
    <row r="93" ht="14" customHeight="1">
      <c r="B93" s="65" t="inlineStr">
        <is>
          <t xml:space="preserve">  - the four new GT govt generics (CNY, HKD, DEM, plus the JPY 2y/30y and KRW 3y points)</t>
        </is>
      </c>
    </row>
    <row r="94" ht="14" customHeight="1">
      <c r="B94" s="65" t="inlineStr">
        <is>
          <t xml:space="preserve">  - the five MSCI sector indices — confirm the standard variant, not small-cap or net total return</t>
        </is>
      </c>
    </row>
    <row r="95" ht="14" customHeight="1">
      <c r="B95" s="65" t="inlineStr">
        <is>
          <t xml:space="preserve">  - the four new core CPI series, of which Hong Kong underlying CPI is the least safe</t>
        </is>
      </c>
    </row>
    <row r="96" ht="14" customHeight="1">
      <c r="B96" s="65" t="inlineStr">
        <is>
          <t xml:space="preserve">  - JYSO1 / JYSO2, and the BQL NUMDOWN field</t>
        </is>
      </c>
    </row>
    <row r="97" ht="14" customHeight="1">
      <c r="B97" s="65" t="inlineStr">
        <is>
          <t xml:space="preserve">  - Shunto, which may have no Bloomberg series at all — BOJPath falls back to a manual column</t>
        </is>
      </c>
    </row>
    <row r="98" ht="14" customHeight="1">
      <c r="B98" s="65" t="inlineStr"/>
    </row>
    <row r="99" ht="14" customHeight="1">
      <c r="B99" s="65" t="inlineStr">
        <is>
          <t>One judgement call to make before presenting, on SectorEPS: 0FY / 1FY / 2FY resolve to different</t>
        </is>
      </c>
    </row>
    <row r="100" ht="14" customHeight="1">
      <c r="B100" s="65" t="inlineStr">
        <is>
          <t>windows for a Japanese index than for a Chinese one. The tab pulls BEST_PERIOD_END_DT next to the</t>
        </is>
      </c>
    </row>
    <row r="101" ht="14" customHeight="1">
      <c r="B101" s="65" t="inlineStr">
        <is>
          <t>growth rates so you can see what you actually have. Relabel the exhibit to match, or say it aloud.</t>
        </is>
      </c>
    </row>
    <row r="103">
      <c r="B103" s="9" t="inlineStr">
        <is>
          <t>STILL OPEN</t>
        </is>
      </c>
    </row>
    <row r="104" ht="14" customHeight="1">
      <c r="B104" s="65" t="inlineStr">
        <is>
          <t>1.  PX_CLOSE_1D as prior close on an index — right field, or PX_LAST with a date offset?</t>
        </is>
      </c>
    </row>
    <row r="105" ht="14" customHeight="1">
      <c r="B105" s="65" t="inlineStr">
        <is>
          <t xml:space="preserve">    Affects the Dashboard change columns only. Cosmetic; nothing downstream depends on it.</t>
        </is>
      </c>
    </row>
    <row r="106" ht="14" customHeight="1">
      <c r="B106" s="65" t="inlineStr">
        <is>
          <t>2.  Forcing a full recalculation on open, so the file populates without clicking Refresh.</t>
        </is>
      </c>
    </row>
    <row r="107" ht="14" customHeight="1">
      <c r="B107" s="65" t="inlineStr">
        <is>
          <t>3.  Licence and attribution wording for internal use — request 6 not yet answered.</t>
        </is>
      </c>
    </row>
    <row r="108" ht="14" customHeight="1">
      <c r="B108" s="65" t="inlineStr">
        <is>
          <t>4.  Every ticker marked VERIFY on the Tickers tab — 17 of them, including all the core CPI series.</t>
        </is>
      </c>
    </row>
    <row r="109" ht="14" customHeight="1">
      <c r="B109" s="65" t="inlineStr">
        <is>
          <t xml:space="preserve">    The help desk declined to confirm these and pointed to ECST S &lt;GO&gt; / SECF &lt;GO&gt; / DES &lt;GO&gt;.</t>
        </is>
      </c>
    </row>
    <row r="110" ht="14" customHeight="1">
      <c r="B110" s="65" t="inlineStr">
        <is>
          <t xml:space="preserve">    This is the real remaining task, and it is a terminal session rather than another email.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2026-08-08T17:26:42Z</dcterms:created>
  <dcterms:modified xmlns:dcterms="http://purl.org/dc/terms/" xmlns:xsi="http://www.w3.org/2001/XMLSchema-instance" xsi:type="dcterms:W3CDTF">2026-08-08T17:26:42Z</dcterms:modified>
</cp:coreProperties>
</file>