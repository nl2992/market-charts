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ntrol" sheetId="2" state="visible" r:id="rId2"/>
    <sheet xmlns:r="http://schemas.openxmlformats.org/officeDocument/2006/relationships" name="Flow" sheetId="3" state="visible" r:id="rId3"/>
    <sheet xmlns:r="http://schemas.openxmlformats.org/officeDocument/2006/relationships" name="RealYield" sheetId="4" state="visible" r:id="rId4"/>
    <sheet xmlns:r="http://schemas.openxmlformats.org/officeDocument/2006/relationships" name="BOJPath" sheetId="5" state="visible" r:id="rId5"/>
    <sheet xmlns:r="http://schemas.openxmlformats.org/officeDocument/2006/relationships" name="CurveSlope" sheetId="6" state="visible" r:id="rId6"/>
    <sheet xmlns:r="http://schemas.openxmlformats.org/officeDocument/2006/relationships" name="BullSteepener" sheetId="7" state="visible" r:id="rId7"/>
    <sheet xmlns:r="http://schemas.openxmlformats.org/officeDocument/2006/relationships" name="JPYEvidence" sheetId="8" state="visible" r:id="rId8"/>
    <sheet xmlns:r="http://schemas.openxmlformats.org/officeDocument/2006/relationships" name="Payoff" sheetId="9" state="visible" r:id="rId9"/>
    <sheet xmlns:r="http://schemas.openxmlformats.org/officeDocument/2006/relationships" name="MacroLink" sheetId="10" state="visible" r:id="rId10"/>
  </sheets>
  <definedNames>
    <definedName name="AsOf">Control!$B$6</definedName>
    <definedName name="StartLong">Control!$B$7</definedName>
    <definedName name="StartWar">Control!$B$8</definedName>
    <definedName name="StartCredit">Control!$B$9</definedName>
    <definedName name="StartYTD">Control!$B$10</definedName>
    <definedName name="Start5Y">Control!$B$11</definedName>
    <definedName name="Start10Y">Control!$B$12</definedName>
    <definedName name="CorrWindow">Control!$B$13</definedName>
    <definedName name="VolWindow">Control!$B$14</definedName>
  </definedNames>
  <calcPr calcId="124519" fullCalcOnLoad="1"/>
</workbook>
</file>

<file path=xl/styles.xml><?xml version="1.0" encoding="utf-8"?>
<styleSheet xmlns="http://schemas.openxmlformats.org/spreadsheetml/2006/main">
  <numFmts count="9">
    <numFmt numFmtId="164" formatCode="dd-mmm-yyyy"/>
    <numFmt numFmtId="165" formatCode="+0.00;-0.00"/>
    <numFmt numFmtId="166" formatCode="+#,##0;-#,##0"/>
    <numFmt numFmtId="167" formatCode="#,##0.0"/>
    <numFmt numFmtId="168" formatCode="0.000"/>
    <numFmt numFmtId="169" formatCode="0.00&quot;x&quot;"/>
    <numFmt numFmtId="170" formatCode="dd-mmm-yy"/>
    <numFmt numFmtId="171" formatCode="0.0"/>
    <numFmt numFmtId="172" formatCode="+#,##0.0;-#,##0.0"/>
  </numFmts>
  <fonts count="10">
    <font>
      <name val="Calibri"/>
      <family val="2"/>
      <color theme="1"/>
      <sz val="11"/>
      <scheme val="minor"/>
    </font>
    <font>
      <name val="Arial"/>
      <b val="1"/>
      <color rgb="00000000"/>
      <sz val="14"/>
    </font>
    <font>
      <name val="Arial"/>
      <color rgb="00767576"/>
      <sz val="9"/>
    </font>
    <font>
      <name val="Arial"/>
      <b val="1"/>
      <color rgb="00FFFFFF"/>
      <sz val="10"/>
    </font>
    <font>
      <name val="Arial"/>
      <b val="1"/>
      <color rgb="00000000"/>
      <sz val="10"/>
    </font>
    <font>
      <name val="Arial"/>
      <color rgb="00000000"/>
      <sz val="10"/>
    </font>
    <font>
      <name val="Consolas"/>
      <color rgb="00000000"/>
      <sz val="9"/>
    </font>
    <font>
      <name val="Arial"/>
      <b val="1"/>
      <color rgb="00DB0011"/>
      <sz val="11"/>
    </font>
    <font>
      <name val="Arial"/>
      <color rgb="00DB0011"/>
      <sz val="9"/>
    </font>
    <font>
      <name val="Arial"/>
      <b val="1"/>
      <color rgb="00DB0011"/>
      <sz val="12"/>
    </font>
  </fonts>
  <fills count="4">
    <fill>
      <patternFill/>
    </fill>
    <fill>
      <patternFill patternType="gray125"/>
    </fill>
    <fill>
      <patternFill patternType="solid">
        <fgColor rgb="00DB0011"/>
      </patternFill>
    </fill>
    <fill>
      <patternFill patternType="solid">
        <fgColor rgb="00F5F5F5"/>
      </patternFill>
    </fill>
  </fills>
  <borders count="2">
    <border>
      <left/>
      <right/>
      <top/>
      <bottom/>
      <diagonal/>
    </border>
    <border>
      <bottom style="thin">
        <color rgb="00D0CECE"/>
      </bottom>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4" fillId="0" borderId="0" pivotButton="0" quotePrefix="0" xfId="0"/>
    <xf numFmtId="0" fontId="6" fillId="0" borderId="1" pivotButton="0" quotePrefix="0" xfId="0"/>
    <xf numFmtId="0" fontId="5" fillId="0" borderId="1" applyAlignment="1" pivotButton="0" quotePrefix="0" xfId="0">
      <alignment vertical="top" wrapText="1"/>
    </xf>
    <xf numFmtId="0" fontId="5" fillId="0" borderId="0" pivotButton="0" quotePrefix="0" xfId="0"/>
    <xf numFmtId="0" fontId="2" fillId="0" borderId="0" applyAlignment="1" pivotButton="0" quotePrefix="0" xfId="0">
      <alignment vertical="top" wrapText="1"/>
    </xf>
    <xf numFmtId="0" fontId="3" fillId="2" borderId="0" applyAlignment="1" pivotButton="0" quotePrefix="0" xfId="0">
      <alignment horizontal="left" vertical="center"/>
    </xf>
    <xf numFmtId="0" fontId="4" fillId="0" borderId="1" pivotButton="0" quotePrefix="0" xfId="0"/>
    <xf numFmtId="164" fontId="5" fillId="3" borderId="1" pivotButton="0" quotePrefix="0" xfId="0"/>
    <xf numFmtId="0" fontId="2" fillId="0" borderId="1" pivotButton="0" quotePrefix="0" xfId="0"/>
    <xf numFmtId="0" fontId="5" fillId="3" borderId="1" pivotButton="0" quotePrefix="0" xfId="0"/>
    <xf numFmtId="0" fontId="6" fillId="0" borderId="0" pivotButton="0" quotePrefix="0" xfId="0"/>
    <xf numFmtId="0" fontId="9" fillId="0" borderId="0" applyAlignment="1" pivotButton="0" quotePrefix="0" xfId="0">
      <alignment vertical="top" wrapText="1"/>
    </xf>
    <xf numFmtId="0" fontId="2" fillId="0" borderId="1" applyAlignment="1" pivotButton="0" quotePrefix="0" xfId="0">
      <alignment vertical="top" wrapText="1"/>
    </xf>
    <xf numFmtId="0" fontId="5" fillId="0" borderId="0" applyAlignment="1" pivotButton="0" quotePrefix="0" xfId="0">
      <alignment vertical="top" wrapText="1"/>
    </xf>
    <xf numFmtId="0" fontId="0" fillId="0" borderId="1" pivotButton="0" quotePrefix="0" xfId="0"/>
    <xf numFmtId="0" fontId="4" fillId="0" borderId="1" applyAlignment="1" pivotButton="0" quotePrefix="0" xfId="0">
      <alignment vertical="top" wrapText="1"/>
    </xf>
    <xf numFmtId="165" fontId="5" fillId="0" borderId="1" pivotButton="0" quotePrefix="0" xfId="0"/>
    <xf numFmtId="165" fontId="4" fillId="0" borderId="1" pivotButton="0" quotePrefix="0" xfId="0"/>
    <xf numFmtId="0" fontId="5" fillId="0" borderId="1" pivotButton="0" quotePrefix="0" xfId="0"/>
    <xf numFmtId="2" fontId="4" fillId="0" borderId="1" pivotButton="0" quotePrefix="0" xfId="0"/>
    <xf numFmtId="2" fontId="5" fillId="0" borderId="1" pivotButton="0" quotePrefix="0" xfId="0"/>
    <xf numFmtId="2" fontId="0" fillId="3" borderId="1" pivotButton="0" quotePrefix="0" xfId="0"/>
    <xf numFmtId="17" fontId="0" fillId="0" borderId="0" pivotButton="0" quotePrefix="0" xfId="0"/>
    <xf numFmtId="2" fontId="0" fillId="0" borderId="0" pivotButton="0" quotePrefix="0" xfId="0"/>
    <xf numFmtId="0" fontId="7" fillId="0" borderId="0" applyAlignment="1" pivotButton="0" quotePrefix="0" xfId="0">
      <alignment vertical="top" wrapText="1"/>
    </xf>
    <xf numFmtId="166" fontId="4" fillId="0" borderId="1" pivotButton="0" quotePrefix="0" xfId="0"/>
    <xf numFmtId="166" fontId="5" fillId="0" borderId="1" pivotButton="0" quotePrefix="0" xfId="0"/>
    <xf numFmtId="9" fontId="4" fillId="0" borderId="1" pivotButton="0" quotePrefix="0" xfId="0"/>
    <xf numFmtId="3" fontId="0" fillId="0" borderId="0" pivotButton="0" quotePrefix="0" xfId="0"/>
    <xf numFmtId="166" fontId="0" fillId="0" borderId="0" pivotButton="0" quotePrefix="0" xfId="0"/>
    <xf numFmtId="167" fontId="0" fillId="0" borderId="0" pivotButton="0" quotePrefix="0" xfId="0"/>
    <xf numFmtId="167" fontId="4" fillId="0" borderId="1" pivotButton="0" quotePrefix="0" xfId="0"/>
    <xf numFmtId="168" fontId="4" fillId="0" borderId="1" pivotButton="0" quotePrefix="0" xfId="0"/>
    <xf numFmtId="3" fontId="4" fillId="0" borderId="1" pivotButton="0" quotePrefix="0" xfId="0"/>
    <xf numFmtId="166" fontId="0" fillId="0" borderId="1" pivotButton="0" quotePrefix="0" xfId="0"/>
    <xf numFmtId="169" fontId="5" fillId="0" borderId="1" pivotButton="0" quotePrefix="0" xfId="0"/>
    <xf numFmtId="170" fontId="0" fillId="0" borderId="0" pivotButton="0" quotePrefix="0" xfId="0"/>
    <xf numFmtId="165" fontId="0" fillId="0" borderId="0" pivotButton="0" quotePrefix="0" xfId="0"/>
    <xf numFmtId="171" fontId="4" fillId="0" borderId="1" pivotButton="0" quotePrefix="0" xfId="0"/>
    <xf numFmtId="171" fontId="0" fillId="0" borderId="0" pivotButton="0" quotePrefix="0" xfId="0"/>
    <xf numFmtId="3" fontId="5" fillId="3" borderId="1" pivotButton="0" quotePrefix="0" xfId="0"/>
    <xf numFmtId="9" fontId="5" fillId="3" borderId="1" pivotButton="0" quotePrefix="0" xfId="0"/>
    <xf numFmtId="9" fontId="0" fillId="0" borderId="1" pivotButton="0" quotePrefix="0" xfId="0"/>
    <xf numFmtId="172" fontId="4" fillId="0" borderId="1" pivotButton="0" quotePrefix="0" xfId="0"/>
    <xf numFmtId="4" fontId="4" fillId="0" borderId="1" pivotButton="0" quotePrefix="0" xfId="0"/>
    <xf numFmtId="10" fontId="4" fillId="0" borderId="1" pivotButton="0" quotePrefix="0" xfId="0"/>
    <xf numFmtId="0" fontId="8" fillId="0" borderId="1" applyAlignment="1" pivotButton="0" quotePrefix="0" xfId="0">
      <alignment vertical="top" wrapText="1"/>
    </xf>
    <xf numFmtId="0" fontId="4" fillId="0" borderId="1" applyAlignment="1" pivotButton="0" quotePrefix="0" xfId="0">
      <alignment vertical="top"/>
    </xf>
    <xf numFmtId="0" fontId="5" fillId="0" borderId="1" applyAlignment="1" pivotButton="0" quotePrefix="0" xfId="0">
      <alignment vertical="top"/>
    </xf>
    <xf numFmtId="9"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10-year real yield, % — nominal less core CPI</a:t>
            </a:r>
          </a:p>
        </rich>
      </tx>
    </title>
    <plotArea>
      <barChart>
        <barDir val="col"/>
        <grouping val="clustered"/>
        <ser>
          <idx val="0"/>
          <order val="0"/>
          <spPr>
            <a:solidFill xmlns:a="http://schemas.openxmlformats.org/drawingml/2006/main">
              <a:srgbClr val="DB0011"/>
            </a:solidFill>
            <a:ln xmlns:a="http://schemas.openxmlformats.org/drawingml/2006/main">
              <a:noFill/>
              <a:prstDash val="solid"/>
            </a:ln>
          </spPr>
          <cat>
            <numRef>
              <f>'RealYield'!$A$6:$A$10</f>
            </numRef>
          </cat>
          <val>
            <numRef>
              <f>'RealYield'!$F$6:$F$10</f>
            </numRef>
          </val>
        </ser>
        <dLbls>
          <numFmt formatCode="+0.00;-0.0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Shunto settlement, % — annual</a:t>
            </a:r>
          </a:p>
        </rich>
      </tx>
    </title>
    <plotArea>
      <barChart>
        <barDir val="col"/>
        <grouping val="clustered"/>
        <ser>
          <idx val="0"/>
          <order val="0"/>
          <spPr>
            <a:solidFill xmlns:a="http://schemas.openxmlformats.org/drawingml/2006/main">
              <a:srgbClr val="44546A"/>
            </a:solidFill>
            <a:ln xmlns:a="http://schemas.openxmlformats.org/drawingml/2006/main">
              <a:noFill/>
              <a:prstDash val="solid"/>
            </a:ln>
          </spPr>
          <cat>
            <numRef>
              <f>'BOJPath'!$A$16:$A$21</f>
            </numRef>
          </cat>
          <val>
            <numRef>
              <f>'BOJPath'!$E$16:$E$21</f>
            </numRef>
          </val>
        </ser>
        <dLbls>
          <numFmt formatCode="0.0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OIS-implied policy path vs core-core CPI, with Shunto on the right axis</a:t>
            </a:r>
          </a:p>
        </rich>
      </tx>
    </title>
    <plotArea>
      <lineChart>
        <grouping val="standard"/>
        <ser>
          <idx val="0"/>
          <order val="0"/>
          <tx>
            <v>JPY OIS 1y</v>
          </tx>
          <spPr>
            <a:ln xmlns:a="http://schemas.openxmlformats.org/drawingml/2006/main" w="20000">
              <a:solidFill>
                <a:srgbClr val="DB0011"/>
              </a:solidFill>
              <a:prstDash val="solid"/>
            </a:ln>
          </spPr>
          <marker>
            <symbol val="none"/>
            <spPr>
              <a:ln xmlns:a="http://schemas.openxmlformats.org/drawingml/2006/main">
                <a:prstDash val="solid"/>
              </a:ln>
            </spPr>
          </marker>
          <cat>
            <numRef>
              <f>'BOJPath'!$A$28:$A$157</f>
            </numRef>
          </cat>
          <val>
            <numRef>
              <f>'BOJPath'!$B$28:$B$157</f>
            </numRef>
          </val>
          <smooth val="0"/>
        </ser>
        <ser>
          <idx val="1"/>
          <order val="1"/>
          <tx>
            <v>1y1y forward</v>
          </tx>
          <spPr>
            <a:ln xmlns:a="http://schemas.openxmlformats.org/drawingml/2006/main" w="20000">
              <a:solidFill>
                <a:srgbClr val="DB0011"/>
              </a:solidFill>
              <a:prstDash val="dash"/>
            </a:ln>
          </spPr>
          <marker>
            <symbol val="none"/>
            <spPr>
              <a:ln xmlns:a="http://schemas.openxmlformats.org/drawingml/2006/main">
                <a:prstDash val="solid"/>
              </a:ln>
            </spPr>
          </marker>
          <cat>
            <numRef>
              <f>'BOJPath'!$A$28:$A$157</f>
            </numRef>
          </cat>
          <val>
            <numRef>
              <f>'BOJPath'!$E$28:$E$157</f>
            </numRef>
          </val>
          <smooth val="0"/>
        </ser>
        <ser>
          <idx val="2"/>
          <order val="2"/>
          <tx>
            <v>JPY OIS 2y</v>
          </tx>
          <spPr>
            <a:ln xmlns:a="http://schemas.openxmlformats.org/drawingml/2006/main" w="20000">
              <a:solidFill>
                <a:srgbClr val="6E88A6"/>
              </a:solidFill>
              <a:prstDash val="solid"/>
            </a:ln>
          </spPr>
          <marker>
            <symbol val="none"/>
            <spPr>
              <a:ln xmlns:a="http://schemas.openxmlformats.org/drawingml/2006/main">
                <a:prstDash val="solid"/>
              </a:ln>
            </spPr>
          </marker>
          <cat>
            <numRef>
              <f>'BOJPath'!$A$28:$A$157</f>
            </numRef>
          </cat>
          <val>
            <numRef>
              <f>'BOJPath'!$C$28:$C$157</f>
            </numRef>
          </val>
          <smooth val="0"/>
        </ser>
        <ser>
          <idx val="3"/>
          <order val="3"/>
          <tx>
            <v>Core-core CPI y/y</v>
          </tx>
          <spPr>
            <a:ln xmlns:a="http://schemas.openxmlformats.org/drawingml/2006/main" w="20000">
              <a:solidFill>
                <a:srgbClr val="44546A"/>
              </a:solidFill>
              <a:prstDash val="solid"/>
            </a:ln>
          </spPr>
          <marker>
            <symbol val="none"/>
            <spPr>
              <a:ln xmlns:a="http://schemas.openxmlformats.org/drawingml/2006/main">
                <a:prstDash val="solid"/>
              </a:ln>
            </spPr>
          </marker>
          <cat>
            <numRef>
              <f>'BOJPath'!$A$28:$A$157</f>
            </numRef>
          </cat>
          <val>
            <numRef>
              <f>'BOJPath'!$D$28:$D$157</f>
            </numRef>
          </val>
          <smooth val="0"/>
        </ser>
        <axId val="10"/>
        <axId val="100"/>
      </lineChart>
      <lineChart>
        <grouping val="standard"/>
        <ser>
          <idx val="4"/>
          <order val="4"/>
          <tx>
            <v>Shunto settlement (right)</v>
          </tx>
          <spPr>
            <a:ln xmlns:a="http://schemas.openxmlformats.org/drawingml/2006/main" w="25000">
              <a:solidFill>
                <a:srgbClr val="00847F"/>
              </a:solidFill>
              <a:prstDash val="solid"/>
            </a:ln>
          </spPr>
          <marker>
            <symbol val="none"/>
            <spPr>
              <a:ln xmlns:a="http://schemas.openxmlformats.org/drawingml/2006/main">
                <a:prstDash val="solid"/>
              </a:ln>
            </spPr>
          </marker>
          <cat>
            <numRef>
              <f>'BOJPath'!$A$28:$A$157</f>
            </numRef>
          </cat>
          <val>
            <numRef>
              <f>'BOJPath'!$F$28:$F$157</f>
            </numRef>
          </val>
          <smooth val="0"/>
        </ser>
        <axId val="10"/>
        <axId val="2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Policy path and CPI, %</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crosses val="autoZero"/>
      </valAx>
      <valAx>
        <axId val="200"/>
        <scaling>
          <orientation val="minMax"/>
        </scaling>
        <axPos val="l"/>
        <title>
          <tx>
            <rich>
              <a:bodyPr xmlns:a="http://schemas.openxmlformats.org/drawingml/2006/main"/>
              <a:p xmlns:a="http://schemas.openxmlformats.org/drawingml/2006/main">
                <a:pPr>
                  <a:defRPr/>
                </a:pPr>
                <a:r>
                  <a:t>Shunto, %</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crosses val="max"/>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Curve slope, bp — against its own 5-year range</a:t>
            </a:r>
          </a:p>
        </rich>
      </tx>
    </title>
    <plotArea>
      <barChart>
        <barDir val="col"/>
        <grouping val="clustered"/>
        <ser>
          <idx val="0"/>
          <order val="0"/>
          <tx>
            <v>Slope, current</v>
          </tx>
          <spPr>
            <a:solidFill xmlns:a="http://schemas.openxmlformats.org/drawingml/2006/main">
              <a:srgbClr val="DB0011"/>
            </a:solidFill>
            <a:ln xmlns:a="http://schemas.openxmlformats.org/drawingml/2006/main">
              <a:noFill/>
              <a:prstDash val="solid"/>
            </a:ln>
          </spPr>
          <cat>
            <numRef>
              <f>'CurveSlope'!$A$18:$A$23</f>
            </numRef>
          </cat>
          <val>
            <numRef>
              <f>'CurveSlope'!$D$18:$D$23</f>
            </numRef>
          </val>
        </ser>
        <dLbls>
          <numFmt formatCode="+#,##0;-#,##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110"/>
        <axId val="10"/>
        <axId val="100"/>
      </barChart>
      <lineChart>
        <grouping val="standard"/>
        <ser>
          <idx val="1"/>
          <order val="1"/>
          <tx>
            <v>5y mean, min–max range</v>
          </tx>
          <spPr>
            <a:ln xmlns:a="http://schemas.openxmlformats.org/drawingml/2006/main">
              <a:noFill/>
              <a:prstDash val="solid"/>
            </a:ln>
          </spPr>
          <marker>
            <symbol val="dash"/>
            <size val="18"/>
            <spPr>
              <a:solidFill xmlns:a="http://schemas.openxmlformats.org/drawingml/2006/main">
                <a:srgbClr val="44546A"/>
              </a:solidFill>
              <a:ln xmlns:a="http://schemas.openxmlformats.org/drawingml/2006/main" w="19050">
                <a:solidFill>
                  <a:srgbClr val="44546A"/>
                </a:solidFill>
                <a:prstDash val="solid"/>
              </a:ln>
            </spPr>
          </marker>
          <errBars>
            <errDir val="y"/>
            <errBarType val="both"/>
            <errValType val="cust"/>
            <noEndCap val="0"/>
            <minus>
              <numRef>
                <f>CurveSlope!$K$18:$K$23</f>
              </numRef>
            </minus>
            <plus>
              <numRef>
                <f>CurveSlope!$J$18:$J$23</f>
              </numRef>
            </plus>
          </errBars>
          <cat>
            <numRef>
              <f>'CurveSlope'!$A$18:$A$23</f>
            </numRef>
          </cat>
          <val>
            <numRef>
              <f>'CurveSlope'!$G$18:$G$23</f>
            </numRef>
          </val>
          <smooth val="0"/>
        </ser>
        <axId val="10"/>
        <axId val="100"/>
      </line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Percentile within the 5-year range</a:t>
            </a:r>
          </a:p>
        </rich>
      </tx>
    </title>
    <plotArea>
      <barChart>
        <barDir val="col"/>
        <grouping val="clustered"/>
        <ser>
          <idx val="0"/>
          <order val="0"/>
          <spPr>
            <a:solidFill xmlns:a="http://schemas.openxmlformats.org/drawingml/2006/main">
              <a:srgbClr val="44546A"/>
            </a:solidFill>
            <a:ln xmlns:a="http://schemas.openxmlformats.org/drawingml/2006/main">
              <a:noFill/>
              <a:prstDash val="solid"/>
            </a:ln>
          </spPr>
          <cat>
            <numRef>
              <f>'CurveSlope'!$A$18:$A$23</f>
            </numRef>
          </cat>
          <val>
            <numRef>
              <f>'CurveSlope'!$H$18:$H$23</f>
            </numRef>
          </val>
        </ser>
        <dLbls>
          <numFmt formatCode="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Curve slopes, monthly — five years, bp</a:t>
            </a:r>
          </a:p>
        </rich>
      </tx>
    </title>
    <plotArea>
      <lineChart>
        <grouping val="standard"/>
        <ser>
          <idx val="0"/>
          <order val="0"/>
          <tx>
            <v>JGB 2s10s</v>
          </tx>
          <spPr>
            <a:ln xmlns:a="http://schemas.openxmlformats.org/drawingml/2006/main" w="20000">
              <a:solidFill>
                <a:srgbClr val="DB0011"/>
              </a:solidFill>
              <a:prstDash val="solid"/>
            </a:ln>
          </spPr>
          <marker>
            <symbol val="none"/>
            <spPr>
              <a:ln xmlns:a="http://schemas.openxmlformats.org/drawingml/2006/main">
                <a:prstDash val="solid"/>
              </a:ln>
            </spPr>
          </marker>
          <cat>
            <numRef>
              <f>'CurveSlope'!$A$40:$A$169</f>
            </numRef>
          </cat>
          <val>
            <numRef>
              <f>'CurveSlope'!$B$40:$B$169</f>
            </numRef>
          </val>
          <smooth val="0"/>
        </ser>
        <ser>
          <idx val="1"/>
          <order val="1"/>
          <tx>
            <v>JGB 10s30s</v>
          </tx>
          <spPr>
            <a:ln xmlns:a="http://schemas.openxmlformats.org/drawingml/2006/main" w="20000">
              <a:solidFill>
                <a:srgbClr val="44546A"/>
              </a:solidFill>
              <a:prstDash val="solid"/>
            </a:ln>
          </spPr>
          <marker>
            <symbol val="none"/>
            <spPr>
              <a:ln xmlns:a="http://schemas.openxmlformats.org/drawingml/2006/main">
                <a:prstDash val="solid"/>
              </a:ln>
            </spPr>
          </marker>
          <cat>
            <numRef>
              <f>'CurveSlope'!$A$40:$A$169</f>
            </numRef>
          </cat>
          <val>
            <numRef>
              <f>'CurveSlope'!$C$40:$C$169</f>
            </numRef>
          </val>
          <smooth val="0"/>
        </ser>
        <ser>
          <idx val="2"/>
          <order val="2"/>
          <tx>
            <v>UST 2s10s</v>
          </tx>
          <spPr>
            <a:ln xmlns:a="http://schemas.openxmlformats.org/drawingml/2006/main" w="20000">
              <a:solidFill>
                <a:srgbClr val="6E88A6"/>
              </a:solidFill>
              <a:prstDash val="solid"/>
            </a:ln>
          </spPr>
          <marker>
            <symbol val="none"/>
            <spPr>
              <a:ln xmlns:a="http://schemas.openxmlformats.org/drawingml/2006/main">
                <a:prstDash val="solid"/>
              </a:ln>
            </spPr>
          </marker>
          <cat>
            <numRef>
              <f>'CurveSlope'!$A$40:$A$169</f>
            </numRef>
          </cat>
          <val>
            <numRef>
              <f>'CurveSlope'!$D$40:$D$169</f>
            </numRef>
          </val>
          <smooth val="0"/>
        </ser>
        <ser>
          <idx val="3"/>
          <order val="3"/>
          <tx>
            <v>UST 5s30s</v>
          </tx>
          <spPr>
            <a:ln xmlns:a="http://schemas.openxmlformats.org/drawingml/2006/main" w="20000">
              <a:solidFill>
                <a:srgbClr val="9FB4CA"/>
              </a:solidFill>
              <a:prstDash val="solid"/>
            </a:ln>
          </spPr>
          <marker>
            <symbol val="none"/>
            <spPr>
              <a:ln xmlns:a="http://schemas.openxmlformats.org/drawingml/2006/main">
                <a:prstDash val="solid"/>
              </a:ln>
            </spPr>
          </marker>
          <cat>
            <numRef>
              <f>'CurveSlope'!$A$40:$A$169</f>
            </numRef>
          </cat>
          <val>
            <numRef>
              <f>'CurveSlope'!$E$40:$E$169</f>
            </numRef>
          </val>
          <smooth val="0"/>
        </ser>
        <ser>
          <idx val="4"/>
          <order val="4"/>
          <tx>
            <v>Bund 2s10s</v>
          </tx>
          <spPr>
            <a:ln xmlns:a="http://schemas.openxmlformats.org/drawingml/2006/main" w="20000">
              <a:solidFill>
                <a:srgbClr val="767576"/>
              </a:solidFill>
              <a:prstDash val="solid"/>
            </a:ln>
          </spPr>
          <marker>
            <symbol val="none"/>
            <spPr>
              <a:ln xmlns:a="http://schemas.openxmlformats.org/drawingml/2006/main">
                <a:prstDash val="solid"/>
              </a:ln>
            </spPr>
          </marker>
          <cat>
            <numRef>
              <f>'CurveSlope'!$A$40:$A$169</f>
            </numRef>
          </cat>
          <val>
            <numRef>
              <f>'CurveSlope'!$F$40:$F$169</f>
            </numRef>
          </val>
          <smooth val="0"/>
        </ser>
        <ser>
          <idx val="5"/>
          <order val="5"/>
          <tx>
            <v>KTB 3s10s</v>
          </tx>
          <spPr>
            <a:ln xmlns:a="http://schemas.openxmlformats.org/drawingml/2006/main" w="20000">
              <a:solidFill>
                <a:srgbClr val="00847F"/>
              </a:solidFill>
              <a:prstDash val="solid"/>
            </a:ln>
          </spPr>
          <marker>
            <symbol val="none"/>
            <spPr>
              <a:ln xmlns:a="http://schemas.openxmlformats.org/drawingml/2006/main">
                <a:prstDash val="solid"/>
              </a:ln>
            </spPr>
          </marker>
          <cat>
            <numRef>
              <f>'CurveSlope'!$A$40:$A$169</f>
            </numRef>
          </cat>
          <val>
            <numRef>
              <f>'CurveSlope'!$G$40:$G$169</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bp</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2s10s against its own mean and ±1SD — the entry and exit picture</a:t>
            </a:r>
          </a:p>
        </rich>
      </tx>
    </title>
    <plotArea>
      <lineChart>
        <grouping val="standard"/>
        <ser>
          <idx val="0"/>
          <order val="0"/>
          <tx>
            <v>JPY 2s10s, bp</v>
          </tx>
          <spPr>
            <a:ln xmlns:a="http://schemas.openxmlformats.org/drawingml/2006/main" w="20000">
              <a:solidFill>
                <a:srgbClr val="DB0011"/>
              </a:solidFill>
              <a:prstDash val="solid"/>
            </a:ln>
          </spPr>
          <marker>
            <symbol val="none"/>
            <spPr>
              <a:ln xmlns:a="http://schemas.openxmlformats.org/drawingml/2006/main">
                <a:prstDash val="solid"/>
              </a:ln>
            </spPr>
          </marker>
          <cat>
            <numRef>
              <f>'BullSteepener'!$A$108:$A$387</f>
            </numRef>
          </cat>
          <val>
            <numRef>
              <f>'BullSteepener'!$D$108:$D$387</f>
            </numRef>
          </val>
          <smooth val="0"/>
        </ser>
        <ser>
          <idx val="1"/>
          <order val="1"/>
          <tx>
            <v>5y mean</v>
          </tx>
          <spPr>
            <a:ln xmlns:a="http://schemas.openxmlformats.org/drawingml/2006/main" w="9000">
              <a:solidFill>
                <a:srgbClr val="44546A"/>
              </a:solidFill>
              <a:prstDash val="dash"/>
            </a:ln>
          </spPr>
          <marker>
            <symbol val="none"/>
            <spPr>
              <a:ln xmlns:a="http://schemas.openxmlformats.org/drawingml/2006/main">
                <a:prstDash val="solid"/>
              </a:ln>
            </spPr>
          </marker>
          <cat>
            <numRef>
              <f>'BullSteepener'!$A$108:$A$387</f>
            </numRef>
          </cat>
          <val>
            <numRef>
              <f>'BullSteepener'!$K$108:$K$387</f>
            </numRef>
          </val>
          <smooth val="0"/>
        </ser>
        <ser>
          <idx val="2"/>
          <order val="2"/>
          <tx>
            <v>Entry — mean less 1SD</v>
          </tx>
          <spPr>
            <a:ln xmlns:a="http://schemas.openxmlformats.org/drawingml/2006/main" w="9000">
              <a:solidFill>
                <a:srgbClr val="767576"/>
              </a:solidFill>
              <a:prstDash val="dash"/>
            </a:ln>
          </spPr>
          <marker>
            <symbol val="none"/>
            <spPr>
              <a:ln xmlns:a="http://schemas.openxmlformats.org/drawingml/2006/main">
                <a:prstDash val="solid"/>
              </a:ln>
            </spPr>
          </marker>
          <cat>
            <numRef>
              <f>'BullSteepener'!$A$108:$A$387</f>
            </numRef>
          </cat>
          <val>
            <numRef>
              <f>'BullSteepener'!$L$108:$L$387</f>
            </numRef>
          </val>
          <smooth val="0"/>
        </ser>
        <ser>
          <idx val="3"/>
          <order val="3"/>
          <tx>
            <v>Target — mean plus 1SD</v>
          </tx>
          <spPr>
            <a:ln xmlns:a="http://schemas.openxmlformats.org/drawingml/2006/main" w="9000">
              <a:solidFill>
                <a:srgbClr val="767576"/>
              </a:solidFill>
              <a:prstDash val="dash"/>
            </a:ln>
          </spPr>
          <marker>
            <symbol val="none"/>
            <spPr>
              <a:ln xmlns:a="http://schemas.openxmlformats.org/drawingml/2006/main">
                <a:prstDash val="solid"/>
              </a:ln>
            </spPr>
          </marker>
          <cat>
            <numRef>
              <f>'BullSteepener'!$A$108:$A$387</f>
            </numRef>
          </cat>
          <val>
            <numRef>
              <f>'BullSteepener'!$M$108:$M$387</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bp</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Both legs — the 2-year has never rallied</a:t>
            </a:r>
          </a:p>
        </rich>
      </tx>
    </title>
    <plotArea>
      <lineChart>
        <grouping val="standard"/>
        <ser>
          <idx val="0"/>
          <order val="0"/>
          <tx>
            <v>JPY OIS 2y, %</v>
          </tx>
          <spPr>
            <a:ln xmlns:a="http://schemas.openxmlformats.org/drawingml/2006/main" w="20000">
              <a:solidFill>
                <a:srgbClr val="DB0011"/>
              </a:solidFill>
              <a:prstDash val="solid"/>
            </a:ln>
          </spPr>
          <marker>
            <symbol val="none"/>
            <spPr>
              <a:ln xmlns:a="http://schemas.openxmlformats.org/drawingml/2006/main">
                <a:prstDash val="solid"/>
              </a:ln>
            </spPr>
          </marker>
          <cat>
            <numRef>
              <f>'BullSteepener'!$A$108:$A$387</f>
            </numRef>
          </cat>
          <val>
            <numRef>
              <f>'BullSteepener'!$B$108:$B$387</f>
            </numRef>
          </val>
          <smooth val="0"/>
        </ser>
        <ser>
          <idx val="1"/>
          <order val="1"/>
          <tx>
            <v>JPY OIS 10y, %</v>
          </tx>
          <spPr>
            <a:ln xmlns:a="http://schemas.openxmlformats.org/drawingml/2006/main" w="20000">
              <a:solidFill>
                <a:srgbClr val="44546A"/>
              </a:solidFill>
              <a:prstDash val="solid"/>
            </a:ln>
          </spPr>
          <marker>
            <symbol val="none"/>
            <spPr>
              <a:ln xmlns:a="http://schemas.openxmlformats.org/drawingml/2006/main">
                <a:prstDash val="solid"/>
              </a:ln>
            </spPr>
          </marker>
          <cat>
            <numRef>
              <f>'BullSteepener'!$A$108:$A$387</f>
            </numRef>
          </cat>
          <val>
            <numRef>
              <f>'BullSteepener'!$C$108:$C$387</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How the curve got here — bear steepening, every window</a:t>
            </a:r>
          </a:p>
        </rich>
      </tx>
    </title>
    <plotArea>
      <barChart>
        <barDir val="col"/>
        <grouping val="clustered"/>
        <ser>
          <idx val="0"/>
          <order val="0"/>
          <tx>
            <v>2y change, bp</v>
          </tx>
          <spPr>
            <a:solidFill xmlns:a="http://schemas.openxmlformats.org/drawingml/2006/main">
              <a:srgbClr val="DB0011"/>
            </a:solidFill>
            <a:ln xmlns:a="http://schemas.openxmlformats.org/drawingml/2006/main">
              <a:noFill/>
              <a:prstDash val="solid"/>
            </a:ln>
          </spPr>
          <cat>
            <numRef>
              <f>'BullSteepener'!$A$90:$A$94</f>
            </numRef>
          </cat>
          <val>
            <numRef>
              <f>'BullSteepener'!$B$90:$B$94</f>
            </numRef>
          </val>
        </ser>
        <ser>
          <idx val="1"/>
          <order val="1"/>
          <tx>
            <v>10y change, bp</v>
          </tx>
          <spPr>
            <a:solidFill xmlns:a="http://schemas.openxmlformats.org/drawingml/2006/main">
              <a:srgbClr val="44546A"/>
            </a:solidFill>
            <a:ln xmlns:a="http://schemas.openxmlformats.org/drawingml/2006/main">
              <a:noFill/>
              <a:prstDash val="solid"/>
            </a:ln>
          </spPr>
          <cat>
            <numRef>
              <f>'BullSteepener'!$A$90:$A$94</f>
            </numRef>
          </cat>
          <val>
            <numRef>
              <f>'BullSteepener'!$C$90:$C$94</f>
            </numRef>
          </val>
        </ser>
        <dLbls>
          <numFmt formatCode="+#,##0;-#,##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Z-score — below −1 is the entry zone, above +1 the exit</a:t>
            </a:r>
          </a:p>
        </rich>
      </tx>
    </title>
    <plotArea>
      <lineChart>
        <grouping val="standard"/>
        <ser>
          <idx val="0"/>
          <order val="0"/>
          <tx>
            <v>z-score</v>
          </tx>
          <spPr>
            <a:ln xmlns:a="http://schemas.openxmlformats.org/drawingml/2006/main" w="20000">
              <a:solidFill>
                <a:srgbClr val="DB0011"/>
              </a:solidFill>
              <a:prstDash val="solid"/>
            </a:ln>
          </spPr>
          <marker>
            <symbol val="none"/>
            <spPr>
              <a:ln xmlns:a="http://schemas.openxmlformats.org/drawingml/2006/main">
                <a:prstDash val="solid"/>
              </a:ln>
            </spPr>
          </marker>
          <cat>
            <numRef>
              <f>'BullSteepener'!$A$108:$A$387</f>
            </numRef>
          </cat>
          <val>
            <numRef>
              <f>'BullSteepener'!$G$108:$G$387</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SD</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Japan CPI, % y/y — headline is crude, core-core is the target</a:t>
            </a:r>
          </a:p>
        </rich>
      </tx>
    </title>
    <plotArea>
      <lineChart>
        <grouping val="standard"/>
        <ser>
          <idx val="0"/>
          <order val="0"/>
          <tx>
            <v>Headline CPI</v>
          </tx>
          <spPr>
            <a:ln xmlns:a="http://schemas.openxmlformats.org/drawingml/2006/main" w="20000">
              <a:solidFill>
                <a:srgbClr val="DB0011"/>
              </a:solidFill>
              <a:prstDash val="solid"/>
            </a:ln>
          </spPr>
          <marker>
            <symbol val="none"/>
            <spPr>
              <a:ln xmlns:a="http://schemas.openxmlformats.org/drawingml/2006/main">
                <a:prstDash val="solid"/>
              </a:ln>
            </spPr>
          </marker>
          <cat>
            <numRef>
              <f>'JPYEvidence'!$A$20:$A$149</f>
            </numRef>
          </cat>
          <val>
            <numRef>
              <f>'JPYEvidence'!$B$20:$B$149</f>
            </numRef>
          </val>
          <smooth val="0"/>
        </ser>
        <ser>
          <idx val="1"/>
          <order val="1"/>
          <tx>
            <v>Core-core CPI</v>
          </tx>
          <spPr>
            <a:ln xmlns:a="http://schemas.openxmlformats.org/drawingml/2006/main" w="20000">
              <a:solidFill>
                <a:srgbClr val="44546A"/>
              </a:solidFill>
              <a:prstDash val="solid"/>
            </a:ln>
          </spPr>
          <marker>
            <symbol val="none"/>
            <spPr>
              <a:ln xmlns:a="http://schemas.openxmlformats.org/drawingml/2006/main">
                <a:prstDash val="solid"/>
              </a:ln>
            </spPr>
          </marker>
          <cat>
            <numRef>
              <f>'JPYEvidence'!$A$20:$A$149</f>
            </numRef>
          </cat>
          <val>
            <numRef>
              <f>'JPYEvidence'!$C$20:$C$149</f>
            </numRef>
          </val>
          <smooth val="0"/>
        </ser>
        <ser>
          <idx val="2"/>
          <order val="2"/>
          <tx>
            <v>2% target</v>
          </tx>
          <spPr>
            <a:ln xmlns:a="http://schemas.openxmlformats.org/drawingml/2006/main" w="9000">
              <a:solidFill>
                <a:srgbClr val="767576"/>
              </a:solidFill>
              <a:prstDash val="dash"/>
            </a:ln>
          </spPr>
          <marker>
            <symbol val="none"/>
            <spPr>
              <a:ln xmlns:a="http://schemas.openxmlformats.org/drawingml/2006/main">
                <a:prstDash val="solid"/>
              </a:ln>
            </spPr>
          </marker>
          <cat>
            <numRef>
              <f>'JPYEvidence'!$A$20:$A$149</f>
            </numRef>
          </cat>
          <val>
            <numRef>
              <f>'JPYEvidence'!$F$20:$F$149</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 y/y</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Real wages against household spending, % y/y</a:t>
            </a:r>
          </a:p>
        </rich>
      </tx>
    </title>
    <plotArea>
      <lineChart>
        <grouping val="standard"/>
        <ser>
          <idx val="0"/>
          <order val="0"/>
          <tx>
            <v>Real wages</v>
          </tx>
          <spPr>
            <a:ln xmlns:a="http://schemas.openxmlformats.org/drawingml/2006/main" w="20000">
              <a:solidFill>
                <a:srgbClr val="00847F"/>
              </a:solidFill>
              <a:prstDash val="solid"/>
            </a:ln>
          </spPr>
          <marker>
            <symbol val="none"/>
            <spPr>
              <a:ln xmlns:a="http://schemas.openxmlformats.org/drawingml/2006/main">
                <a:prstDash val="solid"/>
              </a:ln>
            </spPr>
          </marker>
          <cat>
            <numRef>
              <f>'JPYEvidence'!$A$20:$A$149</f>
            </numRef>
          </cat>
          <val>
            <numRef>
              <f>'JPYEvidence'!$D$20:$D$149</f>
            </numRef>
          </val>
          <smooth val="0"/>
        </ser>
        <ser>
          <idx val="1"/>
          <order val="1"/>
          <tx>
            <v>Household spending</v>
          </tx>
          <spPr>
            <a:ln xmlns:a="http://schemas.openxmlformats.org/drawingml/2006/main" w="20000">
              <a:solidFill>
                <a:srgbClr val="DB0011"/>
              </a:solidFill>
              <a:prstDash val="solid"/>
            </a:ln>
          </spPr>
          <marker>
            <symbol val="none"/>
            <spPr>
              <a:ln xmlns:a="http://schemas.openxmlformats.org/drawingml/2006/main">
                <a:prstDash val="solid"/>
              </a:ln>
            </spPr>
          </marker>
          <cat>
            <numRef>
              <f>'JPYEvidence'!$A$20:$A$149</f>
            </numRef>
          </cat>
          <val>
            <numRef>
              <f>'JPYEvidence'!$E$20:$E$149</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 y/y</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Payoff by state, bp of 2s10s</a:t>
            </a:r>
          </a:p>
        </rich>
      </tx>
    </title>
    <plotArea>
      <barChart>
        <barDir val="col"/>
        <grouping val="clustered"/>
        <ser>
          <idx val="0"/>
          <order val="0"/>
          <tx>
            <v>Cash 2s10s spread</v>
          </tx>
          <spPr>
            <a:solidFill xmlns:a="http://schemas.openxmlformats.org/drawingml/2006/main">
              <a:srgbClr val="DB0011"/>
            </a:solidFill>
            <a:ln xmlns:a="http://schemas.openxmlformats.org/drawingml/2006/main">
              <a:noFill/>
              <a:prstDash val="solid"/>
            </a:ln>
          </spPr>
          <cat>
            <numRef>
              <f>'Payoff'!$A$21:$A$25</f>
            </numRef>
          </cat>
          <val>
            <numRef>
              <f>'Payoff'!$F$21:$F$25</f>
            </numRef>
          </val>
        </ser>
        <ser>
          <idx val="1"/>
          <order val="1"/>
          <tx>
            <v>6m conditional steepener</v>
          </tx>
          <spPr>
            <a:solidFill xmlns:a="http://schemas.openxmlformats.org/drawingml/2006/main">
              <a:srgbClr val="44546A"/>
            </a:solidFill>
            <a:ln xmlns:a="http://schemas.openxmlformats.org/drawingml/2006/main">
              <a:noFill/>
              <a:prstDash val="solid"/>
            </a:ln>
          </spPr>
          <cat>
            <numRef>
              <f>'Payoff'!$A$21:$A$25</f>
            </numRef>
          </cat>
          <val>
            <numRef>
              <f>'Payoff'!$G$21:$G$25</f>
            </numRef>
          </val>
        </ser>
        <dLbls>
          <numFmt formatCode="+#,##0;-#,##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Probability by state</a:t>
            </a:r>
          </a:p>
        </rich>
      </tx>
    </title>
    <plotArea>
      <barChart>
        <barDir val="col"/>
        <grouping val="clustered"/>
        <ser>
          <idx val="0"/>
          <order val="0"/>
          <spPr>
            <a:solidFill xmlns:a="http://schemas.openxmlformats.org/drawingml/2006/main">
              <a:srgbClr val="44546A"/>
            </a:solidFill>
            <a:ln xmlns:a="http://schemas.openxmlformats.org/drawingml/2006/main">
              <a:noFill/>
              <a:prstDash val="solid"/>
            </a:ln>
          </spPr>
          <cat>
            <numRef>
              <f>'Payoff'!$A$21:$A$25</f>
            </numRef>
          </cat>
          <val>
            <numRef>
              <f>'Payoff'!$B$21:$B$25</f>
            </numRef>
          </val>
        </ser>
        <dLbls>
          <numFmt formatCode="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Headline against core — US and Japan, % y/y</a:t>
            </a:r>
          </a:p>
        </rich>
      </tx>
    </title>
    <plotArea>
      <barChart>
        <barDir val="col"/>
        <grouping val="clustered"/>
        <ser>
          <idx val="0"/>
          <order val="0"/>
          <spPr>
            <a:solidFill xmlns:a="http://schemas.openxmlformats.org/drawingml/2006/main">
              <a:srgbClr val="DB0011"/>
            </a:solidFill>
            <a:ln xmlns:a="http://schemas.openxmlformats.org/drawingml/2006/main">
              <a:noFill/>
              <a:prstDash val="solid"/>
            </a:ln>
          </spPr>
          <cat>
            <numRef>
              <f>'MacroLink'!$A$36:$A$39</f>
            </numRef>
          </cat>
          <val>
            <numRef>
              <f>'MacroLink'!$C$36:$C$39</f>
            </numRef>
          </val>
        </ser>
        <dLbls>
          <numFmt formatCode="0.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Real yields, % — the negative one is Japan's front end</a:t>
            </a:r>
          </a:p>
        </rich>
      </tx>
    </title>
    <plotArea>
      <barChart>
        <barDir val="col"/>
        <grouping val="clustered"/>
        <ser>
          <idx val="0"/>
          <order val="0"/>
          <spPr>
            <a:solidFill xmlns:a="http://schemas.openxmlformats.org/drawingml/2006/main">
              <a:srgbClr val="DB0011"/>
            </a:solidFill>
            <a:ln xmlns:a="http://schemas.openxmlformats.org/drawingml/2006/main">
              <a:noFill/>
              <a:prstDash val="solid"/>
            </a:ln>
          </spPr>
          <cat>
            <numRef>
              <f>'MacroLink'!$A$46:$A$51</f>
            </numRef>
          </cat>
          <val>
            <numRef>
              <f>'MacroLink'!$C$46:$C$51</f>
            </numRef>
          </val>
        </ser>
        <dLbls>
          <numFmt formatCode="+0.00;-0.0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Priced against the Bank's own forecast, %</a:t>
            </a:r>
          </a:p>
        </rich>
      </tx>
    </title>
    <plotArea>
      <barChart>
        <barDir val="col"/>
        <grouping val="clustered"/>
        <ser>
          <idx val="0"/>
          <order val="0"/>
          <tx>
            <v>BoJ's own CPI forecast, %</v>
          </tx>
          <spPr>
            <a:solidFill xmlns:a="http://schemas.openxmlformats.org/drawingml/2006/main">
              <a:srgbClr val="44546A"/>
            </a:solidFill>
            <a:ln xmlns:a="http://schemas.openxmlformats.org/drawingml/2006/main">
              <a:noFill/>
              <a:prstDash val="solid"/>
            </a:ln>
          </spPr>
          <cat>
            <numRef>
              <f>'MacroLink'!$A$66:$A$69</f>
            </numRef>
          </cat>
          <val>
            <numRef>
              <f>'MacroLink'!$B$66:$B$69</f>
            </numRef>
          </val>
        </ser>
        <ser>
          <idx val="1"/>
          <order val="1"/>
          <tx>
            <v>Market-implied policy rate, %</v>
          </tx>
          <spPr>
            <a:solidFill xmlns:a="http://schemas.openxmlformats.org/drawingml/2006/main">
              <a:srgbClr val="DB0011"/>
            </a:solidFill>
            <a:ln xmlns:a="http://schemas.openxmlformats.org/drawingml/2006/main">
              <a:noFill/>
              <a:prstDash val="solid"/>
            </a:ln>
          </spPr>
          <cat>
            <numRef>
              <f>'MacroLink'!$A$66:$A$69</f>
            </numRef>
          </cat>
          <val>
            <numRef>
              <f>'MacroLink'!$C$66:$C$69</f>
            </numRef>
          </val>
        </ser>
        <dLbls>
          <numFmt formatCode="0.0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s>
</file>

<file path=xl/drawings/_rels/drawing3.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 Type="http://schemas.openxmlformats.org/officeDocument/2006/relationships/chart" Target="/xl/charts/chart6.xml" Id="rId3"/></Relationships>
</file>

<file path=xl/drawings/_rels/drawing4.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chart" Target="/xl/charts/chart9.xml" Id="rId3"/><Relationship Type="http://schemas.openxmlformats.org/officeDocument/2006/relationships/chart" Target="/xl/charts/chart10.xml" Id="rId4"/></Relationships>
</file>

<file path=xl/drawings/_rels/drawing5.xml.rels><Relationships xmlns="http://schemas.openxmlformats.org/package/2006/relationships"><Relationship Type="http://schemas.openxmlformats.org/officeDocument/2006/relationships/chart" Target="/xl/charts/chart11.xml" Id="rId1"/><Relationship Type="http://schemas.openxmlformats.org/officeDocument/2006/relationships/chart" Target="/xl/charts/chart12.xml" Id="rId2"/></Relationships>
</file>

<file path=xl/drawings/_rels/drawing6.xml.rels><Relationships xmlns="http://schemas.openxmlformats.org/package/2006/relationships"><Relationship Type="http://schemas.openxmlformats.org/officeDocument/2006/relationships/chart" Target="/xl/charts/chart13.xml" Id="rId1"/><Relationship Type="http://schemas.openxmlformats.org/officeDocument/2006/relationships/chart" Target="/xl/charts/chart14.xml" Id="rId2"/></Relationships>
</file>

<file path=xl/drawings/_rels/drawing7.xml.rels><Relationships xmlns="http://schemas.openxmlformats.org/package/2006/relationships"><Relationship Type="http://schemas.openxmlformats.org/officeDocument/2006/relationships/chart" Target="/xl/charts/chart15.xml" Id="rId1"/><Relationship Type="http://schemas.openxmlformats.org/officeDocument/2006/relationships/chart" Target="/xl/charts/chart16.xml" Id="rId2"/><Relationship Type="http://schemas.openxmlformats.org/officeDocument/2006/relationships/chart" Target="/xl/charts/chart17.xml" Id="rId3"/></Relationships>
</file>

<file path=xl/drawings/drawing1.xml><?xml version="1.0" encoding="utf-8"?>
<wsDr xmlns="http://schemas.openxmlformats.org/drawingml/2006/spreadsheetDrawing">
  <oneCellAnchor>
    <from>
      <col>7</col>
      <colOff>0</colOff>
      <row>4</row>
      <rowOff>0</rowOff>
    </from>
    <ext cx="63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13</row>
      <rowOff>0</rowOff>
    </from>
    <ext cx="468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26</row>
      <rowOff>0</rowOff>
    </from>
    <ext cx="684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10</col>
      <colOff>0</colOff>
      <row>16</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33</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50</row>
      <rowOff>0</rowOff>
    </from>
    <ext cx="684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xml><?xml version="1.0" encoding="utf-8"?>
<wsDr xmlns="http://schemas.openxmlformats.org/drawingml/2006/spreadsheetDrawing">
  <oneCellAnchor>
    <from>
      <col>13</col>
      <colOff>0</colOff>
      <row>4</row>
      <rowOff>0</rowOff>
    </from>
    <ext cx="756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24</row>
      <rowOff>0</rowOff>
    </from>
    <ext cx="756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13</col>
      <colOff>0</colOff>
      <row>44</row>
      <rowOff>0</rowOff>
    </from>
    <ext cx="756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13</col>
      <colOff>0</colOff>
      <row>64</row>
      <rowOff>0</rowOff>
    </from>
    <ext cx="756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5.xml><?xml version="1.0" encoding="utf-8"?>
<wsDr xmlns="http://schemas.openxmlformats.org/drawingml/2006/spreadsheetDrawing">
  <oneCellAnchor>
    <from>
      <col>7</col>
      <colOff>0</colOff>
      <row>4</row>
      <rowOff>0</rowOff>
    </from>
    <ext cx="72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25</row>
      <rowOff>0</rowOff>
    </from>
    <ext cx="720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6.xml><?xml version="1.0" encoding="utf-8"?>
<wsDr xmlns="http://schemas.openxmlformats.org/drawingml/2006/spreadsheetDrawing">
  <oneCellAnchor>
    <from>
      <col>9</col>
      <colOff>0</colOff>
      <row>4</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23</row>
      <rowOff>0</rowOff>
    </from>
    <ext cx="72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7.xml><?xml version="1.0" encoding="utf-8"?>
<wsDr xmlns="http://schemas.openxmlformats.org/drawingml/2006/spreadsheetDrawing">
  <oneCellAnchor>
    <from>
      <col>7</col>
      <colOff>0</colOff>
      <row>4</row>
      <rowOff>0</rowOff>
    </from>
    <ext cx="6120000" cy="30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23</row>
      <rowOff>0</rowOff>
    </from>
    <ext cx="6120000" cy="309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42</row>
      <rowOff>0</rowOff>
    </from>
    <ext cx="6120000" cy="309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_rels/sheet10.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F22"/>
  <sheetViews>
    <sheetView showGridLines="0" workbookViewId="0">
      <pane ySplit="4" topLeftCell="A5" activePane="bottomLeft" state="frozen"/>
      <selection pane="bottomLeft" activeCell="A1" sqref="A1"/>
    </sheetView>
  </sheetViews>
  <sheetFormatPr baseColWidth="8" defaultRowHeight="15"/>
  <cols>
    <col width="18" customWidth="1" min="1" max="1"/>
    <col width="104" customWidth="1" min="2" max="2"/>
  </cols>
  <sheetData>
    <row r="1">
      <c r="A1" s="1" t="inlineStr">
        <is>
          <t>JPY bull steepener — the working book</t>
        </is>
      </c>
    </row>
    <row r="2">
      <c r="A2" s="2" t="inlineStr">
        <is>
          <t>Built off-terminal, run on-terminal. Every figure is a live BDH / BDP / BQL formula, so #NAME? until the Bloomberg add-in loads is the file working as intended.</t>
        </is>
      </c>
    </row>
    <row r="3" ht="4" customHeight="1">
      <c r="A3" s="3" t="n"/>
      <c r="B3" s="3" t="n"/>
      <c r="C3" s="3" t="n"/>
      <c r="D3" s="3" t="n"/>
      <c r="E3" s="3" t="n"/>
      <c r="F3" s="3" t="n"/>
    </row>
    <row r="5">
      <c r="A5" s="4" t="inlineStr">
        <is>
          <t>What is here, and what each tab is for</t>
        </is>
      </c>
    </row>
    <row r="6" ht="42" customHeight="1">
      <c r="A6" s="5" t="inlineStr">
        <is>
          <t>Control</t>
        </is>
      </c>
      <c r="B6" s="6" t="inlineStr">
        <is>
          <t>Dates and windows. Every formula in the book points here; change the as-of date once and the whole file moves.</t>
        </is>
      </c>
    </row>
    <row r="7" ht="42" customHeight="1">
      <c r="A7" s="5" t="inlineStr">
        <is>
          <t>BullSteepener</t>
        </is>
      </c>
      <c r="B7" s="6" t="inlineStr">
        <is>
          <t>The trade. Live indications, the mean-reversion tests, entry and exit levels derived from those tests, a 26-week forward backtest of the entry rule, instrument choice with a live hedge ratio and carry, and the decomposition that answers the steepest-since-2010 objection. Four charts.</t>
        </is>
      </c>
    </row>
    <row r="8" ht="42" customHeight="1">
      <c r="A8" s="5" t="inlineStr">
        <is>
          <t>JPYEvidence</t>
        </is>
      </c>
      <c r="B8" s="6" t="inlineStr">
        <is>
          <t>The macro evidence, charted. Headline against core-core CPI with the 2% target, and real wages against household spending. Two charts.</t>
        </is>
      </c>
    </row>
    <row r="9" ht="42" customHeight="1">
      <c r="A9" s="5" t="inlineStr">
        <is>
          <t>BOJPath</t>
        </is>
      </c>
      <c r="B9" s="6" t="inlineStr">
        <is>
          <t>What is priced against what is printing — OIS 1y and 2y, the 1y1y forward, core-core CPI, and the Shunto settlement. Two charts.</t>
        </is>
      </c>
    </row>
    <row r="10" ht="42" customHeight="1">
      <c r="A10" s="5" t="inlineStr">
        <is>
          <t>CurveSlope</t>
        </is>
      </c>
      <c r="B10" s="6" t="inlineStr">
        <is>
          <t>Six curve slopes against their own five-year range, with an explainer written for the room and a punchline cell that rewrites itself from the refreshed numbers. Three charts.</t>
        </is>
      </c>
    </row>
    <row r="11" ht="42" customHeight="1">
      <c r="A11" s="5" t="inlineStr">
        <is>
          <t>RealYield</t>
        </is>
      </c>
      <c r="B11" s="6" t="inlineStr">
        <is>
          <t>Ten-year real yields across five Asian markets. Feeds the MacroLink real-yield chart, which adds Japan's two-year — the point being that the negative real yield is at the front end.</t>
        </is>
      </c>
    </row>
    <row r="12" ht="42" customHeight="1">
      <c r="A12" s="5" t="inlineStr">
        <is>
          <t>Payoff</t>
        </is>
      </c>
      <c r="B12" s="6" t="inlineStr">
        <is>
          <t>What it makes by state of the world, an expected value for both expressions, sizing against the rates sleeve, and a falsification calendar with a date and a number on every line. Two charts.</t>
        </is>
      </c>
    </row>
    <row r="13" ht="42" customHeight="1">
      <c r="A13" s="5" t="inlineStr">
        <is>
          <t>MacroLink</t>
        </is>
      </c>
      <c r="B13" s="6" t="inlineStr">
        <is>
          <t>The artefacts that tie the trade to the macro framing: channel-to-instrument map, scenario strip, positioning table, and three charts. Three charts, three tables.</t>
        </is>
      </c>
    </row>
    <row r="15">
      <c r="A15" s="4" t="inlineStr">
        <is>
          <t>How to run it</t>
        </is>
      </c>
    </row>
    <row r="16">
      <c r="B16" s="7" t="inlineStr">
        <is>
          <t>1.  Open on the Bloomberg laptop and confirm the ribbon is present.</t>
        </is>
      </c>
    </row>
    <row r="17">
      <c r="B17" s="7" t="inlineStr">
        <is>
          <t>2.  Control tab — set the as-of date, or leave =TODAY() for a live book.</t>
        </is>
      </c>
    </row>
    <row r="18">
      <c r="B18" s="7" t="inlineStr">
        <is>
          <t>3.  Bloomberg &gt; Refresh &gt; Refresh Entire Workbook.</t>
        </is>
      </c>
    </row>
    <row r="19">
      <c r="B19" s="7" t="inlineStr">
        <is>
          <t>4.  Check the date alignment cell near the top of each tab reads 0 / OK before trusting a number.</t>
        </is>
      </c>
    </row>
    <row r="20">
      <c r="B20" s="7" t="inlineStr">
        <is>
          <t>5.  The charts redraw themselves — they point at the ranges the formulas spill into, not at pasted values.</t>
        </is>
      </c>
    </row>
    <row r="22">
      <c r="A22" s="8" t="inlineStr">
        <is>
          <t>This file is a build artefact. It is generated by data-puller/build_data_puller.py alongside the full Q2 book and shares every sheet builder with it, so the two cannot disagree. Never repair it by hand — fix the script and rebuild, or the fix is lost the next time anyone regenerates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showGridLines="0" workbookViewId="0">
      <pane ySplit="4" topLeftCell="A5" activePane="bottomLeft" state="frozen"/>
      <selection pane="bottomLeft" activeCell="A1" sqref="A1"/>
    </sheetView>
  </sheetViews>
  <sheetFormatPr baseColWidth="8" defaultRowHeight="15"/>
  <cols>
    <col width="26" customWidth="1" min="1" max="1"/>
    <col width="18" customWidth="1" min="2" max="2"/>
    <col width="78" customWidth="1" min="3" max="3"/>
  </cols>
  <sheetData>
    <row r="1">
      <c r="A1" s="1" t="inlineStr">
        <is>
          <t>Control panel</t>
        </is>
      </c>
    </row>
    <row r="2">
      <c r="A2" s="2" t="inlineStr">
        <is>
          <t>Every formula in this workbook points here. Change a date once and the whole book — and every chart — moves with it.</t>
        </is>
      </c>
    </row>
    <row r="3" ht="4" customHeight="1">
      <c r="A3" s="3" t="n"/>
      <c r="B3" s="3" t="n"/>
      <c r="C3" s="3" t="n"/>
      <c r="D3" s="3" t="n"/>
      <c r="E3" s="3" t="n"/>
      <c r="F3" s="3" t="n"/>
      <c r="G3" s="3" t="n"/>
      <c r="H3" s="3" t="n"/>
    </row>
    <row r="5" ht="18" customHeight="1">
      <c r="A5" s="9" t="inlineStr">
        <is>
          <t>Parameter</t>
        </is>
      </c>
      <c r="B5" s="9" t="inlineStr">
        <is>
          <t>Value</t>
        </is>
      </c>
      <c r="C5" s="9" t="inlineStr">
        <is>
          <t>What it drives</t>
        </is>
      </c>
    </row>
    <row r="6">
      <c r="A6" s="10" t="inlineStr">
        <is>
          <t>As-of date</t>
        </is>
      </c>
      <c r="B6" s="11">
        <f>TODAY()</f>
        <v/>
      </c>
      <c r="C6" s="12" t="inlineStr">
        <is>
          <t>End date for every BDH pull. Set to a fixed date to freeze the book for the presentation.</t>
        </is>
      </c>
    </row>
    <row r="7">
      <c r="A7" s="10" t="inlineStr">
        <is>
          <t>Long history start</t>
        </is>
      </c>
      <c r="B7" s="11">
        <f>DATE(YEAR(AsOf)-3,1,1)</f>
        <v/>
      </c>
      <c r="C7" s="12" t="inlineStr">
        <is>
          <t>Main window: ERP history, stock-bond correlation. Three years keeps the file light; see ROWS_DAILY in the build script before extending it.</t>
        </is>
      </c>
    </row>
    <row r="8">
      <c r="A8" s="10" t="inlineStr">
        <is>
          <t>War window start</t>
        </is>
      </c>
      <c r="B8" s="11">
        <f>DATE(2026,2,25)</f>
        <v/>
      </c>
      <c r="C8" s="12" t="inlineStr">
        <is>
          <t>Pre-Iran-war baseline for the 3.97% to 4.71% 10y chart.</t>
        </is>
      </c>
    </row>
    <row r="9">
      <c r="A9" s="10" t="inlineStr">
        <is>
          <t>Credit history start</t>
        </is>
      </c>
      <c r="B9" s="11">
        <f>DATE(1996,1,1)</f>
        <v/>
      </c>
      <c r="C9" s="12" t="inlineStr">
        <is>
          <t>Full HY OAS history, so the percentile is computed not quoted.</t>
        </is>
      </c>
    </row>
    <row r="10">
      <c r="A10" s="10" t="inlineStr">
        <is>
          <t>YTD start</t>
        </is>
      </c>
      <c r="B10" s="11">
        <f>DATE(YEAR(AsOf),1,1)</f>
        <v/>
      </c>
      <c r="C10" s="12" t="inlineStr">
        <is>
          <t>Year-to-date window for the breadth chart. Follows the as-of date automatically.</t>
        </is>
      </c>
    </row>
    <row r="11">
      <c r="A11" s="10" t="inlineStr">
        <is>
          <t>5y start (monthly)</t>
        </is>
      </c>
      <c r="B11" s="11">
        <f>DATE(YEAR(AsOf)-5,MONTH(AsOf),1)</f>
        <v/>
      </c>
      <c r="C11" s="12" t="inlineStr">
        <is>
          <t>Valuation bands and curve-slope ranges on the Asia tabs. Monthly, so five years is 60 points.</t>
        </is>
      </c>
    </row>
    <row r="12">
      <c r="A12" s="10" t="inlineStr">
        <is>
          <t>10y start (monthly)</t>
        </is>
      </c>
      <c r="B12" s="11">
        <f>DATE(YEAR(AsOf)-10,MONTH(AsOf),1)</f>
        <v/>
      </c>
      <c r="C12" s="12" t="inlineStr">
        <is>
          <t>ERP percentile history. Monthly, 120 points; raise ROWS_MONTHLY in the build script before extending.</t>
        </is>
      </c>
    </row>
    <row r="13">
      <c r="A13" s="10" t="inlineStr">
        <is>
          <t>Correlation window</t>
        </is>
      </c>
      <c r="B13" s="13" t="n">
        <v>60</v>
      </c>
      <c r="C13" s="12" t="inlineStr">
        <is>
          <t>Trading days in the rolling stock-bond correlation.</t>
        </is>
      </c>
    </row>
    <row r="14">
      <c r="A14" s="10" t="inlineStr">
        <is>
          <t>Vol window</t>
        </is>
      </c>
      <c r="B14" s="13" t="n">
        <v>30</v>
      </c>
      <c r="C14" s="12" t="inlineStr">
        <is>
          <t>Trading days for realised vol comparisons.</t>
        </is>
      </c>
    </row>
    <row r="17">
      <c r="A17" s="4" t="inlineStr">
        <is>
          <t>Common BDH option strings</t>
        </is>
      </c>
    </row>
    <row r="18" ht="18" customHeight="1">
      <c r="A18" s="9" t="inlineStr">
        <is>
          <t>Name</t>
        </is>
      </c>
      <c r="B18" s="9" t="inlineStr">
        <is>
          <t>String</t>
        </is>
      </c>
      <c r="C18" s="9" t="inlineStr">
        <is>
          <t>Effect</t>
        </is>
      </c>
    </row>
    <row r="19">
      <c r="A19" s="7" t="inlineStr">
        <is>
          <t>Daily, ascending, filled</t>
        </is>
      </c>
      <c r="B19" s="14" t="inlineStr">
        <is>
          <t>"Dir=V","Sort=A","Fill=P","Days=A"</t>
        </is>
      </c>
      <c r="C19" s="2" t="inlineStr">
        <is>
          <t>Vertical layout, oldest first, previous value carried over non-trading days.</t>
        </is>
      </c>
    </row>
    <row r="20">
      <c r="A20" s="7" t="inlineStr">
        <is>
          <t>Weekly</t>
        </is>
      </c>
      <c r="B20" s="14" t="inlineStr">
        <is>
          <t>"Dir=V","Sort=A","Per=W","Fill=P"</t>
        </is>
      </c>
      <c r="C20" s="2" t="inlineStr">
        <is>
          <t>Weekly periodicity — use for the long credit series if the daily pull is slow.</t>
        </is>
      </c>
    </row>
    <row r="21">
      <c r="A21" s="7" t="inlineStr">
        <is>
          <t>Monthly</t>
        </is>
      </c>
      <c r="B21" s="14" t="inlineStr">
        <is>
          <t>"Dir=V","Sort=A","Per=M"</t>
        </is>
      </c>
      <c r="C21" s="2" t="inlineStr">
        <is>
          <t>Monthly — CPI and other macro releases.</t>
        </is>
      </c>
    </row>
    <row r="24">
      <c r="A24" s="8" t="inlineStr">
        <is>
          <t>Before the presentation: set As-of date to a hard date (=DATE(2026,7,31) or the morning of), hit Bloomberg &gt; Refresh Worksheets, then check the verification list on the Notes tab.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2"/>
  <sheetViews>
    <sheetView showGridLines="0" workbookViewId="0">
      <pane ySplit="4" topLeftCell="A5" activePane="bottomLeft" state="frozen"/>
      <selection pane="bottomLeft" activeCell="A1" sqref="A1"/>
    </sheetView>
  </sheetViews>
  <sheetFormatPr baseColWidth="8" defaultRowHeight="15"/>
  <cols>
    <col width="5" customWidth="1" min="1" max="1"/>
    <col width="30" customWidth="1" min="2" max="2"/>
    <col width="16" customWidth="1" min="3" max="3"/>
    <col width="62" customWidth="1" min="4" max="4"/>
    <col width="62" customWidth="1" min="5" max="5"/>
  </cols>
  <sheetData>
    <row r="1">
      <c r="A1" s="1" t="inlineStr">
        <is>
          <t>The running order</t>
        </is>
      </c>
    </row>
    <row r="2">
      <c r="A2" s="2" t="inlineStr">
        <is>
          <t>Eight steps. Each one proves a single thing and hands to the next. If a step cannot be stated in one sentence it is not ready.</t>
        </is>
      </c>
    </row>
    <row r="3" ht="4" customHeight="1">
      <c r="A3" s="3" t="n"/>
      <c r="B3" s="3" t="n"/>
      <c r="C3" s="3" t="n"/>
      <c r="D3" s="3" t="n"/>
      <c r="E3" s="3" t="n"/>
      <c r="F3" s="3" t="n"/>
    </row>
    <row r="5">
      <c r="A5" s="4" t="inlineStr">
        <is>
          <t>The one-sentence version, before anything else</t>
        </is>
      </c>
    </row>
    <row r="6" ht="44" customHeight="1">
      <c r="B6" s="15" t="inlineStr">
        <is>
          <t>The market prices two more BoJ hikes, the Bank guides hawkish, and positioning is hawkish — so the one outcome nobody is paid for is the one the Bank's own terms-of-trade analysis points to, and that is what we are buying, with defined premium.</t>
        </is>
      </c>
    </row>
    <row r="9" ht="18" customHeight="1">
      <c r="A9" s="9" t="inlineStr">
        <is>
          <t>#</t>
        </is>
      </c>
      <c r="B9" s="9" t="inlineStr">
        <is>
          <t>Step</t>
        </is>
      </c>
      <c r="C9" s="9" t="inlineStr">
        <is>
          <t>Tab / chart</t>
        </is>
      </c>
      <c r="D9" s="9" t="inlineStr">
        <is>
          <t>What it proves</t>
        </is>
      </c>
      <c r="E9" s="9" t="inlineStr">
        <is>
          <t>The handoff into the next step</t>
        </is>
      </c>
    </row>
    <row r="10" ht="46" customHeight="1">
      <c r="A10" s="10" t="n">
        <v>1</v>
      </c>
      <c r="B10" s="10" t="inlineStr">
        <is>
          <t>Where the curve is, and the objection</t>
        </is>
      </c>
      <c r="C10" s="5" t="inlineStr">
        <is>
          <t>CurveSlope · range marker</t>
        </is>
      </c>
      <c r="D10" s="6" t="inlineStr">
        <is>
          <t>JGB 2s10s sits near the top of its five-year range. Put the objection up yourself before anyone raises it.</t>
        </is>
      </c>
      <c r="E10" s="16" t="inlineStr">
        <is>
          <t>"That is the level. Now look at how it got there."</t>
        </is>
      </c>
    </row>
    <row r="11" ht="46" customHeight="1">
      <c r="A11" s="10" t="n">
        <v>2</v>
      </c>
      <c r="B11" s="10" t="inlineStr">
        <is>
          <t>How it got there</t>
        </is>
      </c>
      <c r="C11" s="5" t="inlineStr">
        <is>
          <t>BullSteepener · decomposition</t>
        </is>
      </c>
      <c r="D11" s="6" t="inlineStr">
        <is>
          <t>Every window is bear steepening: both legs sold off and the long end sold off more. The 2-year has never rallied in this cycle.</t>
        </is>
      </c>
      <c r="E11" s="16" t="inlineStr">
        <is>
          <t>"So the steepening is entirely a long-end story. What about the front end?"</t>
        </is>
      </c>
    </row>
    <row r="12" ht="46" customHeight="1">
      <c r="A12" s="10" t="n">
        <v>3</v>
      </c>
      <c r="B12" s="10" t="inlineStr">
        <is>
          <t>What the front end holds</t>
        </is>
      </c>
      <c r="C12" s="5" t="inlineStr">
        <is>
          <t>BullSteepener · live indications</t>
        </is>
      </c>
      <c r="D12" s="6" t="inlineStr">
        <is>
          <t>The 2-year sits roughly 55bp above the policy rate — about two priced hikes. In 2010, at a comparable curve, it sat at the policy rate with nothing to give back.</t>
        </is>
      </c>
      <c r="E12" s="16" t="inlineStr">
        <is>
          <t>"That inventory is the asset. The question is what could release it."</t>
        </is>
      </c>
    </row>
    <row r="13" ht="46" customHeight="1">
      <c r="A13" s="10" t="n">
        <v>4</v>
      </c>
      <c r="B13" s="10" t="inlineStr">
        <is>
          <t>The one thing that could release it</t>
        </is>
      </c>
      <c r="C13" s="5" t="inlineStr">
        <is>
          <t>JPYEvidence · CPI, wages vs spending</t>
        </is>
      </c>
      <c r="D13" s="6" t="inlineStr">
        <is>
          <t>Core-core at 1.7%, the lowest since August 2022. Household spending down seven months. Income rising and not being spent.</t>
        </is>
      </c>
      <c r="E13" s="16" t="inlineStr">
        <is>
          <t>"The wage channel is working on paper and not in prices."</t>
        </is>
      </c>
    </row>
    <row r="14" ht="46" customHeight="1">
      <c r="A14" s="10" t="n">
        <v>5</v>
      </c>
      <c r="B14" s="10" t="inlineStr">
        <is>
          <t>Be honest about the other side</t>
        </is>
      </c>
      <c r="C14" s="5" t="inlineStr">
        <is>
          <t>Payoff · falsification calendar</t>
        </is>
      </c>
      <c r="D14" s="6" t="inlineStr">
        <is>
          <t>Ueda guides CPI clearly above 2% in H2, flags upside risk to underlying CPI, and says the Bank could go faster. Q2 GDP revised up. Two members want to accelerate.</t>
        </is>
      </c>
      <c r="E14" s="16" t="inlineStr">
        <is>
          <t>"So I am not forecasting a pause. Here is what I am actually doing."</t>
        </is>
      </c>
    </row>
    <row r="15" ht="46" customHeight="1">
      <c r="A15" s="10" t="n">
        <v>6</v>
      </c>
      <c r="B15" s="10" t="inlineStr">
        <is>
          <t>Reframe: asymmetry, not forecast</t>
        </is>
      </c>
      <c r="C15" s="5" t="inlineStr">
        <is>
          <t>MacroLink · positioning</t>
        </is>
      </c>
      <c r="D15" s="6" t="inlineStr">
        <is>
          <t>Consensus is JGB 10s30s flatteners and US steepeners. Nobody is in JPY 2s10s. Price, guidance and positioning all point one way, which is what makes the other side cheap.</t>
        </is>
      </c>
      <c r="E15" s="16" t="inlineStr">
        <is>
          <t>"Cheap relative to what? Here is the payoff."</t>
        </is>
      </c>
    </row>
    <row r="16" ht="46" customHeight="1">
      <c r="A16" s="10" t="n">
        <v>7</v>
      </c>
      <c r="B16" s="10" t="inlineStr">
        <is>
          <t>What it makes, and what it costs</t>
        </is>
      </c>
      <c r="C16" s="5" t="inlineStr">
        <is>
          <t>Payoff · payoff by state</t>
        </is>
      </c>
      <c r="D16" s="6" t="inlineStr">
        <is>
          <t>The conditional loses premium in four of five states and pays in the one that matters. The cash spread loses real money in two.</t>
        </is>
      </c>
      <c r="E16" s="16" t="inlineStr">
        <is>
          <t>"Which is why the instrument is not the obvious one."</t>
        </is>
      </c>
    </row>
    <row r="17" ht="46" customHeight="1">
      <c r="A17" s="10" t="n">
        <v>8</v>
      </c>
      <c r="B17" s="10" t="inlineStr">
        <is>
          <t>The instrument, and why the tests chose it</t>
        </is>
      </c>
      <c r="C17" s="5" t="inlineStr">
        <is>
          <t>BullSteepener · tests</t>
        </is>
      </c>
      <c r="D17" s="6" t="inlineStr">
        <is>
          <t>Mean reversion fails at +1.7SD, the long end has an issuance cut behind it, and guidance is against us. Three independent reasons not to own the cash spread and to buy defined premium instead.</t>
        </is>
      </c>
      <c r="E17" s="16" t="inlineStr">
        <is>
          <t>Close on the calendar: 18 Sep, 29 Oct, and the core-core print that ends it.</t>
        </is>
      </c>
    </row>
    <row r="20">
      <c r="A20" s="4" t="inlineStr">
        <is>
          <t>If you only get three minutes</t>
        </is>
      </c>
    </row>
    <row r="21">
      <c r="B21" s="4" t="inlineStr">
        <is>
          <t>1.</t>
        </is>
      </c>
      <c r="D21" s="17" t="inlineStr">
        <is>
          <t>Steps 1–3. The curve is steep, all of it came from the long end, and the 2-year has never rallied.</t>
        </is>
      </c>
    </row>
    <row r="22">
      <c r="B22" s="4" t="inlineStr">
        <is>
          <t>2.</t>
        </is>
      </c>
      <c r="D22" s="17" t="inlineStr">
        <is>
          <t>Step 5. Volunteer the hawkish guidance. It buys you every remaining minute of credibility.</t>
        </is>
      </c>
    </row>
    <row r="23">
      <c r="B23" s="4" t="inlineStr">
        <is>
          <t>3.</t>
        </is>
      </c>
      <c r="D23" s="17" t="inlineStr">
        <is>
          <t>Steps 6–8. Nobody is positioned for the alternative, so the alternative is cheap, so buy it with defined premium.</t>
        </is>
      </c>
    </row>
    <row r="25">
      <c r="A25" s="4" t="inlineStr">
        <is>
          <t>The four questions you will get, and the answers</t>
        </is>
      </c>
    </row>
    <row r="26" ht="62" customHeight="1">
      <c r="A26" s="18" t="n"/>
      <c r="B26" s="19" t="inlineStr">
        <is>
          <t>"You are pitching a steepener at the steepest curve since 2010."</t>
        </is>
      </c>
      <c r="C26" s="18" t="n"/>
      <c r="D26" s="6" t="inlineStr">
        <is>
          <t>Correct, and every basis point of it came from the long end. The 2-year has never rallied. In 2010 it sat at the policy rate with nothing to give back; today it holds about two hikes. I am buying the leg that has not moved.</t>
        </is>
      </c>
      <c r="E26" s="18" t="n"/>
    </row>
    <row r="27" ht="62" customHeight="1">
      <c r="A27" s="18" t="n"/>
      <c r="B27" s="19" t="inlineStr">
        <is>
          <t>"The BoJ has told you it is hiking. You are fighting the central bank."</t>
        </is>
      </c>
      <c r="C27" s="18" t="n"/>
      <c r="D27" s="6" t="inlineStr">
        <is>
          <t>Yes, and that is why the position is defined-premium rather than a cash spread. I am not forecasting a pause — I am buying an outcome that price, guidance and positioning have all agreed is not going to happen. That agreement is what makes it cheap.</t>
        </is>
      </c>
      <c r="E27" s="18" t="n"/>
    </row>
    <row r="28" ht="62" customHeight="1">
      <c r="A28" s="18" t="n"/>
      <c r="B28" s="19" t="inlineStr">
        <is>
          <t>"Your own statistics say do not do this."</t>
        </is>
      </c>
      <c r="C28" s="18" t="n"/>
      <c r="D28" s="6" t="inlineStr">
        <is>
          <t>They say do not own the cash spread, and I do not. The z-score is +1.7, the Dickey-Fuller test cannot reject a unit root, and the variance ratio says trending. Three tests, one conclusion, and it changed the instrument rather than the view. Five years of history also contains no example of a BoJ that pauses, which is why I am not leaning on a backtest.</t>
        </is>
      </c>
      <c r="E28" s="18" t="n"/>
    </row>
    <row r="29" ht="62" customHeight="1">
      <c r="A29" s="18" t="n"/>
      <c r="B29" s="19" t="inlineStr">
        <is>
          <t>"What ends the trade?"</t>
        </is>
      </c>
      <c r="C29" s="18" t="n"/>
      <c r="D29" s="6" t="inlineStr">
        <is>
          <t>Two consecutive core-core prints above 2.2% and rising, an upward revision to the FY27 CPI forecast on 29 October, or USD/JPY through 165 and holding. All three are dated and none of them requires my judgement.</t>
        </is>
      </c>
      <c r="E29" s="18" t="n"/>
    </row>
    <row r="32">
      <c r="A32" s="8" t="inlineStr">
        <is>
          <t>One discipline worth keeping. This tab was rewritten once already, when the July guidance came in and made the earlier framing — that the Bank's own forecasts did not support the priced hikes — no longer true. The trade survived because the argument changed shape rather than being defended. If the next print does the same thing, rewrite it again rather than adding a caveat.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4" topLeftCell="A5" activePane="bottomLeft" state="frozen"/>
      <selection pane="bottomLeft" activeCell="A1" sqref="A1"/>
    </sheetView>
  </sheetViews>
  <sheetFormatPr baseColWidth="8" defaultRowHeight="15"/>
  <cols>
    <col width="16" customWidth="1" min="1" max="1"/>
    <col width="18" customWidth="1" min="2" max="2"/>
    <col width="13" customWidth="1" min="3" max="3"/>
    <col width="22" customWidth="1" min="4" max="4"/>
    <col width="16" customWidth="1" min="5" max="5"/>
    <col width="15" customWidth="1" min="6" max="6"/>
  </cols>
  <sheetData>
    <row r="1">
      <c r="A1" s="1" t="inlineStr">
        <is>
          <t>10-year real yields — nominal less core CPI</t>
        </is>
      </c>
    </row>
    <row r="2">
      <c r="A2" s="2" t="inlineStr">
        <is>
          <t>Slide 2, exhibit 1. The cleanest single measure of whether a bond market pays you to own it. Ex-post real, not breakeven-implied — Asia has no liquid linker market to imply it from.</t>
        </is>
      </c>
    </row>
    <row r="3" ht="4" customHeight="1">
      <c r="A3" s="3" t="n"/>
      <c r="B3" s="3" t="n"/>
      <c r="C3" s="3" t="n"/>
      <c r="D3" s="3" t="n"/>
      <c r="E3" s="3" t="n"/>
      <c r="F3" s="3" t="n"/>
      <c r="G3" s="3" t="n"/>
      <c r="H3" s="3" t="n"/>
      <c r="I3" s="3" t="n"/>
    </row>
    <row r="5" ht="18" customHeight="1">
      <c r="A5" s="9" t="inlineStr">
        <is>
          <t>Market</t>
        </is>
      </c>
      <c r="B5" s="9" t="inlineStr">
        <is>
          <t>10y ticker</t>
        </is>
      </c>
      <c r="C5" s="9" t="inlineStr">
        <is>
          <t>Nominal, %</t>
        </is>
      </c>
      <c r="D5" s="9" t="inlineStr">
        <is>
          <t>Core CPI ticker</t>
        </is>
      </c>
      <c r="E5" s="9" t="inlineStr">
        <is>
          <t>Core CPI y/y, %</t>
        </is>
      </c>
      <c r="F5" s="9" t="inlineStr">
        <is>
          <t>Real yield, %</t>
        </is>
      </c>
    </row>
    <row r="6">
      <c r="A6" s="10" t="inlineStr">
        <is>
          <t>China (CGB)</t>
        </is>
      </c>
      <c r="B6" s="5" t="inlineStr">
        <is>
          <t>GTCNY10Y Govt</t>
        </is>
      </c>
      <c r="C6" s="20">
        <f>BDP($B6,"PX_LAST")</f>
        <v/>
      </c>
      <c r="D6" s="5" t="inlineStr">
        <is>
          <t>CNCPICYY Index</t>
        </is>
      </c>
      <c r="E6" s="20">
        <f>BDP($D6,"PX_LAST")</f>
        <v/>
      </c>
      <c r="F6" s="21">
        <f>IFERROR(C6-E6,"")</f>
        <v/>
      </c>
    </row>
    <row r="7">
      <c r="A7" s="10" t="inlineStr">
        <is>
          <t>Hong Kong (HKGB)</t>
        </is>
      </c>
      <c r="B7" s="5" t="inlineStr">
        <is>
          <t>GTHKD10Y Govt</t>
        </is>
      </c>
      <c r="C7" s="20">
        <f>BDP($B7,"PX_LAST")</f>
        <v/>
      </c>
      <c r="D7" s="5" t="inlineStr">
        <is>
          <t>HKCPIY Index</t>
        </is>
      </c>
      <c r="E7" s="20">
        <f>BDP($D7,"PX_LAST")</f>
        <v/>
      </c>
      <c r="F7" s="21">
        <f>IFERROR(C7-E7,"")</f>
        <v/>
      </c>
    </row>
    <row r="8">
      <c r="A8" s="10" t="inlineStr">
        <is>
          <t>Korea (KTB)</t>
        </is>
      </c>
      <c r="B8" s="5" t="inlineStr">
        <is>
          <t>GTKRW10Y Govt</t>
        </is>
      </c>
      <c r="C8" s="20">
        <f>BDP($B8,"PX_LAST")</f>
        <v/>
      </c>
      <c r="D8" s="5" t="inlineStr">
        <is>
          <t>KOCPIXFY Index</t>
        </is>
      </c>
      <c r="E8" s="20">
        <f>BDP($D8,"PX_LAST")</f>
        <v/>
      </c>
      <c r="F8" s="21">
        <f>IFERROR(C8-E8,"")</f>
        <v/>
      </c>
    </row>
    <row r="9">
      <c r="A9" s="10" t="inlineStr">
        <is>
          <t>Japan (JGB)</t>
        </is>
      </c>
      <c r="B9" s="5" t="inlineStr">
        <is>
          <t>GTJPY10Y Govt</t>
        </is>
      </c>
      <c r="C9" s="20">
        <f>BDP($B9,"PX_LAST")</f>
        <v/>
      </c>
      <c r="D9" s="5" t="inlineStr">
        <is>
          <t>JCPNEFEY Index</t>
        </is>
      </c>
      <c r="E9" s="20">
        <f>BDP($D9,"PX_LAST")</f>
        <v/>
      </c>
      <c r="F9" s="21">
        <f>IFERROR(C9-E9,"")</f>
        <v/>
      </c>
    </row>
    <row r="10">
      <c r="A10" s="10" t="inlineStr">
        <is>
          <t>Taiwan (TWGB)</t>
        </is>
      </c>
      <c r="B10" s="5" t="inlineStr">
        <is>
          <t>GTTWD10Y Govt</t>
        </is>
      </c>
      <c r="C10" s="20">
        <f>BDP($B10,"PX_LAST")</f>
        <v/>
      </c>
      <c r="D10" s="5" t="inlineStr">
        <is>
          <t>TWCPCYOY Index</t>
        </is>
      </c>
      <c r="E10" s="20">
        <f>BDP($D10,"PX_LAST")</f>
        <v/>
      </c>
      <c r="F10" s="21">
        <f>IFERROR(C10-E10,"")</f>
        <v/>
      </c>
    </row>
    <row r="13">
      <c r="A13" s="8" t="inlineStr">
        <is>
          <t>Core rather than headline, deliberately. Headline across this region is currently an energy number — the memo's whole Channel 2 argument — so a headline-deflated real yield would be measuring the oil price rather than the bond market. Say this if asked; it is the obvious challenge to the exhibit.</t>
        </is>
      </c>
    </row>
    <row r="17">
      <c r="A17" s="8" t="inlineStr">
        <is>
          <t>Every ticker on this tab is unconfirmed. The GT convention was given for Japan only; CNY, HKD, KRW and TWD follow the same pattern. The five core CPI identifiers were declined outright by the help desk. Hong Kong is the least safe of them — the composite CPI and the underlying (core) CPI are separate series there, and it is the underlying one this needs.</t>
        </is>
      </c>
    </row>
    <row r="21">
      <c r="A21" s="8" t="inlineStr">
        <is>
          <t>One frequency mismatch worth stating on the slide: the yields are live and the CPI prints are monthly and lagged. The real yield is therefore as of the last CPI print, not as of this morning. That is the standard construction, but volunteer it rather than being asked.</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Z160"/>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15" customWidth="1" min="3" max="3"/>
    <col width="20" customWidth="1" min="4" max="4"/>
    <col width="16" customWidth="1" min="5" max="5"/>
    <col width="12" customWidth="1" min="6" max="6"/>
  </cols>
  <sheetData>
    <row r="1">
      <c r="A1" s="1" t="inlineStr">
        <is>
          <t>The BoJ path against what actually drives it</t>
        </is>
      </c>
    </row>
    <row r="2">
      <c r="A2" s="2" t="inlineStr">
        <is>
          <t>Slide 2, exhibit 2. OIS tells you what is priced; core-core CPI and the Shunto settlement tell you what the BoJ is looking at. The exhibit is the gap between them.</t>
        </is>
      </c>
    </row>
    <row r="3" ht="4" customHeight="1">
      <c r="A3" s="3" t="n"/>
      <c r="B3" s="3" t="n"/>
      <c r="C3" s="3" t="n"/>
      <c r="D3" s="3" t="n"/>
      <c r="E3" s="3" t="n"/>
      <c r="F3" s="3" t="n"/>
      <c r="G3" s="3" t="n"/>
      <c r="H3" s="3" t="n"/>
    </row>
    <row r="5" ht="18" customHeight="1">
      <c r="A5" s="9" t="inlineStr">
        <is>
          <t>Measure</t>
        </is>
      </c>
      <c r="B5" s="9" t="inlineStr">
        <is>
          <t>Ticker</t>
        </is>
      </c>
      <c r="C5" s="9" t="inlineStr">
        <is>
          <t>Value, %</t>
        </is>
      </c>
      <c r="D5" s="9" t="inlineStr">
        <is>
          <t>Note</t>
        </is>
      </c>
    </row>
    <row r="6">
      <c r="A6" s="22" t="inlineStr">
        <is>
          <t>BoJ policy rate</t>
        </is>
      </c>
      <c r="B6" s="5" t="inlineStr">
        <is>
          <t>BOJDTR Index</t>
        </is>
      </c>
      <c r="C6" s="23">
        <f>BDP($B6,"PX_LAST")</f>
        <v/>
      </c>
      <c r="D6" s="12" t="inlineStr">
        <is>
          <t>1.00% at the June meeting, highest since Sep-1995.</t>
        </is>
      </c>
    </row>
    <row r="7">
      <c r="A7" s="22" t="inlineStr">
        <is>
          <t>JPY OIS, 1y</t>
        </is>
      </c>
      <c r="B7" s="5" t="inlineStr">
        <is>
          <t>JYSO1 Curncy</t>
        </is>
      </c>
      <c r="C7" s="23">
        <f>BDP($B7,"PX_LAST")</f>
        <v/>
      </c>
      <c r="D7" s="12" t="inlineStr">
        <is>
          <t>What is priced over the next year.</t>
        </is>
      </c>
    </row>
    <row r="8">
      <c r="A8" s="22" t="inlineStr">
        <is>
          <t>JPY OIS, 2y</t>
        </is>
      </c>
      <c r="B8" s="5" t="inlineStr">
        <is>
          <t>JYSO2 Curncy</t>
        </is>
      </c>
      <c r="C8" s="23">
        <f>BDP($B8,"PX_LAST")</f>
        <v/>
      </c>
      <c r="D8" s="12" t="inlineStr">
        <is>
          <t>Two-year point.</t>
        </is>
      </c>
    </row>
    <row r="9">
      <c r="A9" s="22" t="inlineStr">
        <is>
          <t>Implied 1y1y forward</t>
        </is>
      </c>
      <c r="B9" s="18" t="n"/>
      <c r="C9" s="23">
        <f>IFERROR(2*C8-C7,"")</f>
        <v/>
      </c>
      <c r="D9" s="12" t="inlineStr">
        <is>
          <t>Linear approximation, 2 x 2y less 1y. Good enough at these tenors and it shows its own working; use FWCM &lt;GO&gt; if you want the exact forward.</t>
        </is>
      </c>
    </row>
    <row r="10">
      <c r="A10" s="22" t="inlineStr">
        <is>
          <t>Priced hikes to 1y, count</t>
        </is>
      </c>
      <c r="B10" s="18" t="n"/>
      <c r="C10" s="23">
        <f>IFERROR((C7-C6)/0.25,"")</f>
        <v/>
      </c>
      <c r="D10" s="12" t="inlineStr">
        <is>
          <t>25bp increments. This is the number to say out loud.</t>
        </is>
      </c>
    </row>
    <row r="11">
      <c r="A11" s="22" t="inlineStr">
        <is>
          <t>Japan core-core CPI y/y</t>
        </is>
      </c>
      <c r="B11" s="5" t="inlineStr">
        <is>
          <t>JCPNEFEY Index</t>
        </is>
      </c>
      <c r="C11" s="23">
        <f>BDP($B10,"PX_LAST")</f>
        <v/>
      </c>
      <c r="D11" s="12" t="inlineStr">
        <is>
          <t>Ex fresh food AND energy — the series the BoJ targets in practice.</t>
        </is>
      </c>
    </row>
    <row r="12">
      <c r="A12" s="22" t="inlineStr">
        <is>
          <t>Japan core CPI y/y</t>
        </is>
      </c>
      <c r="B12" s="5" t="inlineStr">
        <is>
          <t>JNCPIXFY Index</t>
        </is>
      </c>
      <c r="C12" s="23">
        <f>BDP($B11,"PX_LAST")</f>
        <v/>
      </c>
      <c r="D12" s="12" t="inlineStr">
        <is>
          <t>Ex fresh food only. Carried for contrast, not for the chart.</t>
        </is>
      </c>
    </row>
    <row r="14">
      <c r="A14" s="4" t="inlineStr">
        <is>
          <t>Shunto — the one input on this tab that may not pull</t>
        </is>
      </c>
    </row>
    <row r="15" ht="18" customHeight="1">
      <c r="A15" s="9" t="inlineStr">
        <is>
          <t>Year</t>
        </is>
      </c>
      <c r="B15" s="9" t="inlineStr">
        <is>
          <t>Candidate ticker</t>
        </is>
      </c>
      <c r="C15" s="9" t="inlineStr">
        <is>
          <t>Pulled</t>
        </is>
      </c>
      <c r="D15" s="9" t="inlineStr">
        <is>
          <t>Manual entry</t>
        </is>
      </c>
      <c r="E15" s="9" t="inlineStr">
        <is>
          <t>Used</t>
        </is>
      </c>
      <c r="F15" s="8" t="inlineStr">
        <is>
          <t>Rengo publishes the annual settlement each spring. If the ticker resolves, the Used column takes it; if not, type the published figure into Manual entry and the chart still draws. This is the only place in the workbook where a typed number is permitted, and it is permitted because the alternative is a missing series rather than a wrong one — the Used column shows which source it took.</t>
        </is>
      </c>
    </row>
    <row r="16">
      <c r="A16" s="22">
        <f>YEAR(AsOf)-5</f>
        <v/>
      </c>
      <c r="B16" s="5" t="inlineStr">
        <is>
          <t>JNSHUNTO Index</t>
        </is>
      </c>
      <c r="C16" s="24">
        <f>IFERROR(BDH($B16,"PX_LAST",DATE(A16,4,1),DATE(A16,7,31),"Dir=H","Sort=D","cols=1;rows=1"),"")</f>
        <v/>
      </c>
      <c r="D16" s="25" t="n"/>
      <c r="E16" s="23">
        <f>IF(C16&lt;&gt;"",C16,D16)</f>
        <v/>
      </c>
    </row>
    <row r="17">
      <c r="A17" s="22">
        <f>YEAR(AsOf)-4</f>
        <v/>
      </c>
      <c r="B17" s="5" t="inlineStr">
        <is>
          <t>JNSHUNTO Index</t>
        </is>
      </c>
      <c r="C17" s="24">
        <f>IFERROR(BDH($B17,"PX_LAST",DATE(A17,4,1),DATE(A17,7,31),"Dir=H","Sort=D","cols=1;rows=1"),"")</f>
        <v/>
      </c>
      <c r="D17" s="25" t="n"/>
      <c r="E17" s="23">
        <f>IF(C17&lt;&gt;"",C17,D17)</f>
        <v/>
      </c>
    </row>
    <row r="18">
      <c r="A18" s="22">
        <f>YEAR(AsOf)-3</f>
        <v/>
      </c>
      <c r="B18" s="5" t="inlineStr">
        <is>
          <t>JNSHUNTO Index</t>
        </is>
      </c>
      <c r="C18" s="24">
        <f>IFERROR(BDH($B18,"PX_LAST",DATE(A18,4,1),DATE(A18,7,31),"Dir=H","Sort=D","cols=1;rows=1"),"")</f>
        <v/>
      </c>
      <c r="D18" s="25" t="n"/>
      <c r="E18" s="23">
        <f>IF(C18&lt;&gt;"",C18,D18)</f>
        <v/>
      </c>
    </row>
    <row r="19">
      <c r="A19" s="22">
        <f>YEAR(AsOf)-2</f>
        <v/>
      </c>
      <c r="B19" s="5" t="inlineStr">
        <is>
          <t>JNSHUNTO Index</t>
        </is>
      </c>
      <c r="C19" s="24">
        <f>IFERROR(BDH($B19,"PX_LAST",DATE(A19,4,1),DATE(A19,7,31),"Dir=H","Sort=D","cols=1;rows=1"),"")</f>
        <v/>
      </c>
      <c r="D19" s="25" t="n"/>
      <c r="E19" s="23">
        <f>IF(C19&lt;&gt;"",C19,D19)</f>
        <v/>
      </c>
    </row>
    <row r="20">
      <c r="A20" s="22">
        <f>YEAR(AsOf)-1</f>
        <v/>
      </c>
      <c r="B20" s="5" t="inlineStr">
        <is>
          <t>JNSHUNTO Index</t>
        </is>
      </c>
      <c r="C20" s="24">
        <f>IFERROR(BDH($B20,"PX_LAST",DATE(A20,4,1),DATE(A20,7,31),"Dir=H","Sort=D","cols=1;rows=1"),"")</f>
        <v/>
      </c>
      <c r="D20" s="25" t="n"/>
      <c r="E20" s="23">
        <f>IF(C20&lt;&gt;"",C20,D20)</f>
        <v/>
      </c>
    </row>
    <row r="21">
      <c r="A21" s="22">
        <f>YEAR(AsOf)-0</f>
        <v/>
      </c>
      <c r="B21" s="5" t="inlineStr">
        <is>
          <t>JNSHUNTO Index</t>
        </is>
      </c>
      <c r="C21" s="24">
        <f>IFERROR(BDH($B21,"PX_LAST",DATE(A21,4,1),DATE(A21,7,31),"Dir=H","Sort=D","cols=1;rows=1"),"")</f>
        <v/>
      </c>
      <c r="D21" s="25" t="n"/>
      <c r="E21" s="23">
        <f>IF(C21&lt;&gt;"",C21,D21)</f>
        <v/>
      </c>
    </row>
    <row r="24">
      <c r="A24" s="4" t="inlineStr">
        <is>
          <t>Monthly history — what is priced against what is printing</t>
        </is>
      </c>
      <c r="R24" s="8" t="inlineStr">
        <is>
          <t>Staging — one BQL call per security. Each spills DATE and value; the working columns on the left look them up by date. Blocks: R = JPY OIS 1y · V = JPY OIS 2y · Z = Japan core-core CPI.  If a block comes back with an extra ID column, shift that block's value column by one — nothing else needs to change.</t>
        </is>
      </c>
    </row>
    <row r="25">
      <c r="A25" s="8" t="inlineStr">
        <is>
          <t>All three series are in per cent, so they share one axis. A secondary axis here would be a way of making two unrelated scales look like they move together, which is exactly the thing to avoid on this chart.</t>
        </is>
      </c>
    </row>
    <row r="26">
      <c r="A26" s="4" t="inlineStr">
        <is>
          <t>Date alignment check</t>
        </is>
      </c>
      <c r="C26" s="4">
        <f>IFERROR(SUMPRODUCT(--($R$28:$R$158&lt;&gt;"")*($V$28:$V$158&lt;&gt;"")*($R$28:$R$158&lt;&gt;$V$28:$V$158))+SUMPRODUCT(--($R$28:$R$158&lt;&gt;"")*($Z$28:$Z$158&lt;&gt;"")*($R$28:$R$158&lt;&gt;$Z$28:$Z$158)),"")</f>
        <v/>
      </c>
      <c r="D26" s="2">
        <f>IF(C26="","",IF(C26=0,"OK — blocks are row-aligned","MISALIGNED: "&amp;C26&amp;" rows differ. Do not use these numbers; switch the value columns to INDEX/MATCH on the date."))</f>
        <v/>
      </c>
      <c r="R26" s="7">
        <f>BQL("JYSO1 Curncy","px_last(frq=M, dates=range("&amp;TEXT(Start5Y,"yyyy-mm-dd")&amp;","&amp;TEXT(AsOf,"yyyy-mm-dd")&amp;"), fill=prev)")</f>
        <v/>
      </c>
      <c r="V26" s="7">
        <f>BQL("JYSO2 Curncy","px_last(frq=M, dates=range("&amp;TEXT(Start5Y,"yyyy-mm-dd")&amp;","&amp;TEXT(AsOf,"yyyy-mm-dd")&amp;"), fill=prev)")</f>
        <v/>
      </c>
      <c r="Z26" s="7">
        <f>BQL("JCPNEFEY Index","px_last(frq=M, dates=range("&amp;TEXT(Start5Y,"yyyy-mm-dd")&amp;","&amp;TEXT(AsOf,"yyyy-mm-dd")&amp;"), fill=prev)")</f>
        <v/>
      </c>
    </row>
    <row r="27" ht="18" customHeight="1">
      <c r="A27" s="9" t="inlineStr">
        <is>
          <t>Date</t>
        </is>
      </c>
      <c r="B27" s="9" t="inlineStr">
        <is>
          <t>JPY OIS 1y, %</t>
        </is>
      </c>
      <c r="C27" s="9" t="inlineStr">
        <is>
          <t>JPY OIS 2y, %</t>
        </is>
      </c>
      <c r="D27" s="9" t="inlineStr">
        <is>
          <t>Core-core CPI y/y, %</t>
        </is>
      </c>
      <c r="E27" s="9" t="inlineStr">
        <is>
          <t>1y1y forward, %</t>
        </is>
      </c>
      <c r="F27" s="9" t="inlineStr">
        <is>
          <t>Shunto, %</t>
        </is>
      </c>
    </row>
    <row r="28">
      <c r="A28" s="26">
        <f>IFERROR(INDEX($R$28:$R$158,ROW()-27),"")</f>
        <v/>
      </c>
      <c r="B28">
        <f>IFERROR(INDEX($S$28:$S$158,ROW()-27),"")</f>
        <v/>
      </c>
      <c r="C28">
        <f>IFERROR(INDEX($W$28:$W$158,ROW()-27),"")</f>
        <v/>
      </c>
      <c r="D28">
        <f>IFERROR(INDEX($AA$28:$AA$158,ROW()-27),"")</f>
        <v/>
      </c>
      <c r="E28" s="27">
        <f>IFERROR(2*C28-B28,"")</f>
        <v/>
      </c>
      <c r="F28" s="27">
        <f>IFERROR(INDEX($E$16:$E$21,MATCH(YEAR(A28),$A$16:$A$21,0)),"")</f>
        <v/>
      </c>
    </row>
    <row r="29">
      <c r="A29" s="26">
        <f>IFERROR(INDEX($R$28:$R$158,ROW()-27),"")</f>
        <v/>
      </c>
      <c r="B29">
        <f>IFERROR(INDEX($S$28:$S$158,ROW()-27),"")</f>
        <v/>
      </c>
      <c r="C29">
        <f>IFERROR(INDEX($W$28:$W$158,ROW()-27),"")</f>
        <v/>
      </c>
      <c r="D29">
        <f>IFERROR(INDEX($AA$28:$AA$158,ROW()-27),"")</f>
        <v/>
      </c>
      <c r="E29" s="27">
        <f>IFERROR(2*C29-B29,"")</f>
        <v/>
      </c>
      <c r="F29" s="27">
        <f>IFERROR(INDEX($E$16:$E$21,MATCH(YEAR(A29),$A$16:$A$21,0)),"")</f>
        <v/>
      </c>
    </row>
    <row r="30">
      <c r="A30" s="26">
        <f>IFERROR(INDEX($R$28:$R$158,ROW()-27),"")</f>
        <v/>
      </c>
      <c r="B30">
        <f>IFERROR(INDEX($S$28:$S$158,ROW()-27),"")</f>
        <v/>
      </c>
      <c r="C30">
        <f>IFERROR(INDEX($W$28:$W$158,ROW()-27),"")</f>
        <v/>
      </c>
      <c r="D30">
        <f>IFERROR(INDEX($AA$28:$AA$158,ROW()-27),"")</f>
        <v/>
      </c>
      <c r="E30" s="27">
        <f>IFERROR(2*C30-B30,"")</f>
        <v/>
      </c>
      <c r="F30" s="27">
        <f>IFERROR(INDEX($E$16:$E$21,MATCH(YEAR(A30),$A$16:$A$21,0)),"")</f>
        <v/>
      </c>
    </row>
    <row r="31">
      <c r="A31" s="26">
        <f>IFERROR(INDEX($R$28:$R$158,ROW()-27),"")</f>
        <v/>
      </c>
      <c r="B31">
        <f>IFERROR(INDEX($S$28:$S$158,ROW()-27),"")</f>
        <v/>
      </c>
      <c r="C31">
        <f>IFERROR(INDEX($W$28:$W$158,ROW()-27),"")</f>
        <v/>
      </c>
      <c r="D31">
        <f>IFERROR(INDEX($AA$28:$AA$158,ROW()-27),"")</f>
        <v/>
      </c>
      <c r="E31" s="27">
        <f>IFERROR(2*C31-B31,"")</f>
        <v/>
      </c>
      <c r="F31" s="27">
        <f>IFERROR(INDEX($E$16:$E$21,MATCH(YEAR(A31),$A$16:$A$21,0)),"")</f>
        <v/>
      </c>
    </row>
    <row r="32">
      <c r="A32" s="26">
        <f>IFERROR(INDEX($R$28:$R$158,ROW()-27),"")</f>
        <v/>
      </c>
      <c r="B32">
        <f>IFERROR(INDEX($S$28:$S$158,ROW()-27),"")</f>
        <v/>
      </c>
      <c r="C32">
        <f>IFERROR(INDEX($W$28:$W$158,ROW()-27),"")</f>
        <v/>
      </c>
      <c r="D32">
        <f>IFERROR(INDEX($AA$28:$AA$158,ROW()-27),"")</f>
        <v/>
      </c>
      <c r="E32" s="27">
        <f>IFERROR(2*C32-B32,"")</f>
        <v/>
      </c>
      <c r="F32" s="27">
        <f>IFERROR(INDEX($E$16:$E$21,MATCH(YEAR(A32),$A$16:$A$21,0)),"")</f>
        <v/>
      </c>
    </row>
    <row r="33">
      <c r="A33" s="26">
        <f>IFERROR(INDEX($R$28:$R$158,ROW()-27),"")</f>
        <v/>
      </c>
      <c r="B33">
        <f>IFERROR(INDEX($S$28:$S$158,ROW()-27),"")</f>
        <v/>
      </c>
      <c r="C33">
        <f>IFERROR(INDEX($W$28:$W$158,ROW()-27),"")</f>
        <v/>
      </c>
      <c r="D33">
        <f>IFERROR(INDEX($AA$28:$AA$158,ROW()-27),"")</f>
        <v/>
      </c>
      <c r="E33" s="27">
        <f>IFERROR(2*C33-B33,"")</f>
        <v/>
      </c>
      <c r="F33" s="27">
        <f>IFERROR(INDEX($E$16:$E$21,MATCH(YEAR(A33),$A$16:$A$21,0)),"")</f>
        <v/>
      </c>
    </row>
    <row r="34">
      <c r="A34" s="26">
        <f>IFERROR(INDEX($R$28:$R$158,ROW()-27),"")</f>
        <v/>
      </c>
      <c r="B34">
        <f>IFERROR(INDEX($S$28:$S$158,ROW()-27),"")</f>
        <v/>
      </c>
      <c r="C34">
        <f>IFERROR(INDEX($W$28:$W$158,ROW()-27),"")</f>
        <v/>
      </c>
      <c r="D34">
        <f>IFERROR(INDEX($AA$28:$AA$158,ROW()-27),"")</f>
        <v/>
      </c>
      <c r="E34" s="27">
        <f>IFERROR(2*C34-B34,"")</f>
        <v/>
      </c>
      <c r="F34" s="27">
        <f>IFERROR(INDEX($E$16:$E$21,MATCH(YEAR(A34),$A$16:$A$21,0)),"")</f>
        <v/>
      </c>
    </row>
    <row r="35">
      <c r="A35" s="26">
        <f>IFERROR(INDEX($R$28:$R$158,ROW()-27),"")</f>
        <v/>
      </c>
      <c r="B35">
        <f>IFERROR(INDEX($S$28:$S$158,ROW()-27),"")</f>
        <v/>
      </c>
      <c r="C35">
        <f>IFERROR(INDEX($W$28:$W$158,ROW()-27),"")</f>
        <v/>
      </c>
      <c r="D35">
        <f>IFERROR(INDEX($AA$28:$AA$158,ROW()-27),"")</f>
        <v/>
      </c>
      <c r="E35" s="27">
        <f>IFERROR(2*C35-B35,"")</f>
        <v/>
      </c>
      <c r="F35" s="27">
        <f>IFERROR(INDEX($E$16:$E$21,MATCH(YEAR(A35),$A$16:$A$21,0)),"")</f>
        <v/>
      </c>
    </row>
    <row r="36">
      <c r="A36" s="26">
        <f>IFERROR(INDEX($R$28:$R$158,ROW()-27),"")</f>
        <v/>
      </c>
      <c r="B36">
        <f>IFERROR(INDEX($S$28:$S$158,ROW()-27),"")</f>
        <v/>
      </c>
      <c r="C36">
        <f>IFERROR(INDEX($W$28:$W$158,ROW()-27),"")</f>
        <v/>
      </c>
      <c r="D36">
        <f>IFERROR(INDEX($AA$28:$AA$158,ROW()-27),"")</f>
        <v/>
      </c>
      <c r="E36" s="27">
        <f>IFERROR(2*C36-B36,"")</f>
        <v/>
      </c>
      <c r="F36" s="27">
        <f>IFERROR(INDEX($E$16:$E$21,MATCH(YEAR(A36),$A$16:$A$21,0)),"")</f>
        <v/>
      </c>
    </row>
    <row r="37">
      <c r="A37" s="26">
        <f>IFERROR(INDEX($R$28:$R$158,ROW()-27),"")</f>
        <v/>
      </c>
      <c r="B37">
        <f>IFERROR(INDEX($S$28:$S$158,ROW()-27),"")</f>
        <v/>
      </c>
      <c r="C37">
        <f>IFERROR(INDEX($W$28:$W$158,ROW()-27),"")</f>
        <v/>
      </c>
      <c r="D37">
        <f>IFERROR(INDEX($AA$28:$AA$158,ROW()-27),"")</f>
        <v/>
      </c>
      <c r="E37" s="27">
        <f>IFERROR(2*C37-B37,"")</f>
        <v/>
      </c>
      <c r="F37" s="27">
        <f>IFERROR(INDEX($E$16:$E$21,MATCH(YEAR(A37),$A$16:$A$21,0)),"")</f>
        <v/>
      </c>
    </row>
    <row r="38">
      <c r="A38" s="26">
        <f>IFERROR(INDEX($R$28:$R$158,ROW()-27),"")</f>
        <v/>
      </c>
      <c r="B38">
        <f>IFERROR(INDEX($S$28:$S$158,ROW()-27),"")</f>
        <v/>
      </c>
      <c r="C38">
        <f>IFERROR(INDEX($W$28:$W$158,ROW()-27),"")</f>
        <v/>
      </c>
      <c r="D38">
        <f>IFERROR(INDEX($AA$28:$AA$158,ROW()-27),"")</f>
        <v/>
      </c>
      <c r="E38" s="27">
        <f>IFERROR(2*C38-B38,"")</f>
        <v/>
      </c>
      <c r="F38" s="27">
        <f>IFERROR(INDEX($E$16:$E$21,MATCH(YEAR(A38),$A$16:$A$21,0)),"")</f>
        <v/>
      </c>
    </row>
    <row r="39">
      <c r="A39" s="26">
        <f>IFERROR(INDEX($R$28:$R$158,ROW()-27),"")</f>
        <v/>
      </c>
      <c r="B39">
        <f>IFERROR(INDEX($S$28:$S$158,ROW()-27),"")</f>
        <v/>
      </c>
      <c r="C39">
        <f>IFERROR(INDEX($W$28:$W$158,ROW()-27),"")</f>
        <v/>
      </c>
      <c r="D39">
        <f>IFERROR(INDEX($AA$28:$AA$158,ROW()-27),"")</f>
        <v/>
      </c>
      <c r="E39" s="27">
        <f>IFERROR(2*C39-B39,"")</f>
        <v/>
      </c>
      <c r="F39" s="27">
        <f>IFERROR(INDEX($E$16:$E$21,MATCH(YEAR(A39),$A$16:$A$21,0)),"")</f>
        <v/>
      </c>
    </row>
    <row r="40">
      <c r="A40" s="26">
        <f>IFERROR(INDEX($R$28:$R$158,ROW()-27),"")</f>
        <v/>
      </c>
      <c r="B40">
        <f>IFERROR(INDEX($S$28:$S$158,ROW()-27),"")</f>
        <v/>
      </c>
      <c r="C40">
        <f>IFERROR(INDEX($W$28:$W$158,ROW()-27),"")</f>
        <v/>
      </c>
      <c r="D40">
        <f>IFERROR(INDEX($AA$28:$AA$158,ROW()-27),"")</f>
        <v/>
      </c>
      <c r="E40" s="27">
        <f>IFERROR(2*C40-B40,"")</f>
        <v/>
      </c>
      <c r="F40" s="27">
        <f>IFERROR(INDEX($E$16:$E$21,MATCH(YEAR(A40),$A$16:$A$21,0)),"")</f>
        <v/>
      </c>
    </row>
    <row r="41">
      <c r="A41" s="26">
        <f>IFERROR(INDEX($R$28:$R$158,ROW()-27),"")</f>
        <v/>
      </c>
      <c r="B41">
        <f>IFERROR(INDEX($S$28:$S$158,ROW()-27),"")</f>
        <v/>
      </c>
      <c r="C41">
        <f>IFERROR(INDEX($W$28:$W$158,ROW()-27),"")</f>
        <v/>
      </c>
      <c r="D41">
        <f>IFERROR(INDEX($AA$28:$AA$158,ROW()-27),"")</f>
        <v/>
      </c>
      <c r="E41" s="27">
        <f>IFERROR(2*C41-B41,"")</f>
        <v/>
      </c>
      <c r="F41" s="27">
        <f>IFERROR(INDEX($E$16:$E$21,MATCH(YEAR(A41),$A$16:$A$21,0)),"")</f>
        <v/>
      </c>
    </row>
    <row r="42">
      <c r="A42" s="26">
        <f>IFERROR(INDEX($R$28:$R$158,ROW()-27),"")</f>
        <v/>
      </c>
      <c r="B42">
        <f>IFERROR(INDEX($S$28:$S$158,ROW()-27),"")</f>
        <v/>
      </c>
      <c r="C42">
        <f>IFERROR(INDEX($W$28:$W$158,ROW()-27),"")</f>
        <v/>
      </c>
      <c r="D42">
        <f>IFERROR(INDEX($AA$28:$AA$158,ROW()-27),"")</f>
        <v/>
      </c>
      <c r="E42" s="27">
        <f>IFERROR(2*C42-B42,"")</f>
        <v/>
      </c>
      <c r="F42" s="27">
        <f>IFERROR(INDEX($E$16:$E$21,MATCH(YEAR(A42),$A$16:$A$21,0)),"")</f>
        <v/>
      </c>
    </row>
    <row r="43">
      <c r="A43" s="26">
        <f>IFERROR(INDEX($R$28:$R$158,ROW()-27),"")</f>
        <v/>
      </c>
      <c r="B43">
        <f>IFERROR(INDEX($S$28:$S$158,ROW()-27),"")</f>
        <v/>
      </c>
      <c r="C43">
        <f>IFERROR(INDEX($W$28:$W$158,ROW()-27),"")</f>
        <v/>
      </c>
      <c r="D43">
        <f>IFERROR(INDEX($AA$28:$AA$158,ROW()-27),"")</f>
        <v/>
      </c>
      <c r="E43" s="27">
        <f>IFERROR(2*C43-B43,"")</f>
        <v/>
      </c>
      <c r="F43" s="27">
        <f>IFERROR(INDEX($E$16:$E$21,MATCH(YEAR(A43),$A$16:$A$21,0)),"")</f>
        <v/>
      </c>
    </row>
    <row r="44">
      <c r="A44" s="26">
        <f>IFERROR(INDEX($R$28:$R$158,ROW()-27),"")</f>
        <v/>
      </c>
      <c r="B44">
        <f>IFERROR(INDEX($S$28:$S$158,ROW()-27),"")</f>
        <v/>
      </c>
      <c r="C44">
        <f>IFERROR(INDEX($W$28:$W$158,ROW()-27),"")</f>
        <v/>
      </c>
      <c r="D44">
        <f>IFERROR(INDEX($AA$28:$AA$158,ROW()-27),"")</f>
        <v/>
      </c>
      <c r="E44" s="27">
        <f>IFERROR(2*C44-B44,"")</f>
        <v/>
      </c>
      <c r="F44" s="27">
        <f>IFERROR(INDEX($E$16:$E$21,MATCH(YEAR(A44),$A$16:$A$21,0)),"")</f>
        <v/>
      </c>
    </row>
    <row r="45">
      <c r="A45" s="26">
        <f>IFERROR(INDEX($R$28:$R$158,ROW()-27),"")</f>
        <v/>
      </c>
      <c r="B45">
        <f>IFERROR(INDEX($S$28:$S$158,ROW()-27),"")</f>
        <v/>
      </c>
      <c r="C45">
        <f>IFERROR(INDEX($W$28:$W$158,ROW()-27),"")</f>
        <v/>
      </c>
      <c r="D45">
        <f>IFERROR(INDEX($AA$28:$AA$158,ROW()-27),"")</f>
        <v/>
      </c>
      <c r="E45" s="27">
        <f>IFERROR(2*C45-B45,"")</f>
        <v/>
      </c>
      <c r="F45" s="27">
        <f>IFERROR(INDEX($E$16:$E$21,MATCH(YEAR(A45),$A$16:$A$21,0)),"")</f>
        <v/>
      </c>
    </row>
    <row r="46">
      <c r="A46" s="26">
        <f>IFERROR(INDEX($R$28:$R$158,ROW()-27),"")</f>
        <v/>
      </c>
      <c r="B46">
        <f>IFERROR(INDEX($S$28:$S$158,ROW()-27),"")</f>
        <v/>
      </c>
      <c r="C46">
        <f>IFERROR(INDEX($W$28:$W$158,ROW()-27),"")</f>
        <v/>
      </c>
      <c r="D46">
        <f>IFERROR(INDEX($AA$28:$AA$158,ROW()-27),"")</f>
        <v/>
      </c>
      <c r="E46" s="27">
        <f>IFERROR(2*C46-B46,"")</f>
        <v/>
      </c>
      <c r="F46" s="27">
        <f>IFERROR(INDEX($E$16:$E$21,MATCH(YEAR(A46),$A$16:$A$21,0)),"")</f>
        <v/>
      </c>
    </row>
    <row r="47">
      <c r="A47" s="26">
        <f>IFERROR(INDEX($R$28:$R$158,ROW()-27),"")</f>
        <v/>
      </c>
      <c r="B47">
        <f>IFERROR(INDEX($S$28:$S$158,ROW()-27),"")</f>
        <v/>
      </c>
      <c r="C47">
        <f>IFERROR(INDEX($W$28:$W$158,ROW()-27),"")</f>
        <v/>
      </c>
      <c r="D47">
        <f>IFERROR(INDEX($AA$28:$AA$158,ROW()-27),"")</f>
        <v/>
      </c>
      <c r="E47" s="27">
        <f>IFERROR(2*C47-B47,"")</f>
        <v/>
      </c>
      <c r="F47" s="27">
        <f>IFERROR(INDEX($E$16:$E$21,MATCH(YEAR(A47),$A$16:$A$21,0)),"")</f>
        <v/>
      </c>
    </row>
    <row r="48">
      <c r="A48" s="26">
        <f>IFERROR(INDEX($R$28:$R$158,ROW()-27),"")</f>
        <v/>
      </c>
      <c r="B48">
        <f>IFERROR(INDEX($S$28:$S$158,ROW()-27),"")</f>
        <v/>
      </c>
      <c r="C48">
        <f>IFERROR(INDEX($W$28:$W$158,ROW()-27),"")</f>
        <v/>
      </c>
      <c r="D48">
        <f>IFERROR(INDEX($AA$28:$AA$158,ROW()-27),"")</f>
        <v/>
      </c>
      <c r="E48" s="27">
        <f>IFERROR(2*C48-B48,"")</f>
        <v/>
      </c>
      <c r="F48" s="27">
        <f>IFERROR(INDEX($E$16:$E$21,MATCH(YEAR(A48),$A$16:$A$21,0)),"")</f>
        <v/>
      </c>
    </row>
    <row r="49">
      <c r="A49" s="26">
        <f>IFERROR(INDEX($R$28:$R$158,ROW()-27),"")</f>
        <v/>
      </c>
      <c r="B49">
        <f>IFERROR(INDEX($S$28:$S$158,ROW()-27),"")</f>
        <v/>
      </c>
      <c r="C49">
        <f>IFERROR(INDEX($W$28:$W$158,ROW()-27),"")</f>
        <v/>
      </c>
      <c r="D49">
        <f>IFERROR(INDEX($AA$28:$AA$158,ROW()-27),"")</f>
        <v/>
      </c>
      <c r="E49" s="27">
        <f>IFERROR(2*C49-B49,"")</f>
        <v/>
      </c>
      <c r="F49" s="27">
        <f>IFERROR(INDEX($E$16:$E$21,MATCH(YEAR(A49),$A$16:$A$21,0)),"")</f>
        <v/>
      </c>
    </row>
    <row r="50">
      <c r="A50" s="26">
        <f>IFERROR(INDEX($R$28:$R$158,ROW()-27),"")</f>
        <v/>
      </c>
      <c r="B50">
        <f>IFERROR(INDEX($S$28:$S$158,ROW()-27),"")</f>
        <v/>
      </c>
      <c r="C50">
        <f>IFERROR(INDEX($W$28:$W$158,ROW()-27),"")</f>
        <v/>
      </c>
      <c r="D50">
        <f>IFERROR(INDEX($AA$28:$AA$158,ROW()-27),"")</f>
        <v/>
      </c>
      <c r="E50" s="27">
        <f>IFERROR(2*C50-B50,"")</f>
        <v/>
      </c>
      <c r="F50" s="27">
        <f>IFERROR(INDEX($E$16:$E$21,MATCH(YEAR(A50),$A$16:$A$21,0)),"")</f>
        <v/>
      </c>
    </row>
    <row r="51">
      <c r="A51" s="26">
        <f>IFERROR(INDEX($R$28:$R$158,ROW()-27),"")</f>
        <v/>
      </c>
      <c r="B51">
        <f>IFERROR(INDEX($S$28:$S$158,ROW()-27),"")</f>
        <v/>
      </c>
      <c r="C51">
        <f>IFERROR(INDEX($W$28:$W$158,ROW()-27),"")</f>
        <v/>
      </c>
      <c r="D51">
        <f>IFERROR(INDEX($AA$28:$AA$158,ROW()-27),"")</f>
        <v/>
      </c>
      <c r="E51" s="27">
        <f>IFERROR(2*C51-B51,"")</f>
        <v/>
      </c>
      <c r="F51" s="27">
        <f>IFERROR(INDEX($E$16:$E$21,MATCH(YEAR(A51),$A$16:$A$21,0)),"")</f>
        <v/>
      </c>
    </row>
    <row r="52">
      <c r="A52" s="26">
        <f>IFERROR(INDEX($R$28:$R$158,ROW()-27),"")</f>
        <v/>
      </c>
      <c r="B52">
        <f>IFERROR(INDEX($S$28:$S$158,ROW()-27),"")</f>
        <v/>
      </c>
      <c r="C52">
        <f>IFERROR(INDEX($W$28:$W$158,ROW()-27),"")</f>
        <v/>
      </c>
      <c r="D52">
        <f>IFERROR(INDEX($AA$28:$AA$158,ROW()-27),"")</f>
        <v/>
      </c>
      <c r="E52" s="27">
        <f>IFERROR(2*C52-B52,"")</f>
        <v/>
      </c>
      <c r="F52" s="27">
        <f>IFERROR(INDEX($E$16:$E$21,MATCH(YEAR(A52),$A$16:$A$21,0)),"")</f>
        <v/>
      </c>
    </row>
    <row r="53">
      <c r="A53" s="26">
        <f>IFERROR(INDEX($R$28:$R$158,ROW()-27),"")</f>
        <v/>
      </c>
      <c r="B53">
        <f>IFERROR(INDEX($S$28:$S$158,ROW()-27),"")</f>
        <v/>
      </c>
      <c r="C53">
        <f>IFERROR(INDEX($W$28:$W$158,ROW()-27),"")</f>
        <v/>
      </c>
      <c r="D53">
        <f>IFERROR(INDEX($AA$28:$AA$158,ROW()-27),"")</f>
        <v/>
      </c>
      <c r="E53" s="27">
        <f>IFERROR(2*C53-B53,"")</f>
        <v/>
      </c>
      <c r="F53" s="27">
        <f>IFERROR(INDEX($E$16:$E$21,MATCH(YEAR(A53),$A$16:$A$21,0)),"")</f>
        <v/>
      </c>
    </row>
    <row r="54">
      <c r="A54" s="26">
        <f>IFERROR(INDEX($R$28:$R$158,ROW()-27),"")</f>
        <v/>
      </c>
      <c r="B54">
        <f>IFERROR(INDEX($S$28:$S$158,ROW()-27),"")</f>
        <v/>
      </c>
      <c r="C54">
        <f>IFERROR(INDEX($W$28:$W$158,ROW()-27),"")</f>
        <v/>
      </c>
      <c r="D54">
        <f>IFERROR(INDEX($AA$28:$AA$158,ROW()-27),"")</f>
        <v/>
      </c>
      <c r="E54" s="27">
        <f>IFERROR(2*C54-B54,"")</f>
        <v/>
      </c>
      <c r="F54" s="27">
        <f>IFERROR(INDEX($E$16:$E$21,MATCH(YEAR(A54),$A$16:$A$21,0)),"")</f>
        <v/>
      </c>
    </row>
    <row r="55">
      <c r="A55" s="26">
        <f>IFERROR(INDEX($R$28:$R$158,ROW()-27),"")</f>
        <v/>
      </c>
      <c r="B55">
        <f>IFERROR(INDEX($S$28:$S$158,ROW()-27),"")</f>
        <v/>
      </c>
      <c r="C55">
        <f>IFERROR(INDEX($W$28:$W$158,ROW()-27),"")</f>
        <v/>
      </c>
      <c r="D55">
        <f>IFERROR(INDEX($AA$28:$AA$158,ROW()-27),"")</f>
        <v/>
      </c>
      <c r="E55" s="27">
        <f>IFERROR(2*C55-B55,"")</f>
        <v/>
      </c>
      <c r="F55" s="27">
        <f>IFERROR(INDEX($E$16:$E$21,MATCH(YEAR(A55),$A$16:$A$21,0)),"")</f>
        <v/>
      </c>
    </row>
    <row r="56">
      <c r="A56" s="26">
        <f>IFERROR(INDEX($R$28:$R$158,ROW()-27),"")</f>
        <v/>
      </c>
      <c r="B56">
        <f>IFERROR(INDEX($S$28:$S$158,ROW()-27),"")</f>
        <v/>
      </c>
      <c r="C56">
        <f>IFERROR(INDEX($W$28:$W$158,ROW()-27),"")</f>
        <v/>
      </c>
      <c r="D56">
        <f>IFERROR(INDEX($AA$28:$AA$158,ROW()-27),"")</f>
        <v/>
      </c>
      <c r="E56" s="27">
        <f>IFERROR(2*C56-B56,"")</f>
        <v/>
      </c>
      <c r="F56" s="27">
        <f>IFERROR(INDEX($E$16:$E$21,MATCH(YEAR(A56),$A$16:$A$21,0)),"")</f>
        <v/>
      </c>
    </row>
    <row r="57">
      <c r="A57" s="26">
        <f>IFERROR(INDEX($R$28:$R$158,ROW()-27),"")</f>
        <v/>
      </c>
      <c r="B57">
        <f>IFERROR(INDEX($S$28:$S$158,ROW()-27),"")</f>
        <v/>
      </c>
      <c r="C57">
        <f>IFERROR(INDEX($W$28:$W$158,ROW()-27),"")</f>
        <v/>
      </c>
      <c r="D57">
        <f>IFERROR(INDEX($AA$28:$AA$158,ROW()-27),"")</f>
        <v/>
      </c>
      <c r="E57" s="27">
        <f>IFERROR(2*C57-B57,"")</f>
        <v/>
      </c>
      <c r="F57" s="27">
        <f>IFERROR(INDEX($E$16:$E$21,MATCH(YEAR(A57),$A$16:$A$21,0)),"")</f>
        <v/>
      </c>
    </row>
    <row r="58">
      <c r="A58" s="26">
        <f>IFERROR(INDEX($R$28:$R$158,ROW()-27),"")</f>
        <v/>
      </c>
      <c r="B58">
        <f>IFERROR(INDEX($S$28:$S$158,ROW()-27),"")</f>
        <v/>
      </c>
      <c r="C58">
        <f>IFERROR(INDEX($W$28:$W$158,ROW()-27),"")</f>
        <v/>
      </c>
      <c r="D58">
        <f>IFERROR(INDEX($AA$28:$AA$158,ROW()-27),"")</f>
        <v/>
      </c>
      <c r="E58" s="27">
        <f>IFERROR(2*C58-B58,"")</f>
        <v/>
      </c>
      <c r="F58" s="27">
        <f>IFERROR(INDEX($E$16:$E$21,MATCH(YEAR(A58),$A$16:$A$21,0)),"")</f>
        <v/>
      </c>
    </row>
    <row r="59">
      <c r="A59" s="26">
        <f>IFERROR(INDEX($R$28:$R$158,ROW()-27),"")</f>
        <v/>
      </c>
      <c r="B59">
        <f>IFERROR(INDEX($S$28:$S$158,ROW()-27),"")</f>
        <v/>
      </c>
      <c r="C59">
        <f>IFERROR(INDEX($W$28:$W$158,ROW()-27),"")</f>
        <v/>
      </c>
      <c r="D59">
        <f>IFERROR(INDEX($AA$28:$AA$158,ROW()-27),"")</f>
        <v/>
      </c>
      <c r="E59" s="27">
        <f>IFERROR(2*C59-B59,"")</f>
        <v/>
      </c>
      <c r="F59" s="27">
        <f>IFERROR(INDEX($E$16:$E$21,MATCH(YEAR(A59),$A$16:$A$21,0)),"")</f>
        <v/>
      </c>
    </row>
    <row r="60">
      <c r="A60" s="26">
        <f>IFERROR(INDEX($R$28:$R$158,ROW()-27),"")</f>
        <v/>
      </c>
      <c r="B60">
        <f>IFERROR(INDEX($S$28:$S$158,ROW()-27),"")</f>
        <v/>
      </c>
      <c r="C60">
        <f>IFERROR(INDEX($W$28:$W$158,ROW()-27),"")</f>
        <v/>
      </c>
      <c r="D60">
        <f>IFERROR(INDEX($AA$28:$AA$158,ROW()-27),"")</f>
        <v/>
      </c>
      <c r="E60" s="27">
        <f>IFERROR(2*C60-B60,"")</f>
        <v/>
      </c>
      <c r="F60" s="27">
        <f>IFERROR(INDEX($E$16:$E$21,MATCH(YEAR(A60),$A$16:$A$21,0)),"")</f>
        <v/>
      </c>
    </row>
    <row r="61">
      <c r="A61" s="26">
        <f>IFERROR(INDEX($R$28:$R$158,ROW()-27),"")</f>
        <v/>
      </c>
      <c r="B61">
        <f>IFERROR(INDEX($S$28:$S$158,ROW()-27),"")</f>
        <v/>
      </c>
      <c r="C61">
        <f>IFERROR(INDEX($W$28:$W$158,ROW()-27),"")</f>
        <v/>
      </c>
      <c r="D61">
        <f>IFERROR(INDEX($AA$28:$AA$158,ROW()-27),"")</f>
        <v/>
      </c>
      <c r="E61" s="27">
        <f>IFERROR(2*C61-B61,"")</f>
        <v/>
      </c>
      <c r="F61" s="27">
        <f>IFERROR(INDEX($E$16:$E$21,MATCH(YEAR(A61),$A$16:$A$21,0)),"")</f>
        <v/>
      </c>
    </row>
    <row r="62">
      <c r="A62" s="26">
        <f>IFERROR(INDEX($R$28:$R$158,ROW()-27),"")</f>
        <v/>
      </c>
      <c r="B62">
        <f>IFERROR(INDEX($S$28:$S$158,ROW()-27),"")</f>
        <v/>
      </c>
      <c r="C62">
        <f>IFERROR(INDEX($W$28:$W$158,ROW()-27),"")</f>
        <v/>
      </c>
      <c r="D62">
        <f>IFERROR(INDEX($AA$28:$AA$158,ROW()-27),"")</f>
        <v/>
      </c>
      <c r="E62" s="27">
        <f>IFERROR(2*C62-B62,"")</f>
        <v/>
      </c>
      <c r="F62" s="27">
        <f>IFERROR(INDEX($E$16:$E$21,MATCH(YEAR(A62),$A$16:$A$21,0)),"")</f>
        <v/>
      </c>
    </row>
    <row r="63">
      <c r="A63" s="26">
        <f>IFERROR(INDEX($R$28:$R$158,ROW()-27),"")</f>
        <v/>
      </c>
      <c r="B63">
        <f>IFERROR(INDEX($S$28:$S$158,ROW()-27),"")</f>
        <v/>
      </c>
      <c r="C63">
        <f>IFERROR(INDEX($W$28:$W$158,ROW()-27),"")</f>
        <v/>
      </c>
      <c r="D63">
        <f>IFERROR(INDEX($AA$28:$AA$158,ROW()-27),"")</f>
        <v/>
      </c>
      <c r="E63" s="27">
        <f>IFERROR(2*C63-B63,"")</f>
        <v/>
      </c>
      <c r="F63" s="27">
        <f>IFERROR(INDEX($E$16:$E$21,MATCH(YEAR(A63),$A$16:$A$21,0)),"")</f>
        <v/>
      </c>
    </row>
    <row r="64">
      <c r="A64" s="26">
        <f>IFERROR(INDEX($R$28:$R$158,ROW()-27),"")</f>
        <v/>
      </c>
      <c r="B64">
        <f>IFERROR(INDEX($S$28:$S$158,ROW()-27),"")</f>
        <v/>
      </c>
      <c r="C64">
        <f>IFERROR(INDEX($W$28:$W$158,ROW()-27),"")</f>
        <v/>
      </c>
      <c r="D64">
        <f>IFERROR(INDEX($AA$28:$AA$158,ROW()-27),"")</f>
        <v/>
      </c>
      <c r="E64" s="27">
        <f>IFERROR(2*C64-B64,"")</f>
        <v/>
      </c>
      <c r="F64" s="27">
        <f>IFERROR(INDEX($E$16:$E$21,MATCH(YEAR(A64),$A$16:$A$21,0)),"")</f>
        <v/>
      </c>
    </row>
    <row r="65">
      <c r="A65" s="26">
        <f>IFERROR(INDEX($R$28:$R$158,ROW()-27),"")</f>
        <v/>
      </c>
      <c r="B65">
        <f>IFERROR(INDEX($S$28:$S$158,ROW()-27),"")</f>
        <v/>
      </c>
      <c r="C65">
        <f>IFERROR(INDEX($W$28:$W$158,ROW()-27),"")</f>
        <v/>
      </c>
      <c r="D65">
        <f>IFERROR(INDEX($AA$28:$AA$158,ROW()-27),"")</f>
        <v/>
      </c>
      <c r="E65" s="27">
        <f>IFERROR(2*C65-B65,"")</f>
        <v/>
      </c>
      <c r="F65" s="27">
        <f>IFERROR(INDEX($E$16:$E$21,MATCH(YEAR(A65),$A$16:$A$21,0)),"")</f>
        <v/>
      </c>
    </row>
    <row r="66">
      <c r="A66" s="26">
        <f>IFERROR(INDEX($R$28:$R$158,ROW()-27),"")</f>
        <v/>
      </c>
      <c r="B66">
        <f>IFERROR(INDEX($S$28:$S$158,ROW()-27),"")</f>
        <v/>
      </c>
      <c r="C66">
        <f>IFERROR(INDEX($W$28:$W$158,ROW()-27),"")</f>
        <v/>
      </c>
      <c r="D66">
        <f>IFERROR(INDEX($AA$28:$AA$158,ROW()-27),"")</f>
        <v/>
      </c>
      <c r="E66" s="27">
        <f>IFERROR(2*C66-B66,"")</f>
        <v/>
      </c>
      <c r="F66" s="27">
        <f>IFERROR(INDEX($E$16:$E$21,MATCH(YEAR(A66),$A$16:$A$21,0)),"")</f>
        <v/>
      </c>
    </row>
    <row r="67">
      <c r="A67" s="26">
        <f>IFERROR(INDEX($R$28:$R$158,ROW()-27),"")</f>
        <v/>
      </c>
      <c r="B67">
        <f>IFERROR(INDEX($S$28:$S$158,ROW()-27),"")</f>
        <v/>
      </c>
      <c r="C67">
        <f>IFERROR(INDEX($W$28:$W$158,ROW()-27),"")</f>
        <v/>
      </c>
      <c r="D67">
        <f>IFERROR(INDEX($AA$28:$AA$158,ROW()-27),"")</f>
        <v/>
      </c>
      <c r="E67" s="27">
        <f>IFERROR(2*C67-B67,"")</f>
        <v/>
      </c>
      <c r="F67" s="27">
        <f>IFERROR(INDEX($E$16:$E$21,MATCH(YEAR(A67),$A$16:$A$21,0)),"")</f>
        <v/>
      </c>
    </row>
    <row r="68">
      <c r="A68" s="26">
        <f>IFERROR(INDEX($R$28:$R$158,ROW()-27),"")</f>
        <v/>
      </c>
      <c r="B68">
        <f>IFERROR(INDEX($S$28:$S$158,ROW()-27),"")</f>
        <v/>
      </c>
      <c r="C68">
        <f>IFERROR(INDEX($W$28:$W$158,ROW()-27),"")</f>
        <v/>
      </c>
      <c r="D68">
        <f>IFERROR(INDEX($AA$28:$AA$158,ROW()-27),"")</f>
        <v/>
      </c>
      <c r="E68" s="27">
        <f>IFERROR(2*C68-B68,"")</f>
        <v/>
      </c>
      <c r="F68" s="27">
        <f>IFERROR(INDEX($E$16:$E$21,MATCH(YEAR(A68),$A$16:$A$21,0)),"")</f>
        <v/>
      </c>
    </row>
    <row r="69">
      <c r="A69" s="26">
        <f>IFERROR(INDEX($R$28:$R$158,ROW()-27),"")</f>
        <v/>
      </c>
      <c r="B69">
        <f>IFERROR(INDEX($S$28:$S$158,ROW()-27),"")</f>
        <v/>
      </c>
      <c r="C69">
        <f>IFERROR(INDEX($W$28:$W$158,ROW()-27),"")</f>
        <v/>
      </c>
      <c r="D69">
        <f>IFERROR(INDEX($AA$28:$AA$158,ROW()-27),"")</f>
        <v/>
      </c>
      <c r="E69" s="27">
        <f>IFERROR(2*C69-B69,"")</f>
        <v/>
      </c>
      <c r="F69" s="27">
        <f>IFERROR(INDEX($E$16:$E$21,MATCH(YEAR(A69),$A$16:$A$21,0)),"")</f>
        <v/>
      </c>
    </row>
    <row r="70">
      <c r="A70" s="26">
        <f>IFERROR(INDEX($R$28:$R$158,ROW()-27),"")</f>
        <v/>
      </c>
      <c r="B70">
        <f>IFERROR(INDEX($S$28:$S$158,ROW()-27),"")</f>
        <v/>
      </c>
      <c r="C70">
        <f>IFERROR(INDEX($W$28:$W$158,ROW()-27),"")</f>
        <v/>
      </c>
      <c r="D70">
        <f>IFERROR(INDEX($AA$28:$AA$158,ROW()-27),"")</f>
        <v/>
      </c>
      <c r="E70" s="27">
        <f>IFERROR(2*C70-B70,"")</f>
        <v/>
      </c>
      <c r="F70" s="27">
        <f>IFERROR(INDEX($E$16:$E$21,MATCH(YEAR(A70),$A$16:$A$21,0)),"")</f>
        <v/>
      </c>
    </row>
    <row r="71">
      <c r="A71" s="26">
        <f>IFERROR(INDEX($R$28:$R$158,ROW()-27),"")</f>
        <v/>
      </c>
      <c r="B71">
        <f>IFERROR(INDEX($S$28:$S$158,ROW()-27),"")</f>
        <v/>
      </c>
      <c r="C71">
        <f>IFERROR(INDEX($W$28:$W$158,ROW()-27),"")</f>
        <v/>
      </c>
      <c r="D71">
        <f>IFERROR(INDEX($AA$28:$AA$158,ROW()-27),"")</f>
        <v/>
      </c>
      <c r="E71" s="27">
        <f>IFERROR(2*C71-B71,"")</f>
        <v/>
      </c>
      <c r="F71" s="27">
        <f>IFERROR(INDEX($E$16:$E$21,MATCH(YEAR(A71),$A$16:$A$21,0)),"")</f>
        <v/>
      </c>
    </row>
    <row r="72">
      <c r="A72" s="26">
        <f>IFERROR(INDEX($R$28:$R$158,ROW()-27),"")</f>
        <v/>
      </c>
      <c r="B72">
        <f>IFERROR(INDEX($S$28:$S$158,ROW()-27),"")</f>
        <v/>
      </c>
      <c r="C72">
        <f>IFERROR(INDEX($W$28:$W$158,ROW()-27),"")</f>
        <v/>
      </c>
      <c r="D72">
        <f>IFERROR(INDEX($AA$28:$AA$158,ROW()-27),"")</f>
        <v/>
      </c>
      <c r="E72" s="27">
        <f>IFERROR(2*C72-B72,"")</f>
        <v/>
      </c>
      <c r="F72" s="27">
        <f>IFERROR(INDEX($E$16:$E$21,MATCH(YEAR(A72),$A$16:$A$21,0)),"")</f>
        <v/>
      </c>
    </row>
    <row r="73">
      <c r="A73" s="26">
        <f>IFERROR(INDEX($R$28:$R$158,ROW()-27),"")</f>
        <v/>
      </c>
      <c r="B73">
        <f>IFERROR(INDEX($S$28:$S$158,ROW()-27),"")</f>
        <v/>
      </c>
      <c r="C73">
        <f>IFERROR(INDEX($W$28:$W$158,ROW()-27),"")</f>
        <v/>
      </c>
      <c r="D73">
        <f>IFERROR(INDEX($AA$28:$AA$158,ROW()-27),"")</f>
        <v/>
      </c>
      <c r="E73" s="27">
        <f>IFERROR(2*C73-B73,"")</f>
        <v/>
      </c>
      <c r="F73" s="27">
        <f>IFERROR(INDEX($E$16:$E$21,MATCH(YEAR(A73),$A$16:$A$21,0)),"")</f>
        <v/>
      </c>
    </row>
    <row r="74">
      <c r="A74" s="26">
        <f>IFERROR(INDEX($R$28:$R$158,ROW()-27),"")</f>
        <v/>
      </c>
      <c r="B74">
        <f>IFERROR(INDEX($S$28:$S$158,ROW()-27),"")</f>
        <v/>
      </c>
      <c r="C74">
        <f>IFERROR(INDEX($W$28:$W$158,ROW()-27),"")</f>
        <v/>
      </c>
      <c r="D74">
        <f>IFERROR(INDEX($AA$28:$AA$158,ROW()-27),"")</f>
        <v/>
      </c>
      <c r="E74" s="27">
        <f>IFERROR(2*C74-B74,"")</f>
        <v/>
      </c>
      <c r="F74" s="27">
        <f>IFERROR(INDEX($E$16:$E$21,MATCH(YEAR(A74),$A$16:$A$21,0)),"")</f>
        <v/>
      </c>
    </row>
    <row r="75">
      <c r="A75" s="26">
        <f>IFERROR(INDEX($R$28:$R$158,ROW()-27),"")</f>
        <v/>
      </c>
      <c r="B75">
        <f>IFERROR(INDEX($S$28:$S$158,ROW()-27),"")</f>
        <v/>
      </c>
      <c r="C75">
        <f>IFERROR(INDEX($W$28:$W$158,ROW()-27),"")</f>
        <v/>
      </c>
      <c r="D75">
        <f>IFERROR(INDEX($AA$28:$AA$158,ROW()-27),"")</f>
        <v/>
      </c>
      <c r="E75" s="27">
        <f>IFERROR(2*C75-B75,"")</f>
        <v/>
      </c>
      <c r="F75" s="27">
        <f>IFERROR(INDEX($E$16:$E$21,MATCH(YEAR(A75),$A$16:$A$21,0)),"")</f>
        <v/>
      </c>
    </row>
    <row r="76">
      <c r="A76" s="26">
        <f>IFERROR(INDEX($R$28:$R$158,ROW()-27),"")</f>
        <v/>
      </c>
      <c r="B76">
        <f>IFERROR(INDEX($S$28:$S$158,ROW()-27),"")</f>
        <v/>
      </c>
      <c r="C76">
        <f>IFERROR(INDEX($W$28:$W$158,ROW()-27),"")</f>
        <v/>
      </c>
      <c r="D76">
        <f>IFERROR(INDEX($AA$28:$AA$158,ROW()-27),"")</f>
        <v/>
      </c>
      <c r="E76" s="27">
        <f>IFERROR(2*C76-B76,"")</f>
        <v/>
      </c>
      <c r="F76" s="27">
        <f>IFERROR(INDEX($E$16:$E$21,MATCH(YEAR(A76),$A$16:$A$21,0)),"")</f>
        <v/>
      </c>
    </row>
    <row r="77">
      <c r="A77" s="26">
        <f>IFERROR(INDEX($R$28:$R$158,ROW()-27),"")</f>
        <v/>
      </c>
      <c r="B77">
        <f>IFERROR(INDEX($S$28:$S$158,ROW()-27),"")</f>
        <v/>
      </c>
      <c r="C77">
        <f>IFERROR(INDEX($W$28:$W$158,ROW()-27),"")</f>
        <v/>
      </c>
      <c r="D77">
        <f>IFERROR(INDEX($AA$28:$AA$158,ROW()-27),"")</f>
        <v/>
      </c>
      <c r="E77" s="27">
        <f>IFERROR(2*C77-B77,"")</f>
        <v/>
      </c>
      <c r="F77" s="27">
        <f>IFERROR(INDEX($E$16:$E$21,MATCH(YEAR(A77),$A$16:$A$21,0)),"")</f>
        <v/>
      </c>
    </row>
    <row r="78">
      <c r="A78" s="26">
        <f>IFERROR(INDEX($R$28:$R$158,ROW()-27),"")</f>
        <v/>
      </c>
      <c r="B78">
        <f>IFERROR(INDEX($S$28:$S$158,ROW()-27),"")</f>
        <v/>
      </c>
      <c r="C78">
        <f>IFERROR(INDEX($W$28:$W$158,ROW()-27),"")</f>
        <v/>
      </c>
      <c r="D78">
        <f>IFERROR(INDEX($AA$28:$AA$158,ROW()-27),"")</f>
        <v/>
      </c>
      <c r="E78" s="27">
        <f>IFERROR(2*C78-B78,"")</f>
        <v/>
      </c>
      <c r="F78" s="27">
        <f>IFERROR(INDEX($E$16:$E$21,MATCH(YEAR(A78),$A$16:$A$21,0)),"")</f>
        <v/>
      </c>
    </row>
    <row r="79">
      <c r="A79" s="26">
        <f>IFERROR(INDEX($R$28:$R$158,ROW()-27),"")</f>
        <v/>
      </c>
      <c r="B79">
        <f>IFERROR(INDEX($S$28:$S$158,ROW()-27),"")</f>
        <v/>
      </c>
      <c r="C79">
        <f>IFERROR(INDEX($W$28:$W$158,ROW()-27),"")</f>
        <v/>
      </c>
      <c r="D79">
        <f>IFERROR(INDEX($AA$28:$AA$158,ROW()-27),"")</f>
        <v/>
      </c>
      <c r="E79" s="27">
        <f>IFERROR(2*C79-B79,"")</f>
        <v/>
      </c>
      <c r="F79" s="27">
        <f>IFERROR(INDEX($E$16:$E$21,MATCH(YEAR(A79),$A$16:$A$21,0)),"")</f>
        <v/>
      </c>
    </row>
    <row r="80">
      <c r="A80" s="26">
        <f>IFERROR(INDEX($R$28:$R$158,ROW()-27),"")</f>
        <v/>
      </c>
      <c r="B80">
        <f>IFERROR(INDEX($S$28:$S$158,ROW()-27),"")</f>
        <v/>
      </c>
      <c r="C80">
        <f>IFERROR(INDEX($W$28:$W$158,ROW()-27),"")</f>
        <v/>
      </c>
      <c r="D80">
        <f>IFERROR(INDEX($AA$28:$AA$158,ROW()-27),"")</f>
        <v/>
      </c>
      <c r="E80" s="27">
        <f>IFERROR(2*C80-B80,"")</f>
        <v/>
      </c>
      <c r="F80" s="27">
        <f>IFERROR(INDEX($E$16:$E$21,MATCH(YEAR(A80),$A$16:$A$21,0)),"")</f>
        <v/>
      </c>
    </row>
    <row r="81">
      <c r="A81" s="26">
        <f>IFERROR(INDEX($R$28:$R$158,ROW()-27),"")</f>
        <v/>
      </c>
      <c r="B81">
        <f>IFERROR(INDEX($S$28:$S$158,ROW()-27),"")</f>
        <v/>
      </c>
      <c r="C81">
        <f>IFERROR(INDEX($W$28:$W$158,ROW()-27),"")</f>
        <v/>
      </c>
      <c r="D81">
        <f>IFERROR(INDEX($AA$28:$AA$158,ROW()-27),"")</f>
        <v/>
      </c>
      <c r="E81" s="27">
        <f>IFERROR(2*C81-B81,"")</f>
        <v/>
      </c>
      <c r="F81" s="27">
        <f>IFERROR(INDEX($E$16:$E$21,MATCH(YEAR(A81),$A$16:$A$21,0)),"")</f>
        <v/>
      </c>
    </row>
    <row r="82">
      <c r="A82" s="26">
        <f>IFERROR(INDEX($R$28:$R$158,ROW()-27),"")</f>
        <v/>
      </c>
      <c r="B82">
        <f>IFERROR(INDEX($S$28:$S$158,ROW()-27),"")</f>
        <v/>
      </c>
      <c r="C82">
        <f>IFERROR(INDEX($W$28:$W$158,ROW()-27),"")</f>
        <v/>
      </c>
      <c r="D82">
        <f>IFERROR(INDEX($AA$28:$AA$158,ROW()-27),"")</f>
        <v/>
      </c>
      <c r="E82" s="27">
        <f>IFERROR(2*C82-B82,"")</f>
        <v/>
      </c>
      <c r="F82" s="27">
        <f>IFERROR(INDEX($E$16:$E$21,MATCH(YEAR(A82),$A$16:$A$21,0)),"")</f>
        <v/>
      </c>
    </row>
    <row r="83">
      <c r="A83" s="26">
        <f>IFERROR(INDEX($R$28:$R$158,ROW()-27),"")</f>
        <v/>
      </c>
      <c r="B83">
        <f>IFERROR(INDEX($S$28:$S$158,ROW()-27),"")</f>
        <v/>
      </c>
      <c r="C83">
        <f>IFERROR(INDEX($W$28:$W$158,ROW()-27),"")</f>
        <v/>
      </c>
      <c r="D83">
        <f>IFERROR(INDEX($AA$28:$AA$158,ROW()-27),"")</f>
        <v/>
      </c>
      <c r="E83" s="27">
        <f>IFERROR(2*C83-B83,"")</f>
        <v/>
      </c>
      <c r="F83" s="27">
        <f>IFERROR(INDEX($E$16:$E$21,MATCH(YEAR(A83),$A$16:$A$21,0)),"")</f>
        <v/>
      </c>
    </row>
    <row r="84">
      <c r="A84" s="26">
        <f>IFERROR(INDEX($R$28:$R$158,ROW()-27),"")</f>
        <v/>
      </c>
      <c r="B84">
        <f>IFERROR(INDEX($S$28:$S$158,ROW()-27),"")</f>
        <v/>
      </c>
      <c r="C84">
        <f>IFERROR(INDEX($W$28:$W$158,ROW()-27),"")</f>
        <v/>
      </c>
      <c r="D84">
        <f>IFERROR(INDEX($AA$28:$AA$158,ROW()-27),"")</f>
        <v/>
      </c>
      <c r="E84" s="27">
        <f>IFERROR(2*C84-B84,"")</f>
        <v/>
      </c>
      <c r="F84" s="27">
        <f>IFERROR(INDEX($E$16:$E$21,MATCH(YEAR(A84),$A$16:$A$21,0)),"")</f>
        <v/>
      </c>
    </row>
    <row r="85">
      <c r="A85" s="26">
        <f>IFERROR(INDEX($R$28:$R$158,ROW()-27),"")</f>
        <v/>
      </c>
      <c r="B85">
        <f>IFERROR(INDEX($S$28:$S$158,ROW()-27),"")</f>
        <v/>
      </c>
      <c r="C85">
        <f>IFERROR(INDEX($W$28:$W$158,ROW()-27),"")</f>
        <v/>
      </c>
      <c r="D85">
        <f>IFERROR(INDEX($AA$28:$AA$158,ROW()-27),"")</f>
        <v/>
      </c>
      <c r="E85" s="27">
        <f>IFERROR(2*C85-B85,"")</f>
        <v/>
      </c>
      <c r="F85" s="27">
        <f>IFERROR(INDEX($E$16:$E$21,MATCH(YEAR(A85),$A$16:$A$21,0)),"")</f>
        <v/>
      </c>
    </row>
    <row r="86">
      <c r="A86" s="26">
        <f>IFERROR(INDEX($R$28:$R$158,ROW()-27),"")</f>
        <v/>
      </c>
      <c r="B86">
        <f>IFERROR(INDEX($S$28:$S$158,ROW()-27),"")</f>
        <v/>
      </c>
      <c r="C86">
        <f>IFERROR(INDEX($W$28:$W$158,ROW()-27),"")</f>
        <v/>
      </c>
      <c r="D86">
        <f>IFERROR(INDEX($AA$28:$AA$158,ROW()-27),"")</f>
        <v/>
      </c>
      <c r="E86" s="27">
        <f>IFERROR(2*C86-B86,"")</f>
        <v/>
      </c>
      <c r="F86" s="27">
        <f>IFERROR(INDEX($E$16:$E$21,MATCH(YEAR(A86),$A$16:$A$21,0)),"")</f>
        <v/>
      </c>
    </row>
    <row r="87">
      <c r="A87" s="26">
        <f>IFERROR(INDEX($R$28:$R$158,ROW()-27),"")</f>
        <v/>
      </c>
      <c r="B87">
        <f>IFERROR(INDEX($S$28:$S$158,ROW()-27),"")</f>
        <v/>
      </c>
      <c r="C87">
        <f>IFERROR(INDEX($W$28:$W$158,ROW()-27),"")</f>
        <v/>
      </c>
      <c r="D87">
        <f>IFERROR(INDEX($AA$28:$AA$158,ROW()-27),"")</f>
        <v/>
      </c>
      <c r="E87" s="27">
        <f>IFERROR(2*C87-B87,"")</f>
        <v/>
      </c>
      <c r="F87" s="27">
        <f>IFERROR(INDEX($E$16:$E$21,MATCH(YEAR(A87),$A$16:$A$21,0)),"")</f>
        <v/>
      </c>
    </row>
    <row r="88">
      <c r="A88" s="26">
        <f>IFERROR(INDEX($R$28:$R$158,ROW()-27),"")</f>
        <v/>
      </c>
      <c r="B88">
        <f>IFERROR(INDEX($S$28:$S$158,ROW()-27),"")</f>
        <v/>
      </c>
      <c r="C88">
        <f>IFERROR(INDEX($W$28:$W$158,ROW()-27),"")</f>
        <v/>
      </c>
      <c r="D88">
        <f>IFERROR(INDEX($AA$28:$AA$158,ROW()-27),"")</f>
        <v/>
      </c>
      <c r="E88" s="27">
        <f>IFERROR(2*C88-B88,"")</f>
        <v/>
      </c>
      <c r="F88" s="27">
        <f>IFERROR(INDEX($E$16:$E$21,MATCH(YEAR(A88),$A$16:$A$21,0)),"")</f>
        <v/>
      </c>
    </row>
    <row r="89">
      <c r="A89" s="26">
        <f>IFERROR(INDEX($R$28:$R$158,ROW()-27),"")</f>
        <v/>
      </c>
      <c r="B89">
        <f>IFERROR(INDEX($S$28:$S$158,ROW()-27),"")</f>
        <v/>
      </c>
      <c r="C89">
        <f>IFERROR(INDEX($W$28:$W$158,ROW()-27),"")</f>
        <v/>
      </c>
      <c r="D89">
        <f>IFERROR(INDEX($AA$28:$AA$158,ROW()-27),"")</f>
        <v/>
      </c>
      <c r="E89" s="27">
        <f>IFERROR(2*C89-B89,"")</f>
        <v/>
      </c>
      <c r="F89" s="27">
        <f>IFERROR(INDEX($E$16:$E$21,MATCH(YEAR(A89),$A$16:$A$21,0)),"")</f>
        <v/>
      </c>
    </row>
    <row r="90">
      <c r="A90" s="26">
        <f>IFERROR(INDEX($R$28:$R$158,ROW()-27),"")</f>
        <v/>
      </c>
      <c r="B90">
        <f>IFERROR(INDEX($S$28:$S$158,ROW()-27),"")</f>
        <v/>
      </c>
      <c r="C90">
        <f>IFERROR(INDEX($W$28:$W$158,ROW()-27),"")</f>
        <v/>
      </c>
      <c r="D90">
        <f>IFERROR(INDEX($AA$28:$AA$158,ROW()-27),"")</f>
        <v/>
      </c>
      <c r="E90" s="27">
        <f>IFERROR(2*C90-B90,"")</f>
        <v/>
      </c>
      <c r="F90" s="27">
        <f>IFERROR(INDEX($E$16:$E$21,MATCH(YEAR(A90),$A$16:$A$21,0)),"")</f>
        <v/>
      </c>
    </row>
    <row r="91">
      <c r="A91" s="26">
        <f>IFERROR(INDEX($R$28:$R$158,ROW()-27),"")</f>
        <v/>
      </c>
      <c r="B91">
        <f>IFERROR(INDEX($S$28:$S$158,ROW()-27),"")</f>
        <v/>
      </c>
      <c r="C91">
        <f>IFERROR(INDEX($W$28:$W$158,ROW()-27),"")</f>
        <v/>
      </c>
      <c r="D91">
        <f>IFERROR(INDEX($AA$28:$AA$158,ROW()-27),"")</f>
        <v/>
      </c>
      <c r="E91" s="27">
        <f>IFERROR(2*C91-B91,"")</f>
        <v/>
      </c>
      <c r="F91" s="27">
        <f>IFERROR(INDEX($E$16:$E$21,MATCH(YEAR(A91),$A$16:$A$21,0)),"")</f>
        <v/>
      </c>
    </row>
    <row r="92">
      <c r="A92" s="26">
        <f>IFERROR(INDEX($R$28:$R$158,ROW()-27),"")</f>
        <v/>
      </c>
      <c r="B92">
        <f>IFERROR(INDEX($S$28:$S$158,ROW()-27),"")</f>
        <v/>
      </c>
      <c r="C92">
        <f>IFERROR(INDEX($W$28:$W$158,ROW()-27),"")</f>
        <v/>
      </c>
      <c r="D92">
        <f>IFERROR(INDEX($AA$28:$AA$158,ROW()-27),"")</f>
        <v/>
      </c>
      <c r="E92" s="27">
        <f>IFERROR(2*C92-B92,"")</f>
        <v/>
      </c>
      <c r="F92" s="27">
        <f>IFERROR(INDEX($E$16:$E$21,MATCH(YEAR(A92),$A$16:$A$21,0)),"")</f>
        <v/>
      </c>
    </row>
    <row r="93">
      <c r="A93" s="26">
        <f>IFERROR(INDEX($R$28:$R$158,ROW()-27),"")</f>
        <v/>
      </c>
      <c r="B93">
        <f>IFERROR(INDEX($S$28:$S$158,ROW()-27),"")</f>
        <v/>
      </c>
      <c r="C93">
        <f>IFERROR(INDEX($W$28:$W$158,ROW()-27),"")</f>
        <v/>
      </c>
      <c r="D93">
        <f>IFERROR(INDEX($AA$28:$AA$158,ROW()-27),"")</f>
        <v/>
      </c>
      <c r="E93" s="27">
        <f>IFERROR(2*C93-B93,"")</f>
        <v/>
      </c>
      <c r="F93" s="27">
        <f>IFERROR(INDEX($E$16:$E$21,MATCH(YEAR(A93),$A$16:$A$21,0)),"")</f>
        <v/>
      </c>
    </row>
    <row r="94">
      <c r="A94" s="26">
        <f>IFERROR(INDEX($R$28:$R$158,ROW()-27),"")</f>
        <v/>
      </c>
      <c r="B94">
        <f>IFERROR(INDEX($S$28:$S$158,ROW()-27),"")</f>
        <v/>
      </c>
      <c r="C94">
        <f>IFERROR(INDEX($W$28:$W$158,ROW()-27),"")</f>
        <v/>
      </c>
      <c r="D94">
        <f>IFERROR(INDEX($AA$28:$AA$158,ROW()-27),"")</f>
        <v/>
      </c>
      <c r="E94" s="27">
        <f>IFERROR(2*C94-B94,"")</f>
        <v/>
      </c>
      <c r="F94" s="27">
        <f>IFERROR(INDEX($E$16:$E$21,MATCH(YEAR(A94),$A$16:$A$21,0)),"")</f>
        <v/>
      </c>
    </row>
    <row r="95">
      <c r="A95" s="26">
        <f>IFERROR(INDEX($R$28:$R$158,ROW()-27),"")</f>
        <v/>
      </c>
      <c r="B95">
        <f>IFERROR(INDEX($S$28:$S$158,ROW()-27),"")</f>
        <v/>
      </c>
      <c r="C95">
        <f>IFERROR(INDEX($W$28:$W$158,ROW()-27),"")</f>
        <v/>
      </c>
      <c r="D95">
        <f>IFERROR(INDEX($AA$28:$AA$158,ROW()-27),"")</f>
        <v/>
      </c>
      <c r="E95" s="27">
        <f>IFERROR(2*C95-B95,"")</f>
        <v/>
      </c>
      <c r="F95" s="27">
        <f>IFERROR(INDEX($E$16:$E$21,MATCH(YEAR(A95),$A$16:$A$21,0)),"")</f>
        <v/>
      </c>
    </row>
    <row r="96">
      <c r="A96" s="26">
        <f>IFERROR(INDEX($R$28:$R$158,ROW()-27),"")</f>
        <v/>
      </c>
      <c r="B96">
        <f>IFERROR(INDEX($S$28:$S$158,ROW()-27),"")</f>
        <v/>
      </c>
      <c r="C96">
        <f>IFERROR(INDEX($W$28:$W$158,ROW()-27),"")</f>
        <v/>
      </c>
      <c r="D96">
        <f>IFERROR(INDEX($AA$28:$AA$158,ROW()-27),"")</f>
        <v/>
      </c>
      <c r="E96" s="27">
        <f>IFERROR(2*C96-B96,"")</f>
        <v/>
      </c>
      <c r="F96" s="27">
        <f>IFERROR(INDEX($E$16:$E$21,MATCH(YEAR(A96),$A$16:$A$21,0)),"")</f>
        <v/>
      </c>
    </row>
    <row r="97">
      <c r="A97" s="26">
        <f>IFERROR(INDEX($R$28:$R$158,ROW()-27),"")</f>
        <v/>
      </c>
      <c r="B97">
        <f>IFERROR(INDEX($S$28:$S$158,ROW()-27),"")</f>
        <v/>
      </c>
      <c r="C97">
        <f>IFERROR(INDEX($W$28:$W$158,ROW()-27),"")</f>
        <v/>
      </c>
      <c r="D97">
        <f>IFERROR(INDEX($AA$28:$AA$158,ROW()-27),"")</f>
        <v/>
      </c>
      <c r="E97" s="27">
        <f>IFERROR(2*C97-B97,"")</f>
        <v/>
      </c>
      <c r="F97" s="27">
        <f>IFERROR(INDEX($E$16:$E$21,MATCH(YEAR(A97),$A$16:$A$21,0)),"")</f>
        <v/>
      </c>
    </row>
    <row r="98">
      <c r="A98" s="26">
        <f>IFERROR(INDEX($R$28:$R$158,ROW()-27),"")</f>
        <v/>
      </c>
      <c r="B98">
        <f>IFERROR(INDEX($S$28:$S$158,ROW()-27),"")</f>
        <v/>
      </c>
      <c r="C98">
        <f>IFERROR(INDEX($W$28:$W$158,ROW()-27),"")</f>
        <v/>
      </c>
      <c r="D98">
        <f>IFERROR(INDEX($AA$28:$AA$158,ROW()-27),"")</f>
        <v/>
      </c>
      <c r="E98" s="27">
        <f>IFERROR(2*C98-B98,"")</f>
        <v/>
      </c>
      <c r="F98" s="27">
        <f>IFERROR(INDEX($E$16:$E$21,MATCH(YEAR(A98),$A$16:$A$21,0)),"")</f>
        <v/>
      </c>
    </row>
    <row r="99">
      <c r="A99" s="26">
        <f>IFERROR(INDEX($R$28:$R$158,ROW()-27),"")</f>
        <v/>
      </c>
      <c r="B99">
        <f>IFERROR(INDEX($S$28:$S$158,ROW()-27),"")</f>
        <v/>
      </c>
      <c r="C99">
        <f>IFERROR(INDEX($W$28:$W$158,ROW()-27),"")</f>
        <v/>
      </c>
      <c r="D99">
        <f>IFERROR(INDEX($AA$28:$AA$158,ROW()-27),"")</f>
        <v/>
      </c>
      <c r="E99" s="27">
        <f>IFERROR(2*C99-B99,"")</f>
        <v/>
      </c>
      <c r="F99" s="27">
        <f>IFERROR(INDEX($E$16:$E$21,MATCH(YEAR(A99),$A$16:$A$21,0)),"")</f>
        <v/>
      </c>
    </row>
    <row r="100">
      <c r="A100" s="26">
        <f>IFERROR(INDEX($R$28:$R$158,ROW()-27),"")</f>
        <v/>
      </c>
      <c r="B100">
        <f>IFERROR(INDEX($S$28:$S$158,ROW()-27),"")</f>
        <v/>
      </c>
      <c r="C100">
        <f>IFERROR(INDEX($W$28:$W$158,ROW()-27),"")</f>
        <v/>
      </c>
      <c r="D100">
        <f>IFERROR(INDEX($AA$28:$AA$158,ROW()-27),"")</f>
        <v/>
      </c>
      <c r="E100" s="27">
        <f>IFERROR(2*C100-B100,"")</f>
        <v/>
      </c>
      <c r="F100" s="27">
        <f>IFERROR(INDEX($E$16:$E$21,MATCH(YEAR(A100),$A$16:$A$21,0)),"")</f>
        <v/>
      </c>
    </row>
    <row r="101">
      <c r="A101" s="26">
        <f>IFERROR(INDEX($R$28:$R$158,ROW()-27),"")</f>
        <v/>
      </c>
      <c r="B101">
        <f>IFERROR(INDEX($S$28:$S$158,ROW()-27),"")</f>
        <v/>
      </c>
      <c r="C101">
        <f>IFERROR(INDEX($W$28:$W$158,ROW()-27),"")</f>
        <v/>
      </c>
      <c r="D101">
        <f>IFERROR(INDEX($AA$28:$AA$158,ROW()-27),"")</f>
        <v/>
      </c>
      <c r="E101" s="27">
        <f>IFERROR(2*C101-B101,"")</f>
        <v/>
      </c>
      <c r="F101" s="27">
        <f>IFERROR(INDEX($E$16:$E$21,MATCH(YEAR(A101),$A$16:$A$21,0)),"")</f>
        <v/>
      </c>
    </row>
    <row r="102">
      <c r="A102" s="26">
        <f>IFERROR(INDEX($R$28:$R$158,ROW()-27),"")</f>
        <v/>
      </c>
      <c r="B102">
        <f>IFERROR(INDEX($S$28:$S$158,ROW()-27),"")</f>
        <v/>
      </c>
      <c r="C102">
        <f>IFERROR(INDEX($W$28:$W$158,ROW()-27),"")</f>
        <v/>
      </c>
      <c r="D102">
        <f>IFERROR(INDEX($AA$28:$AA$158,ROW()-27),"")</f>
        <v/>
      </c>
      <c r="E102" s="27">
        <f>IFERROR(2*C102-B102,"")</f>
        <v/>
      </c>
      <c r="F102" s="27">
        <f>IFERROR(INDEX($E$16:$E$21,MATCH(YEAR(A102),$A$16:$A$21,0)),"")</f>
        <v/>
      </c>
    </row>
    <row r="103">
      <c r="A103" s="26">
        <f>IFERROR(INDEX($R$28:$R$158,ROW()-27),"")</f>
        <v/>
      </c>
      <c r="B103">
        <f>IFERROR(INDEX($S$28:$S$158,ROW()-27),"")</f>
        <v/>
      </c>
      <c r="C103">
        <f>IFERROR(INDEX($W$28:$W$158,ROW()-27),"")</f>
        <v/>
      </c>
      <c r="D103">
        <f>IFERROR(INDEX($AA$28:$AA$158,ROW()-27),"")</f>
        <v/>
      </c>
      <c r="E103" s="27">
        <f>IFERROR(2*C103-B103,"")</f>
        <v/>
      </c>
      <c r="F103" s="27">
        <f>IFERROR(INDEX($E$16:$E$21,MATCH(YEAR(A103),$A$16:$A$21,0)),"")</f>
        <v/>
      </c>
    </row>
    <row r="104">
      <c r="A104" s="26">
        <f>IFERROR(INDEX($R$28:$R$158,ROW()-27),"")</f>
        <v/>
      </c>
      <c r="B104">
        <f>IFERROR(INDEX($S$28:$S$158,ROW()-27),"")</f>
        <v/>
      </c>
      <c r="C104">
        <f>IFERROR(INDEX($W$28:$W$158,ROW()-27),"")</f>
        <v/>
      </c>
      <c r="D104">
        <f>IFERROR(INDEX($AA$28:$AA$158,ROW()-27),"")</f>
        <v/>
      </c>
      <c r="E104" s="27">
        <f>IFERROR(2*C104-B104,"")</f>
        <v/>
      </c>
      <c r="F104" s="27">
        <f>IFERROR(INDEX($E$16:$E$21,MATCH(YEAR(A104),$A$16:$A$21,0)),"")</f>
        <v/>
      </c>
    </row>
    <row r="105">
      <c r="A105" s="26">
        <f>IFERROR(INDEX($R$28:$R$158,ROW()-27),"")</f>
        <v/>
      </c>
      <c r="B105">
        <f>IFERROR(INDEX($S$28:$S$158,ROW()-27),"")</f>
        <v/>
      </c>
      <c r="C105">
        <f>IFERROR(INDEX($W$28:$W$158,ROW()-27),"")</f>
        <v/>
      </c>
      <c r="D105">
        <f>IFERROR(INDEX($AA$28:$AA$158,ROW()-27),"")</f>
        <v/>
      </c>
      <c r="E105" s="27">
        <f>IFERROR(2*C105-B105,"")</f>
        <v/>
      </c>
      <c r="F105" s="27">
        <f>IFERROR(INDEX($E$16:$E$21,MATCH(YEAR(A105),$A$16:$A$21,0)),"")</f>
        <v/>
      </c>
    </row>
    <row r="106">
      <c r="A106" s="26">
        <f>IFERROR(INDEX($R$28:$R$158,ROW()-27),"")</f>
        <v/>
      </c>
      <c r="B106">
        <f>IFERROR(INDEX($S$28:$S$158,ROW()-27),"")</f>
        <v/>
      </c>
      <c r="C106">
        <f>IFERROR(INDEX($W$28:$W$158,ROW()-27),"")</f>
        <v/>
      </c>
      <c r="D106">
        <f>IFERROR(INDEX($AA$28:$AA$158,ROW()-27),"")</f>
        <v/>
      </c>
      <c r="E106" s="27">
        <f>IFERROR(2*C106-B106,"")</f>
        <v/>
      </c>
      <c r="F106" s="27">
        <f>IFERROR(INDEX($E$16:$E$21,MATCH(YEAR(A106),$A$16:$A$21,0)),"")</f>
        <v/>
      </c>
    </row>
    <row r="107">
      <c r="A107" s="26">
        <f>IFERROR(INDEX($R$28:$R$158,ROW()-27),"")</f>
        <v/>
      </c>
      <c r="B107">
        <f>IFERROR(INDEX($S$28:$S$158,ROW()-27),"")</f>
        <v/>
      </c>
      <c r="C107">
        <f>IFERROR(INDEX($W$28:$W$158,ROW()-27),"")</f>
        <v/>
      </c>
      <c r="D107">
        <f>IFERROR(INDEX($AA$28:$AA$158,ROW()-27),"")</f>
        <v/>
      </c>
      <c r="E107" s="27">
        <f>IFERROR(2*C107-B107,"")</f>
        <v/>
      </c>
      <c r="F107" s="27">
        <f>IFERROR(INDEX($E$16:$E$21,MATCH(YEAR(A107),$A$16:$A$21,0)),"")</f>
        <v/>
      </c>
    </row>
    <row r="108">
      <c r="A108" s="26">
        <f>IFERROR(INDEX($R$28:$R$158,ROW()-27),"")</f>
        <v/>
      </c>
      <c r="B108">
        <f>IFERROR(INDEX($S$28:$S$158,ROW()-27),"")</f>
        <v/>
      </c>
      <c r="C108">
        <f>IFERROR(INDEX($W$28:$W$158,ROW()-27),"")</f>
        <v/>
      </c>
      <c r="D108">
        <f>IFERROR(INDEX($AA$28:$AA$158,ROW()-27),"")</f>
        <v/>
      </c>
      <c r="E108" s="27">
        <f>IFERROR(2*C108-B108,"")</f>
        <v/>
      </c>
      <c r="F108" s="27">
        <f>IFERROR(INDEX($E$16:$E$21,MATCH(YEAR(A108),$A$16:$A$21,0)),"")</f>
        <v/>
      </c>
    </row>
    <row r="109">
      <c r="A109" s="26">
        <f>IFERROR(INDEX($R$28:$R$158,ROW()-27),"")</f>
        <v/>
      </c>
      <c r="B109">
        <f>IFERROR(INDEX($S$28:$S$158,ROW()-27),"")</f>
        <v/>
      </c>
      <c r="C109">
        <f>IFERROR(INDEX($W$28:$W$158,ROW()-27),"")</f>
        <v/>
      </c>
      <c r="D109">
        <f>IFERROR(INDEX($AA$28:$AA$158,ROW()-27),"")</f>
        <v/>
      </c>
      <c r="E109" s="27">
        <f>IFERROR(2*C109-B109,"")</f>
        <v/>
      </c>
      <c r="F109" s="27">
        <f>IFERROR(INDEX($E$16:$E$21,MATCH(YEAR(A109),$A$16:$A$21,0)),"")</f>
        <v/>
      </c>
    </row>
    <row r="110">
      <c r="A110" s="26">
        <f>IFERROR(INDEX($R$28:$R$158,ROW()-27),"")</f>
        <v/>
      </c>
      <c r="B110">
        <f>IFERROR(INDEX($S$28:$S$158,ROW()-27),"")</f>
        <v/>
      </c>
      <c r="C110">
        <f>IFERROR(INDEX($W$28:$W$158,ROW()-27),"")</f>
        <v/>
      </c>
      <c r="D110">
        <f>IFERROR(INDEX($AA$28:$AA$158,ROW()-27),"")</f>
        <v/>
      </c>
      <c r="E110" s="27">
        <f>IFERROR(2*C110-B110,"")</f>
        <v/>
      </c>
      <c r="F110" s="27">
        <f>IFERROR(INDEX($E$16:$E$21,MATCH(YEAR(A110),$A$16:$A$21,0)),"")</f>
        <v/>
      </c>
    </row>
    <row r="111">
      <c r="A111" s="26">
        <f>IFERROR(INDEX($R$28:$R$158,ROW()-27),"")</f>
        <v/>
      </c>
      <c r="B111">
        <f>IFERROR(INDEX($S$28:$S$158,ROW()-27),"")</f>
        <v/>
      </c>
      <c r="C111">
        <f>IFERROR(INDEX($W$28:$W$158,ROW()-27),"")</f>
        <v/>
      </c>
      <c r="D111">
        <f>IFERROR(INDEX($AA$28:$AA$158,ROW()-27),"")</f>
        <v/>
      </c>
      <c r="E111" s="27">
        <f>IFERROR(2*C111-B111,"")</f>
        <v/>
      </c>
      <c r="F111" s="27">
        <f>IFERROR(INDEX($E$16:$E$21,MATCH(YEAR(A111),$A$16:$A$21,0)),"")</f>
        <v/>
      </c>
    </row>
    <row r="112">
      <c r="A112" s="26">
        <f>IFERROR(INDEX($R$28:$R$158,ROW()-27),"")</f>
        <v/>
      </c>
      <c r="B112">
        <f>IFERROR(INDEX($S$28:$S$158,ROW()-27),"")</f>
        <v/>
      </c>
      <c r="C112">
        <f>IFERROR(INDEX($W$28:$W$158,ROW()-27),"")</f>
        <v/>
      </c>
      <c r="D112">
        <f>IFERROR(INDEX($AA$28:$AA$158,ROW()-27),"")</f>
        <v/>
      </c>
      <c r="E112" s="27">
        <f>IFERROR(2*C112-B112,"")</f>
        <v/>
      </c>
      <c r="F112" s="27">
        <f>IFERROR(INDEX($E$16:$E$21,MATCH(YEAR(A112),$A$16:$A$21,0)),"")</f>
        <v/>
      </c>
    </row>
    <row r="113">
      <c r="A113" s="26">
        <f>IFERROR(INDEX($R$28:$R$158,ROW()-27),"")</f>
        <v/>
      </c>
      <c r="B113">
        <f>IFERROR(INDEX($S$28:$S$158,ROW()-27),"")</f>
        <v/>
      </c>
      <c r="C113">
        <f>IFERROR(INDEX($W$28:$W$158,ROW()-27),"")</f>
        <v/>
      </c>
      <c r="D113">
        <f>IFERROR(INDEX($AA$28:$AA$158,ROW()-27),"")</f>
        <v/>
      </c>
      <c r="E113" s="27">
        <f>IFERROR(2*C113-B113,"")</f>
        <v/>
      </c>
      <c r="F113" s="27">
        <f>IFERROR(INDEX($E$16:$E$21,MATCH(YEAR(A113),$A$16:$A$21,0)),"")</f>
        <v/>
      </c>
    </row>
    <row r="114">
      <c r="A114" s="26">
        <f>IFERROR(INDEX($R$28:$R$158,ROW()-27),"")</f>
        <v/>
      </c>
      <c r="B114">
        <f>IFERROR(INDEX($S$28:$S$158,ROW()-27),"")</f>
        <v/>
      </c>
      <c r="C114">
        <f>IFERROR(INDEX($W$28:$W$158,ROW()-27),"")</f>
        <v/>
      </c>
      <c r="D114">
        <f>IFERROR(INDEX($AA$28:$AA$158,ROW()-27),"")</f>
        <v/>
      </c>
      <c r="E114" s="27">
        <f>IFERROR(2*C114-B114,"")</f>
        <v/>
      </c>
      <c r="F114" s="27">
        <f>IFERROR(INDEX($E$16:$E$21,MATCH(YEAR(A114),$A$16:$A$21,0)),"")</f>
        <v/>
      </c>
    </row>
    <row r="115">
      <c r="A115" s="26">
        <f>IFERROR(INDEX($R$28:$R$158,ROW()-27),"")</f>
        <v/>
      </c>
      <c r="B115">
        <f>IFERROR(INDEX($S$28:$S$158,ROW()-27),"")</f>
        <v/>
      </c>
      <c r="C115">
        <f>IFERROR(INDEX($W$28:$W$158,ROW()-27),"")</f>
        <v/>
      </c>
      <c r="D115">
        <f>IFERROR(INDEX($AA$28:$AA$158,ROW()-27),"")</f>
        <v/>
      </c>
      <c r="E115" s="27">
        <f>IFERROR(2*C115-B115,"")</f>
        <v/>
      </c>
      <c r="F115" s="27">
        <f>IFERROR(INDEX($E$16:$E$21,MATCH(YEAR(A115),$A$16:$A$21,0)),"")</f>
        <v/>
      </c>
    </row>
    <row r="116">
      <c r="A116" s="26">
        <f>IFERROR(INDEX($R$28:$R$158,ROW()-27),"")</f>
        <v/>
      </c>
      <c r="B116">
        <f>IFERROR(INDEX($S$28:$S$158,ROW()-27),"")</f>
        <v/>
      </c>
      <c r="C116">
        <f>IFERROR(INDEX($W$28:$W$158,ROW()-27),"")</f>
        <v/>
      </c>
      <c r="D116">
        <f>IFERROR(INDEX($AA$28:$AA$158,ROW()-27),"")</f>
        <v/>
      </c>
      <c r="E116" s="27">
        <f>IFERROR(2*C116-B116,"")</f>
        <v/>
      </c>
      <c r="F116" s="27">
        <f>IFERROR(INDEX($E$16:$E$21,MATCH(YEAR(A116),$A$16:$A$21,0)),"")</f>
        <v/>
      </c>
    </row>
    <row r="117">
      <c r="A117" s="26">
        <f>IFERROR(INDEX($R$28:$R$158,ROW()-27),"")</f>
        <v/>
      </c>
      <c r="B117">
        <f>IFERROR(INDEX($S$28:$S$158,ROW()-27),"")</f>
        <v/>
      </c>
      <c r="C117">
        <f>IFERROR(INDEX($W$28:$W$158,ROW()-27),"")</f>
        <v/>
      </c>
      <c r="D117">
        <f>IFERROR(INDEX($AA$28:$AA$158,ROW()-27),"")</f>
        <v/>
      </c>
      <c r="E117" s="27">
        <f>IFERROR(2*C117-B117,"")</f>
        <v/>
      </c>
      <c r="F117" s="27">
        <f>IFERROR(INDEX($E$16:$E$21,MATCH(YEAR(A117),$A$16:$A$21,0)),"")</f>
        <v/>
      </c>
    </row>
    <row r="118">
      <c r="A118" s="26">
        <f>IFERROR(INDEX($R$28:$R$158,ROW()-27),"")</f>
        <v/>
      </c>
      <c r="B118">
        <f>IFERROR(INDEX($S$28:$S$158,ROW()-27),"")</f>
        <v/>
      </c>
      <c r="C118">
        <f>IFERROR(INDEX($W$28:$W$158,ROW()-27),"")</f>
        <v/>
      </c>
      <c r="D118">
        <f>IFERROR(INDEX($AA$28:$AA$158,ROW()-27),"")</f>
        <v/>
      </c>
      <c r="E118" s="27">
        <f>IFERROR(2*C118-B118,"")</f>
        <v/>
      </c>
      <c r="F118" s="27">
        <f>IFERROR(INDEX($E$16:$E$21,MATCH(YEAR(A118),$A$16:$A$21,0)),"")</f>
        <v/>
      </c>
    </row>
    <row r="119">
      <c r="A119" s="26">
        <f>IFERROR(INDEX($R$28:$R$158,ROW()-27),"")</f>
        <v/>
      </c>
      <c r="B119">
        <f>IFERROR(INDEX($S$28:$S$158,ROW()-27),"")</f>
        <v/>
      </c>
      <c r="C119">
        <f>IFERROR(INDEX($W$28:$W$158,ROW()-27),"")</f>
        <v/>
      </c>
      <c r="D119">
        <f>IFERROR(INDEX($AA$28:$AA$158,ROW()-27),"")</f>
        <v/>
      </c>
      <c r="E119" s="27">
        <f>IFERROR(2*C119-B119,"")</f>
        <v/>
      </c>
      <c r="F119" s="27">
        <f>IFERROR(INDEX($E$16:$E$21,MATCH(YEAR(A119),$A$16:$A$21,0)),"")</f>
        <v/>
      </c>
    </row>
    <row r="120">
      <c r="A120" s="26">
        <f>IFERROR(INDEX($R$28:$R$158,ROW()-27),"")</f>
        <v/>
      </c>
      <c r="B120">
        <f>IFERROR(INDEX($S$28:$S$158,ROW()-27),"")</f>
        <v/>
      </c>
      <c r="C120">
        <f>IFERROR(INDEX($W$28:$W$158,ROW()-27),"")</f>
        <v/>
      </c>
      <c r="D120">
        <f>IFERROR(INDEX($AA$28:$AA$158,ROW()-27),"")</f>
        <v/>
      </c>
      <c r="E120" s="27">
        <f>IFERROR(2*C120-B120,"")</f>
        <v/>
      </c>
      <c r="F120" s="27">
        <f>IFERROR(INDEX($E$16:$E$21,MATCH(YEAR(A120),$A$16:$A$21,0)),"")</f>
        <v/>
      </c>
    </row>
    <row r="121">
      <c r="A121" s="26">
        <f>IFERROR(INDEX($R$28:$R$158,ROW()-27),"")</f>
        <v/>
      </c>
      <c r="B121">
        <f>IFERROR(INDEX($S$28:$S$158,ROW()-27),"")</f>
        <v/>
      </c>
      <c r="C121">
        <f>IFERROR(INDEX($W$28:$W$158,ROW()-27),"")</f>
        <v/>
      </c>
      <c r="D121">
        <f>IFERROR(INDEX($AA$28:$AA$158,ROW()-27),"")</f>
        <v/>
      </c>
      <c r="E121" s="27">
        <f>IFERROR(2*C121-B121,"")</f>
        <v/>
      </c>
      <c r="F121" s="27">
        <f>IFERROR(INDEX($E$16:$E$21,MATCH(YEAR(A121),$A$16:$A$21,0)),"")</f>
        <v/>
      </c>
    </row>
    <row r="122">
      <c r="A122" s="26">
        <f>IFERROR(INDEX($R$28:$R$158,ROW()-27),"")</f>
        <v/>
      </c>
      <c r="B122">
        <f>IFERROR(INDEX($S$28:$S$158,ROW()-27),"")</f>
        <v/>
      </c>
      <c r="C122">
        <f>IFERROR(INDEX($W$28:$W$158,ROW()-27),"")</f>
        <v/>
      </c>
      <c r="D122">
        <f>IFERROR(INDEX($AA$28:$AA$158,ROW()-27),"")</f>
        <v/>
      </c>
      <c r="E122" s="27">
        <f>IFERROR(2*C122-B122,"")</f>
        <v/>
      </c>
      <c r="F122" s="27">
        <f>IFERROR(INDEX($E$16:$E$21,MATCH(YEAR(A122),$A$16:$A$21,0)),"")</f>
        <v/>
      </c>
    </row>
    <row r="123">
      <c r="A123" s="26">
        <f>IFERROR(INDEX($R$28:$R$158,ROW()-27),"")</f>
        <v/>
      </c>
      <c r="B123">
        <f>IFERROR(INDEX($S$28:$S$158,ROW()-27),"")</f>
        <v/>
      </c>
      <c r="C123">
        <f>IFERROR(INDEX($W$28:$W$158,ROW()-27),"")</f>
        <v/>
      </c>
      <c r="D123">
        <f>IFERROR(INDEX($AA$28:$AA$158,ROW()-27),"")</f>
        <v/>
      </c>
      <c r="E123" s="27">
        <f>IFERROR(2*C123-B123,"")</f>
        <v/>
      </c>
      <c r="F123" s="27">
        <f>IFERROR(INDEX($E$16:$E$21,MATCH(YEAR(A123),$A$16:$A$21,0)),"")</f>
        <v/>
      </c>
    </row>
    <row r="124">
      <c r="A124" s="26">
        <f>IFERROR(INDEX($R$28:$R$158,ROW()-27),"")</f>
        <v/>
      </c>
      <c r="B124">
        <f>IFERROR(INDEX($S$28:$S$158,ROW()-27),"")</f>
        <v/>
      </c>
      <c r="C124">
        <f>IFERROR(INDEX($W$28:$W$158,ROW()-27),"")</f>
        <v/>
      </c>
      <c r="D124">
        <f>IFERROR(INDEX($AA$28:$AA$158,ROW()-27),"")</f>
        <v/>
      </c>
      <c r="E124" s="27">
        <f>IFERROR(2*C124-B124,"")</f>
        <v/>
      </c>
      <c r="F124" s="27">
        <f>IFERROR(INDEX($E$16:$E$21,MATCH(YEAR(A124),$A$16:$A$21,0)),"")</f>
        <v/>
      </c>
    </row>
    <row r="125">
      <c r="A125" s="26">
        <f>IFERROR(INDEX($R$28:$R$158,ROW()-27),"")</f>
        <v/>
      </c>
      <c r="B125">
        <f>IFERROR(INDEX($S$28:$S$158,ROW()-27),"")</f>
        <v/>
      </c>
      <c r="C125">
        <f>IFERROR(INDEX($W$28:$W$158,ROW()-27),"")</f>
        <v/>
      </c>
      <c r="D125">
        <f>IFERROR(INDEX($AA$28:$AA$158,ROW()-27),"")</f>
        <v/>
      </c>
      <c r="E125" s="27">
        <f>IFERROR(2*C125-B125,"")</f>
        <v/>
      </c>
      <c r="F125" s="27">
        <f>IFERROR(INDEX($E$16:$E$21,MATCH(YEAR(A125),$A$16:$A$21,0)),"")</f>
        <v/>
      </c>
    </row>
    <row r="126">
      <c r="A126" s="26">
        <f>IFERROR(INDEX($R$28:$R$158,ROW()-27),"")</f>
        <v/>
      </c>
      <c r="B126">
        <f>IFERROR(INDEX($S$28:$S$158,ROW()-27),"")</f>
        <v/>
      </c>
      <c r="C126">
        <f>IFERROR(INDEX($W$28:$W$158,ROW()-27),"")</f>
        <v/>
      </c>
      <c r="D126">
        <f>IFERROR(INDEX($AA$28:$AA$158,ROW()-27),"")</f>
        <v/>
      </c>
      <c r="E126" s="27">
        <f>IFERROR(2*C126-B126,"")</f>
        <v/>
      </c>
      <c r="F126" s="27">
        <f>IFERROR(INDEX($E$16:$E$21,MATCH(YEAR(A126),$A$16:$A$21,0)),"")</f>
        <v/>
      </c>
    </row>
    <row r="127">
      <c r="A127" s="26">
        <f>IFERROR(INDEX($R$28:$R$158,ROW()-27),"")</f>
        <v/>
      </c>
      <c r="B127">
        <f>IFERROR(INDEX($S$28:$S$158,ROW()-27),"")</f>
        <v/>
      </c>
      <c r="C127">
        <f>IFERROR(INDEX($W$28:$W$158,ROW()-27),"")</f>
        <v/>
      </c>
      <c r="D127">
        <f>IFERROR(INDEX($AA$28:$AA$158,ROW()-27),"")</f>
        <v/>
      </c>
      <c r="E127" s="27">
        <f>IFERROR(2*C127-B127,"")</f>
        <v/>
      </c>
      <c r="F127" s="27">
        <f>IFERROR(INDEX($E$16:$E$21,MATCH(YEAR(A127),$A$16:$A$21,0)),"")</f>
        <v/>
      </c>
    </row>
    <row r="128">
      <c r="A128" s="26">
        <f>IFERROR(INDEX($R$28:$R$158,ROW()-27),"")</f>
        <v/>
      </c>
      <c r="B128">
        <f>IFERROR(INDEX($S$28:$S$158,ROW()-27),"")</f>
        <v/>
      </c>
      <c r="C128">
        <f>IFERROR(INDEX($W$28:$W$158,ROW()-27),"")</f>
        <v/>
      </c>
      <c r="D128">
        <f>IFERROR(INDEX($AA$28:$AA$158,ROW()-27),"")</f>
        <v/>
      </c>
      <c r="E128" s="27">
        <f>IFERROR(2*C128-B128,"")</f>
        <v/>
      </c>
      <c r="F128" s="27">
        <f>IFERROR(INDEX($E$16:$E$21,MATCH(YEAR(A128),$A$16:$A$21,0)),"")</f>
        <v/>
      </c>
    </row>
    <row r="129">
      <c r="A129" s="26">
        <f>IFERROR(INDEX($R$28:$R$158,ROW()-27),"")</f>
        <v/>
      </c>
      <c r="B129">
        <f>IFERROR(INDEX($S$28:$S$158,ROW()-27),"")</f>
        <v/>
      </c>
      <c r="C129">
        <f>IFERROR(INDEX($W$28:$W$158,ROW()-27),"")</f>
        <v/>
      </c>
      <c r="D129">
        <f>IFERROR(INDEX($AA$28:$AA$158,ROW()-27),"")</f>
        <v/>
      </c>
      <c r="E129" s="27">
        <f>IFERROR(2*C129-B129,"")</f>
        <v/>
      </c>
      <c r="F129" s="27">
        <f>IFERROR(INDEX($E$16:$E$21,MATCH(YEAR(A129),$A$16:$A$21,0)),"")</f>
        <v/>
      </c>
    </row>
    <row r="130">
      <c r="A130" s="26">
        <f>IFERROR(INDEX($R$28:$R$158,ROW()-27),"")</f>
        <v/>
      </c>
      <c r="B130">
        <f>IFERROR(INDEX($S$28:$S$158,ROW()-27),"")</f>
        <v/>
      </c>
      <c r="C130">
        <f>IFERROR(INDEX($W$28:$W$158,ROW()-27),"")</f>
        <v/>
      </c>
      <c r="D130">
        <f>IFERROR(INDEX($AA$28:$AA$158,ROW()-27),"")</f>
        <v/>
      </c>
      <c r="E130" s="27">
        <f>IFERROR(2*C130-B130,"")</f>
        <v/>
      </c>
      <c r="F130" s="27">
        <f>IFERROR(INDEX($E$16:$E$21,MATCH(YEAR(A130),$A$16:$A$21,0)),"")</f>
        <v/>
      </c>
    </row>
    <row r="131">
      <c r="A131" s="26">
        <f>IFERROR(INDEX($R$28:$R$158,ROW()-27),"")</f>
        <v/>
      </c>
      <c r="B131">
        <f>IFERROR(INDEX($S$28:$S$158,ROW()-27),"")</f>
        <v/>
      </c>
      <c r="C131">
        <f>IFERROR(INDEX($W$28:$W$158,ROW()-27),"")</f>
        <v/>
      </c>
      <c r="D131">
        <f>IFERROR(INDEX($AA$28:$AA$158,ROW()-27),"")</f>
        <v/>
      </c>
      <c r="E131" s="27">
        <f>IFERROR(2*C131-B131,"")</f>
        <v/>
      </c>
      <c r="F131" s="27">
        <f>IFERROR(INDEX($E$16:$E$21,MATCH(YEAR(A131),$A$16:$A$21,0)),"")</f>
        <v/>
      </c>
    </row>
    <row r="132">
      <c r="A132" s="26">
        <f>IFERROR(INDEX($R$28:$R$158,ROW()-27),"")</f>
        <v/>
      </c>
      <c r="B132">
        <f>IFERROR(INDEX($S$28:$S$158,ROW()-27),"")</f>
        <v/>
      </c>
      <c r="C132">
        <f>IFERROR(INDEX($W$28:$W$158,ROW()-27),"")</f>
        <v/>
      </c>
      <c r="D132">
        <f>IFERROR(INDEX($AA$28:$AA$158,ROW()-27),"")</f>
        <v/>
      </c>
      <c r="E132" s="27">
        <f>IFERROR(2*C132-B132,"")</f>
        <v/>
      </c>
      <c r="F132" s="27">
        <f>IFERROR(INDEX($E$16:$E$21,MATCH(YEAR(A132),$A$16:$A$21,0)),"")</f>
        <v/>
      </c>
    </row>
    <row r="133">
      <c r="A133" s="26">
        <f>IFERROR(INDEX($R$28:$R$158,ROW()-27),"")</f>
        <v/>
      </c>
      <c r="B133">
        <f>IFERROR(INDEX($S$28:$S$158,ROW()-27),"")</f>
        <v/>
      </c>
      <c r="C133">
        <f>IFERROR(INDEX($W$28:$W$158,ROW()-27),"")</f>
        <v/>
      </c>
      <c r="D133">
        <f>IFERROR(INDEX($AA$28:$AA$158,ROW()-27),"")</f>
        <v/>
      </c>
      <c r="E133" s="27">
        <f>IFERROR(2*C133-B133,"")</f>
        <v/>
      </c>
      <c r="F133" s="27">
        <f>IFERROR(INDEX($E$16:$E$21,MATCH(YEAR(A133),$A$16:$A$21,0)),"")</f>
        <v/>
      </c>
    </row>
    <row r="134">
      <c r="A134" s="26">
        <f>IFERROR(INDEX($R$28:$R$158,ROW()-27),"")</f>
        <v/>
      </c>
      <c r="B134">
        <f>IFERROR(INDEX($S$28:$S$158,ROW()-27),"")</f>
        <v/>
      </c>
      <c r="C134">
        <f>IFERROR(INDEX($W$28:$W$158,ROW()-27),"")</f>
        <v/>
      </c>
      <c r="D134">
        <f>IFERROR(INDEX($AA$28:$AA$158,ROW()-27),"")</f>
        <v/>
      </c>
      <c r="E134" s="27">
        <f>IFERROR(2*C134-B134,"")</f>
        <v/>
      </c>
      <c r="F134" s="27">
        <f>IFERROR(INDEX($E$16:$E$21,MATCH(YEAR(A134),$A$16:$A$21,0)),"")</f>
        <v/>
      </c>
    </row>
    <row r="135">
      <c r="A135" s="26">
        <f>IFERROR(INDEX($R$28:$R$158,ROW()-27),"")</f>
        <v/>
      </c>
      <c r="B135">
        <f>IFERROR(INDEX($S$28:$S$158,ROW()-27),"")</f>
        <v/>
      </c>
      <c r="C135">
        <f>IFERROR(INDEX($W$28:$W$158,ROW()-27),"")</f>
        <v/>
      </c>
      <c r="D135">
        <f>IFERROR(INDEX($AA$28:$AA$158,ROW()-27),"")</f>
        <v/>
      </c>
      <c r="E135" s="27">
        <f>IFERROR(2*C135-B135,"")</f>
        <v/>
      </c>
      <c r="F135" s="27">
        <f>IFERROR(INDEX($E$16:$E$21,MATCH(YEAR(A135),$A$16:$A$21,0)),"")</f>
        <v/>
      </c>
    </row>
    <row r="136">
      <c r="A136" s="26">
        <f>IFERROR(INDEX($R$28:$R$158,ROW()-27),"")</f>
        <v/>
      </c>
      <c r="B136">
        <f>IFERROR(INDEX($S$28:$S$158,ROW()-27),"")</f>
        <v/>
      </c>
      <c r="C136">
        <f>IFERROR(INDEX($W$28:$W$158,ROW()-27),"")</f>
        <v/>
      </c>
      <c r="D136">
        <f>IFERROR(INDEX($AA$28:$AA$158,ROW()-27),"")</f>
        <v/>
      </c>
      <c r="E136" s="27">
        <f>IFERROR(2*C136-B136,"")</f>
        <v/>
      </c>
      <c r="F136" s="27">
        <f>IFERROR(INDEX($E$16:$E$21,MATCH(YEAR(A136),$A$16:$A$21,0)),"")</f>
        <v/>
      </c>
    </row>
    <row r="137">
      <c r="A137" s="26">
        <f>IFERROR(INDEX($R$28:$R$158,ROW()-27),"")</f>
        <v/>
      </c>
      <c r="B137">
        <f>IFERROR(INDEX($S$28:$S$158,ROW()-27),"")</f>
        <v/>
      </c>
      <c r="C137">
        <f>IFERROR(INDEX($W$28:$W$158,ROW()-27),"")</f>
        <v/>
      </c>
      <c r="D137">
        <f>IFERROR(INDEX($AA$28:$AA$158,ROW()-27),"")</f>
        <v/>
      </c>
      <c r="E137" s="27">
        <f>IFERROR(2*C137-B137,"")</f>
        <v/>
      </c>
      <c r="F137" s="27">
        <f>IFERROR(INDEX($E$16:$E$21,MATCH(YEAR(A137),$A$16:$A$21,0)),"")</f>
        <v/>
      </c>
    </row>
    <row r="138">
      <c r="A138" s="26">
        <f>IFERROR(INDEX($R$28:$R$158,ROW()-27),"")</f>
        <v/>
      </c>
      <c r="B138">
        <f>IFERROR(INDEX($S$28:$S$158,ROW()-27),"")</f>
        <v/>
      </c>
      <c r="C138">
        <f>IFERROR(INDEX($W$28:$W$158,ROW()-27),"")</f>
        <v/>
      </c>
      <c r="D138">
        <f>IFERROR(INDEX($AA$28:$AA$158,ROW()-27),"")</f>
        <v/>
      </c>
      <c r="E138" s="27">
        <f>IFERROR(2*C138-B138,"")</f>
        <v/>
      </c>
      <c r="F138" s="27">
        <f>IFERROR(INDEX($E$16:$E$21,MATCH(YEAR(A138),$A$16:$A$21,0)),"")</f>
        <v/>
      </c>
    </row>
    <row r="139">
      <c r="A139" s="26">
        <f>IFERROR(INDEX($R$28:$R$158,ROW()-27),"")</f>
        <v/>
      </c>
      <c r="B139">
        <f>IFERROR(INDEX($S$28:$S$158,ROW()-27),"")</f>
        <v/>
      </c>
      <c r="C139">
        <f>IFERROR(INDEX($W$28:$W$158,ROW()-27),"")</f>
        <v/>
      </c>
      <c r="D139">
        <f>IFERROR(INDEX($AA$28:$AA$158,ROW()-27),"")</f>
        <v/>
      </c>
      <c r="E139" s="27">
        <f>IFERROR(2*C139-B139,"")</f>
        <v/>
      </c>
      <c r="F139" s="27">
        <f>IFERROR(INDEX($E$16:$E$21,MATCH(YEAR(A139),$A$16:$A$21,0)),"")</f>
        <v/>
      </c>
    </row>
    <row r="140">
      <c r="A140" s="26">
        <f>IFERROR(INDEX($R$28:$R$158,ROW()-27),"")</f>
        <v/>
      </c>
      <c r="B140">
        <f>IFERROR(INDEX($S$28:$S$158,ROW()-27),"")</f>
        <v/>
      </c>
      <c r="C140">
        <f>IFERROR(INDEX($W$28:$W$158,ROW()-27),"")</f>
        <v/>
      </c>
      <c r="D140">
        <f>IFERROR(INDEX($AA$28:$AA$158,ROW()-27),"")</f>
        <v/>
      </c>
      <c r="E140" s="27">
        <f>IFERROR(2*C140-B140,"")</f>
        <v/>
      </c>
      <c r="F140" s="27">
        <f>IFERROR(INDEX($E$16:$E$21,MATCH(YEAR(A140),$A$16:$A$21,0)),"")</f>
        <v/>
      </c>
    </row>
    <row r="141">
      <c r="A141" s="26">
        <f>IFERROR(INDEX($R$28:$R$158,ROW()-27),"")</f>
        <v/>
      </c>
      <c r="B141">
        <f>IFERROR(INDEX($S$28:$S$158,ROW()-27),"")</f>
        <v/>
      </c>
      <c r="C141">
        <f>IFERROR(INDEX($W$28:$W$158,ROW()-27),"")</f>
        <v/>
      </c>
      <c r="D141">
        <f>IFERROR(INDEX($AA$28:$AA$158,ROW()-27),"")</f>
        <v/>
      </c>
      <c r="E141" s="27">
        <f>IFERROR(2*C141-B141,"")</f>
        <v/>
      </c>
      <c r="F141" s="27">
        <f>IFERROR(INDEX($E$16:$E$21,MATCH(YEAR(A141),$A$16:$A$21,0)),"")</f>
        <v/>
      </c>
    </row>
    <row r="142">
      <c r="A142" s="26">
        <f>IFERROR(INDEX($R$28:$R$158,ROW()-27),"")</f>
        <v/>
      </c>
      <c r="B142">
        <f>IFERROR(INDEX($S$28:$S$158,ROW()-27),"")</f>
        <v/>
      </c>
      <c r="C142">
        <f>IFERROR(INDEX($W$28:$W$158,ROW()-27),"")</f>
        <v/>
      </c>
      <c r="D142">
        <f>IFERROR(INDEX($AA$28:$AA$158,ROW()-27),"")</f>
        <v/>
      </c>
      <c r="E142" s="27">
        <f>IFERROR(2*C142-B142,"")</f>
        <v/>
      </c>
      <c r="F142" s="27">
        <f>IFERROR(INDEX($E$16:$E$21,MATCH(YEAR(A142),$A$16:$A$21,0)),"")</f>
        <v/>
      </c>
    </row>
    <row r="143">
      <c r="A143" s="26">
        <f>IFERROR(INDEX($R$28:$R$158,ROW()-27),"")</f>
        <v/>
      </c>
      <c r="B143">
        <f>IFERROR(INDEX($S$28:$S$158,ROW()-27),"")</f>
        <v/>
      </c>
      <c r="C143">
        <f>IFERROR(INDEX($W$28:$W$158,ROW()-27),"")</f>
        <v/>
      </c>
      <c r="D143">
        <f>IFERROR(INDEX($AA$28:$AA$158,ROW()-27),"")</f>
        <v/>
      </c>
      <c r="E143" s="27">
        <f>IFERROR(2*C143-B143,"")</f>
        <v/>
      </c>
      <c r="F143" s="27">
        <f>IFERROR(INDEX($E$16:$E$21,MATCH(YEAR(A143),$A$16:$A$21,0)),"")</f>
        <v/>
      </c>
    </row>
    <row r="144">
      <c r="A144" s="26">
        <f>IFERROR(INDEX($R$28:$R$158,ROW()-27),"")</f>
        <v/>
      </c>
      <c r="B144">
        <f>IFERROR(INDEX($S$28:$S$158,ROW()-27),"")</f>
        <v/>
      </c>
      <c r="C144">
        <f>IFERROR(INDEX($W$28:$W$158,ROW()-27),"")</f>
        <v/>
      </c>
      <c r="D144">
        <f>IFERROR(INDEX($AA$28:$AA$158,ROW()-27),"")</f>
        <v/>
      </c>
      <c r="E144" s="27">
        <f>IFERROR(2*C144-B144,"")</f>
        <v/>
      </c>
      <c r="F144" s="27">
        <f>IFERROR(INDEX($E$16:$E$21,MATCH(YEAR(A144),$A$16:$A$21,0)),"")</f>
        <v/>
      </c>
    </row>
    <row r="145">
      <c r="A145" s="26">
        <f>IFERROR(INDEX($R$28:$R$158,ROW()-27),"")</f>
        <v/>
      </c>
      <c r="B145">
        <f>IFERROR(INDEX($S$28:$S$158,ROW()-27),"")</f>
        <v/>
      </c>
      <c r="C145">
        <f>IFERROR(INDEX($W$28:$W$158,ROW()-27),"")</f>
        <v/>
      </c>
      <c r="D145">
        <f>IFERROR(INDEX($AA$28:$AA$158,ROW()-27),"")</f>
        <v/>
      </c>
      <c r="E145" s="27">
        <f>IFERROR(2*C145-B145,"")</f>
        <v/>
      </c>
      <c r="F145" s="27">
        <f>IFERROR(INDEX($E$16:$E$21,MATCH(YEAR(A145),$A$16:$A$21,0)),"")</f>
        <v/>
      </c>
    </row>
    <row r="146">
      <c r="A146" s="26">
        <f>IFERROR(INDEX($R$28:$R$158,ROW()-27),"")</f>
        <v/>
      </c>
      <c r="B146">
        <f>IFERROR(INDEX($S$28:$S$158,ROW()-27),"")</f>
        <v/>
      </c>
      <c r="C146">
        <f>IFERROR(INDEX($W$28:$W$158,ROW()-27),"")</f>
        <v/>
      </c>
      <c r="D146">
        <f>IFERROR(INDEX($AA$28:$AA$158,ROW()-27),"")</f>
        <v/>
      </c>
      <c r="E146" s="27">
        <f>IFERROR(2*C146-B146,"")</f>
        <v/>
      </c>
      <c r="F146" s="27">
        <f>IFERROR(INDEX($E$16:$E$21,MATCH(YEAR(A146),$A$16:$A$21,0)),"")</f>
        <v/>
      </c>
    </row>
    <row r="147">
      <c r="A147" s="26">
        <f>IFERROR(INDEX($R$28:$R$158,ROW()-27),"")</f>
        <v/>
      </c>
      <c r="B147">
        <f>IFERROR(INDEX($S$28:$S$158,ROW()-27),"")</f>
        <v/>
      </c>
      <c r="C147">
        <f>IFERROR(INDEX($W$28:$W$158,ROW()-27),"")</f>
        <v/>
      </c>
      <c r="D147">
        <f>IFERROR(INDEX($AA$28:$AA$158,ROW()-27),"")</f>
        <v/>
      </c>
      <c r="E147" s="27">
        <f>IFERROR(2*C147-B147,"")</f>
        <v/>
      </c>
      <c r="F147" s="27">
        <f>IFERROR(INDEX($E$16:$E$21,MATCH(YEAR(A147),$A$16:$A$21,0)),"")</f>
        <v/>
      </c>
    </row>
    <row r="148">
      <c r="A148" s="26">
        <f>IFERROR(INDEX($R$28:$R$158,ROW()-27),"")</f>
        <v/>
      </c>
      <c r="B148">
        <f>IFERROR(INDEX($S$28:$S$158,ROW()-27),"")</f>
        <v/>
      </c>
      <c r="C148">
        <f>IFERROR(INDEX($W$28:$W$158,ROW()-27),"")</f>
        <v/>
      </c>
      <c r="D148">
        <f>IFERROR(INDEX($AA$28:$AA$158,ROW()-27),"")</f>
        <v/>
      </c>
      <c r="E148" s="27">
        <f>IFERROR(2*C148-B148,"")</f>
        <v/>
      </c>
      <c r="F148" s="27">
        <f>IFERROR(INDEX($E$16:$E$21,MATCH(YEAR(A148),$A$16:$A$21,0)),"")</f>
        <v/>
      </c>
    </row>
    <row r="149">
      <c r="A149" s="26">
        <f>IFERROR(INDEX($R$28:$R$158,ROW()-27),"")</f>
        <v/>
      </c>
      <c r="B149">
        <f>IFERROR(INDEX($S$28:$S$158,ROW()-27),"")</f>
        <v/>
      </c>
      <c r="C149">
        <f>IFERROR(INDEX($W$28:$W$158,ROW()-27),"")</f>
        <v/>
      </c>
      <c r="D149">
        <f>IFERROR(INDEX($AA$28:$AA$158,ROW()-27),"")</f>
        <v/>
      </c>
      <c r="E149" s="27">
        <f>IFERROR(2*C149-B149,"")</f>
        <v/>
      </c>
      <c r="F149" s="27">
        <f>IFERROR(INDEX($E$16:$E$21,MATCH(YEAR(A149),$A$16:$A$21,0)),"")</f>
        <v/>
      </c>
    </row>
    <row r="150">
      <c r="A150" s="26">
        <f>IFERROR(INDEX($R$28:$R$158,ROW()-27),"")</f>
        <v/>
      </c>
      <c r="B150">
        <f>IFERROR(INDEX($S$28:$S$158,ROW()-27),"")</f>
        <v/>
      </c>
      <c r="C150">
        <f>IFERROR(INDEX($W$28:$W$158,ROW()-27),"")</f>
        <v/>
      </c>
      <c r="D150">
        <f>IFERROR(INDEX($AA$28:$AA$158,ROW()-27),"")</f>
        <v/>
      </c>
      <c r="E150" s="27">
        <f>IFERROR(2*C150-B150,"")</f>
        <v/>
      </c>
      <c r="F150" s="27">
        <f>IFERROR(INDEX($E$16:$E$21,MATCH(YEAR(A150),$A$16:$A$21,0)),"")</f>
        <v/>
      </c>
    </row>
    <row r="151">
      <c r="A151" s="26">
        <f>IFERROR(INDEX($R$28:$R$158,ROW()-27),"")</f>
        <v/>
      </c>
      <c r="B151">
        <f>IFERROR(INDEX($S$28:$S$158,ROW()-27),"")</f>
        <v/>
      </c>
      <c r="C151">
        <f>IFERROR(INDEX($W$28:$W$158,ROW()-27),"")</f>
        <v/>
      </c>
      <c r="D151">
        <f>IFERROR(INDEX($AA$28:$AA$158,ROW()-27),"")</f>
        <v/>
      </c>
      <c r="E151" s="27">
        <f>IFERROR(2*C151-B151,"")</f>
        <v/>
      </c>
      <c r="F151" s="27">
        <f>IFERROR(INDEX($E$16:$E$21,MATCH(YEAR(A151),$A$16:$A$21,0)),"")</f>
        <v/>
      </c>
    </row>
    <row r="152">
      <c r="A152" s="26">
        <f>IFERROR(INDEX($R$28:$R$158,ROW()-27),"")</f>
        <v/>
      </c>
      <c r="B152">
        <f>IFERROR(INDEX($S$28:$S$158,ROW()-27),"")</f>
        <v/>
      </c>
      <c r="C152">
        <f>IFERROR(INDEX($W$28:$W$158,ROW()-27),"")</f>
        <v/>
      </c>
      <c r="D152">
        <f>IFERROR(INDEX($AA$28:$AA$158,ROW()-27),"")</f>
        <v/>
      </c>
      <c r="E152" s="27">
        <f>IFERROR(2*C152-B152,"")</f>
        <v/>
      </c>
      <c r="F152" s="27">
        <f>IFERROR(INDEX($E$16:$E$21,MATCH(YEAR(A152),$A$16:$A$21,0)),"")</f>
        <v/>
      </c>
    </row>
    <row r="153">
      <c r="A153" s="26">
        <f>IFERROR(INDEX($R$28:$R$158,ROW()-27),"")</f>
        <v/>
      </c>
      <c r="B153">
        <f>IFERROR(INDEX($S$28:$S$158,ROW()-27),"")</f>
        <v/>
      </c>
      <c r="C153">
        <f>IFERROR(INDEX($W$28:$W$158,ROW()-27),"")</f>
        <v/>
      </c>
      <c r="D153">
        <f>IFERROR(INDEX($AA$28:$AA$158,ROW()-27),"")</f>
        <v/>
      </c>
      <c r="E153" s="27">
        <f>IFERROR(2*C153-B153,"")</f>
        <v/>
      </c>
      <c r="F153" s="27">
        <f>IFERROR(INDEX($E$16:$E$21,MATCH(YEAR(A153),$A$16:$A$21,0)),"")</f>
        <v/>
      </c>
    </row>
    <row r="154">
      <c r="A154" s="26">
        <f>IFERROR(INDEX($R$28:$R$158,ROW()-27),"")</f>
        <v/>
      </c>
      <c r="B154">
        <f>IFERROR(INDEX($S$28:$S$158,ROW()-27),"")</f>
        <v/>
      </c>
      <c r="C154">
        <f>IFERROR(INDEX($W$28:$W$158,ROW()-27),"")</f>
        <v/>
      </c>
      <c r="D154">
        <f>IFERROR(INDEX($AA$28:$AA$158,ROW()-27),"")</f>
        <v/>
      </c>
      <c r="E154" s="27">
        <f>IFERROR(2*C154-B154,"")</f>
        <v/>
      </c>
      <c r="F154" s="27">
        <f>IFERROR(INDEX($E$16:$E$21,MATCH(YEAR(A154),$A$16:$A$21,0)),"")</f>
        <v/>
      </c>
    </row>
    <row r="155">
      <c r="A155" s="26">
        <f>IFERROR(INDEX($R$28:$R$158,ROW()-27),"")</f>
        <v/>
      </c>
      <c r="B155">
        <f>IFERROR(INDEX($S$28:$S$158,ROW()-27),"")</f>
        <v/>
      </c>
      <c r="C155">
        <f>IFERROR(INDEX($W$28:$W$158,ROW()-27),"")</f>
        <v/>
      </c>
      <c r="D155">
        <f>IFERROR(INDEX($AA$28:$AA$158,ROW()-27),"")</f>
        <v/>
      </c>
      <c r="E155" s="27">
        <f>IFERROR(2*C155-B155,"")</f>
        <v/>
      </c>
      <c r="F155" s="27">
        <f>IFERROR(INDEX($E$16:$E$21,MATCH(YEAR(A155),$A$16:$A$21,0)),"")</f>
        <v/>
      </c>
    </row>
    <row r="156">
      <c r="A156" s="26">
        <f>IFERROR(INDEX($R$28:$R$158,ROW()-27),"")</f>
        <v/>
      </c>
      <c r="B156">
        <f>IFERROR(INDEX($S$28:$S$158,ROW()-27),"")</f>
        <v/>
      </c>
      <c r="C156">
        <f>IFERROR(INDEX($W$28:$W$158,ROW()-27),"")</f>
        <v/>
      </c>
      <c r="D156">
        <f>IFERROR(INDEX($AA$28:$AA$158,ROW()-27),"")</f>
        <v/>
      </c>
      <c r="E156" s="27">
        <f>IFERROR(2*C156-B156,"")</f>
        <v/>
      </c>
      <c r="F156" s="27">
        <f>IFERROR(INDEX($E$16:$E$21,MATCH(YEAR(A156),$A$16:$A$21,0)),"")</f>
        <v/>
      </c>
    </row>
    <row r="157">
      <c r="A157" s="26">
        <f>IFERROR(INDEX($R$28:$R$158,ROW()-27),"")</f>
        <v/>
      </c>
      <c r="B157">
        <f>IFERROR(INDEX($S$28:$S$158,ROW()-27),"")</f>
        <v/>
      </c>
      <c r="C157">
        <f>IFERROR(INDEX($W$28:$W$158,ROW()-27),"")</f>
        <v/>
      </c>
      <c r="D157">
        <f>IFERROR(INDEX($AA$28:$AA$158,ROW()-27),"")</f>
        <v/>
      </c>
      <c r="E157" s="27">
        <f>IFERROR(2*C157-B157,"")</f>
        <v/>
      </c>
      <c r="F157" s="27">
        <f>IFERROR(INDEX($E$16:$E$21,MATCH(YEAR(A157),$A$16:$A$21,0)),"")</f>
        <v/>
      </c>
    </row>
    <row r="160">
      <c r="A160" s="8" t="inlineStr">
        <is>
          <t>JYSO1 / JYSO2 are the standard JPY OIS convention but were not confirmed. If they do not resolve, the alternatives are the OIS curve off ICVS &lt;GO&gt; or the TONA swap tickers. JCPNEFEY is the core-core series and is on the register as VERIFY along with every other CPI identifier.</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BJ169"/>
  <sheetViews>
    <sheetView showGridLines="0" workbookViewId="0">
      <pane ySplit="4" topLeftCell="A5" activePane="bottomLeft" state="frozen"/>
      <selection pane="bottomLeft" activeCell="A1" sqref="A1"/>
    </sheetView>
  </sheetViews>
  <sheetFormatPr baseColWidth="8" defaultRowHeight="15"/>
  <cols>
    <col width="20" customWidth="1" min="1" max="1"/>
    <col width="13" customWidth="1" min="2" max="2"/>
    <col width="13" customWidth="1" min="3" max="3"/>
    <col width="13" customWidth="1" min="4" max="4"/>
    <col width="13" customWidth="1" min="5" max="5"/>
    <col width="13" customWidth="1" min="6" max="6"/>
    <col width="11" customWidth="1" min="7" max="7"/>
    <col width="12" customWidth="1" min="8" max="8"/>
    <col width="24" customWidth="1" min="9" max="9"/>
  </cols>
  <sheetData>
    <row r="1">
      <c r="A1" s="1" t="inlineStr">
        <is>
          <t>Curve slopes against their own 5-year range</t>
        </is>
      </c>
    </row>
    <row r="2">
      <c r="A2" s="2" t="inlineStr">
        <is>
          <t>Slide 2, exhibit 3. A slope in isolation means nothing. Against five years of its own history it tells you whether the steepener is already in the price.</t>
        </is>
      </c>
    </row>
    <row r="3" ht="4" customHeight="1">
      <c r="A3" s="3" t="n"/>
      <c r="B3" s="3" t="n"/>
      <c r="C3" s="3" t="n"/>
      <c r="D3" s="3" t="n"/>
      <c r="E3" s="3" t="n"/>
      <c r="F3" s="3" t="n"/>
      <c r="G3" s="3" t="n"/>
      <c r="H3" s="3" t="n"/>
      <c r="I3" s="3" t="n"/>
      <c r="J3" s="3" t="n"/>
      <c r="K3" s="3" t="n"/>
    </row>
    <row r="5">
      <c r="A5" s="4" t="inlineStr">
        <is>
          <t>What this measures, in one pass</t>
        </is>
      </c>
    </row>
    <row r="6" ht="46" customHeight="1">
      <c r="A6" s="10" t="inlineStr">
        <is>
          <t>The slope</t>
        </is>
      </c>
      <c r="B6" s="6" t="inlineStr">
        <is>
          <t>The long yield minus the short yield, in basis points. JGB 2s10s = the 10-year JGB yield less the 2-year. Positive means the curve is upward-sloping: you are paid more to lend for longer.</t>
        </is>
      </c>
    </row>
    <row r="7" ht="46" customHeight="1">
      <c r="A7" s="10" t="inlineStr">
        <is>
          <t>Why the range</t>
        </is>
      </c>
      <c r="B7" s="6" t="inlineStr">
        <is>
          <t>A slope of +148bp tells you nothing on its own. Wide or narrow compared with what? The grey band is the highest and lowest that same slope has been over the last five years, so the question becomes: given where this curve has traded, is today steep or flat?</t>
        </is>
      </c>
    </row>
    <row r="8" ht="46" customHeight="1">
      <c r="A8" s="10" t="inlineStr">
        <is>
          <t>The percentile</t>
        </is>
      </c>
      <c r="B8" s="6" t="inlineStr">
        <is>
          <t>Where today sits inside that band, 0% at the flattest five years and 100% at the steepest. Above 80% the steepening has already happened. Below 20% it has not.</t>
        </is>
      </c>
    </row>
    <row r="9" ht="46" customHeight="1">
      <c r="A9" s="10" t="inlineStr">
        <is>
          <t>Where the trade is</t>
        </is>
      </c>
      <c r="B9" s="6" t="inlineStr">
        <is>
          <t>You want to PAY for steepening where the percentile is low and the story is still ahead of you, and you want to be taking the other side — or just collecting carry — where the percentile is high and the consensus trade is already on.</t>
        </is>
      </c>
    </row>
    <row r="10" ht="46" customHeight="1">
      <c r="A10" s="10" t="inlineStr">
        <is>
          <t>The hook</t>
        </is>
      </c>
      <c r="B10" s="6" t="inlineStr">
        <is>
          <t>The curve everybody is talking about is usually the one already in the price. This chart finds the one nobody is talking about that is sitting at the bottom of its own five-year range.</t>
        </is>
      </c>
    </row>
    <row r="12">
      <c r="A12" s="4" t="inlineStr">
        <is>
          <t>The line to say when the chart goes up</t>
        </is>
      </c>
    </row>
    <row r="13" ht="32" customHeight="1">
      <c r="A13" s="28">
        <f>IF(COUNT(D18:D23)=0,"Refresh first — this sentence writes itself from the numbers.","The widest gap on this chart is "&amp;INDEX(A18:A23,MATCH(MAX(H18:H23),H18:H23,0))&amp;" at the "&amp;TEXT(MAX(H18:H23),"0%")&amp;" of its five-year range, against "&amp;INDEX(A18:A23,MATCH(MIN(H18:H23),H18:H23,0))&amp;" at the "&amp;TEXT(MIN(H18:H23),"0%")&amp;". One of those trades is already on. The other one is the opportunity.")</f>
        <v/>
      </c>
    </row>
    <row r="15">
      <c r="A15" s="8" t="inlineStr">
        <is>
          <t>A13 builds the punchline from the refreshed numbers rather than letting anyone type one. If the sentence it produces is not the argument you want to make, the argument is wrong, not the sentence.</t>
        </is>
      </c>
    </row>
    <row r="17" ht="18" customHeight="1">
      <c r="A17" s="9" t="inlineStr">
        <is>
          <t>Curve</t>
        </is>
      </c>
      <c r="B17" s="9" t="inlineStr">
        <is>
          <t>Long leg</t>
        </is>
      </c>
      <c r="C17" s="9" t="inlineStr">
        <is>
          <t>Short leg</t>
        </is>
      </c>
      <c r="D17" s="9" t="inlineStr">
        <is>
          <t>Slope now, bp</t>
        </is>
      </c>
      <c r="E17" s="9" t="inlineStr">
        <is>
          <t>5y min</t>
        </is>
      </c>
      <c r="F17" s="9" t="inlineStr">
        <is>
          <t>5y max</t>
        </is>
      </c>
      <c r="G17" s="9" t="inlineStr">
        <is>
          <t>5y mean</t>
        </is>
      </c>
      <c r="H17" s="9" t="inlineStr">
        <is>
          <t>Percentile</t>
        </is>
      </c>
      <c r="I17" s="9" t="inlineStr">
        <is>
          <t>Read</t>
        </is>
      </c>
    </row>
    <row r="18">
      <c r="A18" s="10" t="inlineStr">
        <is>
          <t>JGB 2s10s</t>
        </is>
      </c>
      <c r="B18" s="5" t="inlineStr">
        <is>
          <t>GTJPY10Y Govt</t>
        </is>
      </c>
      <c r="C18" s="5" t="inlineStr">
        <is>
          <t>GTJPY2Y Govt</t>
        </is>
      </c>
      <c r="D18" s="29">
        <f>IFERROR((BDP($B18,"PX_LAST")-BDP($C18,"PX_LAST"))*100,"")</f>
        <v/>
      </c>
      <c r="E18" s="30">
        <f>IFERROR(MIN(B$40:B$169),"")</f>
        <v/>
      </c>
      <c r="F18" s="30">
        <f>IFERROR(MAX(B$40:B$169),"")</f>
        <v/>
      </c>
      <c r="G18" s="30">
        <f>IFERROR(AVERAGE(B$40:B$169),"")</f>
        <v/>
      </c>
      <c r="H18" s="31">
        <f>IFERROR(PERCENTRANK.INC(B$40:B$169,D18),"")</f>
        <v/>
      </c>
      <c r="I18" s="12">
        <f>IF(H18="","",IF(H18&gt;0.8,"Steep vs history — already priced",IF(H18&lt;0.2,"Flat vs history — room to steepen","Mid-range")))</f>
        <v/>
      </c>
      <c r="J18" s="32">
        <f>IFERROR(F18-G18,"")</f>
        <v/>
      </c>
      <c r="K18" s="32">
        <f>IFERROR(G18-E18,"")</f>
        <v/>
      </c>
    </row>
    <row r="19">
      <c r="A19" s="10" t="inlineStr">
        <is>
          <t>JGB 10s30s</t>
        </is>
      </c>
      <c r="B19" s="5" t="inlineStr">
        <is>
          <t>GTJPY30Y Govt</t>
        </is>
      </c>
      <c r="C19" s="5" t="inlineStr">
        <is>
          <t>GTJPY10Y Govt</t>
        </is>
      </c>
      <c r="D19" s="29">
        <f>IFERROR((BDP($B19,"PX_LAST")-BDP($C19,"PX_LAST"))*100,"")</f>
        <v/>
      </c>
      <c r="E19" s="30">
        <f>IFERROR(MIN(C$40:C$169),"")</f>
        <v/>
      </c>
      <c r="F19" s="30">
        <f>IFERROR(MAX(C$40:C$169),"")</f>
        <v/>
      </c>
      <c r="G19" s="30">
        <f>IFERROR(AVERAGE(C$40:C$169),"")</f>
        <v/>
      </c>
      <c r="H19" s="31">
        <f>IFERROR(PERCENTRANK.INC(C$40:C$169,D19),"")</f>
        <v/>
      </c>
      <c r="I19" s="12">
        <f>IF(H19="","",IF(H19&gt;0.8,"Steep vs history — already priced",IF(H19&lt;0.2,"Flat vs history — room to steepen","Mid-range")))</f>
        <v/>
      </c>
      <c r="J19" s="32">
        <f>IFERROR(F19-G19,"")</f>
        <v/>
      </c>
      <c r="K19" s="32">
        <f>IFERROR(G19-E19,"")</f>
        <v/>
      </c>
    </row>
    <row r="20">
      <c r="A20" s="10" t="inlineStr">
        <is>
          <t>UST 2s10s</t>
        </is>
      </c>
      <c r="B20" s="5" t="inlineStr">
        <is>
          <t>USGG10YR Index</t>
        </is>
      </c>
      <c r="C20" s="5" t="inlineStr">
        <is>
          <t>USGG2YR Index</t>
        </is>
      </c>
      <c r="D20" s="29">
        <f>IFERROR((BDP($B20,"PX_LAST")-BDP($C20,"PX_LAST"))*100,"")</f>
        <v/>
      </c>
      <c r="E20" s="30">
        <f>IFERROR(MIN(D$40:D$169),"")</f>
        <v/>
      </c>
      <c r="F20" s="30">
        <f>IFERROR(MAX(D$40:D$169),"")</f>
        <v/>
      </c>
      <c r="G20" s="30">
        <f>IFERROR(AVERAGE(D$40:D$169),"")</f>
        <v/>
      </c>
      <c r="H20" s="31">
        <f>IFERROR(PERCENTRANK.INC(D$40:D$169,D20),"")</f>
        <v/>
      </c>
      <c r="I20" s="12">
        <f>IF(H20="","",IF(H20&gt;0.8,"Steep vs history — already priced",IF(H20&lt;0.2,"Flat vs history — room to steepen","Mid-range")))</f>
        <v/>
      </c>
      <c r="J20" s="32">
        <f>IFERROR(F20-G20,"")</f>
        <v/>
      </c>
      <c r="K20" s="32">
        <f>IFERROR(G20-E20,"")</f>
        <v/>
      </c>
    </row>
    <row r="21">
      <c r="A21" s="10" t="inlineStr">
        <is>
          <t>UST 5s30s</t>
        </is>
      </c>
      <c r="B21" s="5" t="inlineStr">
        <is>
          <t>USGG30YR Index</t>
        </is>
      </c>
      <c r="C21" s="5" t="inlineStr">
        <is>
          <t>USGG5YR Index</t>
        </is>
      </c>
      <c r="D21" s="29">
        <f>IFERROR((BDP($B21,"PX_LAST")-BDP($C21,"PX_LAST"))*100,"")</f>
        <v/>
      </c>
      <c r="E21" s="30">
        <f>IFERROR(MIN(E$40:E$169),"")</f>
        <v/>
      </c>
      <c r="F21" s="30">
        <f>IFERROR(MAX(E$40:E$169),"")</f>
        <v/>
      </c>
      <c r="G21" s="30">
        <f>IFERROR(AVERAGE(E$40:E$169),"")</f>
        <v/>
      </c>
      <c r="H21" s="31">
        <f>IFERROR(PERCENTRANK.INC(E$40:E$169,D21),"")</f>
        <v/>
      </c>
      <c r="I21" s="12">
        <f>IF(H21="","",IF(H21&gt;0.8,"Steep vs history — already priced",IF(H21&lt;0.2,"Flat vs history — room to steepen","Mid-range")))</f>
        <v/>
      </c>
      <c r="J21" s="32">
        <f>IFERROR(F21-G21,"")</f>
        <v/>
      </c>
      <c r="K21" s="32">
        <f>IFERROR(G21-E21,"")</f>
        <v/>
      </c>
    </row>
    <row r="22">
      <c r="A22" s="10" t="inlineStr">
        <is>
          <t>Bund 2s10s</t>
        </is>
      </c>
      <c r="B22" s="5" t="inlineStr">
        <is>
          <t>GTDEM10Y Govt</t>
        </is>
      </c>
      <c r="C22" s="5" t="inlineStr">
        <is>
          <t>GTDEM2Y Govt</t>
        </is>
      </c>
      <c r="D22" s="29">
        <f>IFERROR((BDP($B22,"PX_LAST")-BDP($C22,"PX_LAST"))*100,"")</f>
        <v/>
      </c>
      <c r="E22" s="30">
        <f>IFERROR(MIN(F$40:F$169),"")</f>
        <v/>
      </c>
      <c r="F22" s="30">
        <f>IFERROR(MAX(F$40:F$169),"")</f>
        <v/>
      </c>
      <c r="G22" s="30">
        <f>IFERROR(AVERAGE(F$40:F$169),"")</f>
        <v/>
      </c>
      <c r="H22" s="31">
        <f>IFERROR(PERCENTRANK.INC(F$40:F$169,D22),"")</f>
        <v/>
      </c>
      <c r="I22" s="12">
        <f>IF(H22="","",IF(H22&gt;0.8,"Steep vs history — already priced",IF(H22&lt;0.2,"Flat vs history — room to steepen","Mid-range")))</f>
        <v/>
      </c>
      <c r="J22" s="32">
        <f>IFERROR(F22-G22,"")</f>
        <v/>
      </c>
      <c r="K22" s="32">
        <f>IFERROR(G22-E22,"")</f>
        <v/>
      </c>
    </row>
    <row r="23">
      <c r="A23" s="10" t="inlineStr">
        <is>
          <t>KTB 3s10s</t>
        </is>
      </c>
      <c r="B23" s="5" t="inlineStr">
        <is>
          <t>GTKRW10Y Govt</t>
        </is>
      </c>
      <c r="C23" s="5" t="inlineStr">
        <is>
          <t>GTKRW3Y Govt</t>
        </is>
      </c>
      <c r="D23" s="29">
        <f>IFERROR((BDP($B23,"PX_LAST")-BDP($C23,"PX_LAST"))*100,"")</f>
        <v/>
      </c>
      <c r="E23" s="30">
        <f>IFERROR(MIN(G$40:G$169),"")</f>
        <v/>
      </c>
      <c r="F23" s="30">
        <f>IFERROR(MAX(G$40:G$169),"")</f>
        <v/>
      </c>
      <c r="G23" s="30">
        <f>IFERROR(AVERAGE(G$40:G$169),"")</f>
        <v/>
      </c>
      <c r="H23" s="31">
        <f>IFERROR(PERCENTRANK.INC(G$40:G$169,D23),"")</f>
        <v/>
      </c>
      <c r="I23" s="12">
        <f>IF(H23="","",IF(H23&gt;0.8,"Steep vs history — already priced",IF(H23&lt;0.2,"Flat vs history — room to steepen","Mid-range")))</f>
        <v/>
      </c>
      <c r="J23" s="32">
        <f>IFERROR(F23-G23,"")</f>
        <v/>
      </c>
      <c r="K23" s="32">
        <f>IFERROR(G23-E23,"")</f>
        <v/>
      </c>
    </row>
    <row r="25">
      <c r="A25" s="8" t="inlineStr">
        <is>
          <t>Trade 2 is a US 5s30s steepener, and this tab is where it gets checked. If UST 2s10s is already in the top quintile of its five-year range the entry is late, and the honest answer in the room is that the trade is a carry position rather than a directional one. The exhibit is drawn to make that visible rather than to hide it.</t>
        </is>
      </c>
    </row>
    <row r="28">
      <c r="A28" s="8" t="inlineStr">
        <is>
          <t>Slopes are computed from two live yields rather than pulled as a spread ticker, so the legs are visible and a wrong tenor shows up immediately. The cost is ten BDP calls instead of five, which is nothing against the daily limit.</t>
        </is>
      </c>
    </row>
    <row r="31">
      <c r="A31" s="8" t="inlineStr">
        <is>
          <t>Bund 2s10s is on the chart as the control. Four of these five curves are being driven by the same thing — the long end of the US curve — and a comparator outside the region is what shows whether a slope is telling you something local or just repeating the UST move.</t>
        </is>
      </c>
    </row>
    <row r="34">
      <c r="A34" s="4" t="inlineStr">
        <is>
          <t>Date alignment check</t>
        </is>
      </c>
      <c r="C34" s="4">
        <f>IFERROR(SUMPRODUCT(--($R$40:$R$170&lt;&gt;"")*($V$40:$V$170&lt;&gt;"")*($R$40:$R$170&lt;&gt;$V$40:$V$170))+SUMPRODUCT(--($R$40:$R$170&lt;&gt;"")*($Z$40:$Z$170&lt;&gt;"")*($R$40:$R$170&lt;&gt;$Z$40:$Z$170))+SUMPRODUCT(--($R$40:$R$170&lt;&gt;"")*($AD$40:$AD$170&lt;&gt;"")*($R$40:$R$170&lt;&gt;$AD$40:$AD$170))+SUMPRODUCT(--($R$40:$R$170&lt;&gt;"")*($AH$40:$AH$170&lt;&gt;"")*($R$40:$R$170&lt;&gt;$AH$40:$AH$170))+SUMPRODUCT(--($R$40:$R$170&lt;&gt;"")*($AL$40:$AL$170&lt;&gt;"")*($R$40:$R$170&lt;&gt;$AL$40:$AL$170))+SUMPRODUCT(--($R$40:$R$170&lt;&gt;"")*($AP$40:$AP$170&lt;&gt;"")*($R$40:$R$170&lt;&gt;$AP$40:$AP$170))+SUMPRODUCT(--($R$40:$R$170&lt;&gt;"")*($AT$40:$AT$170&lt;&gt;"")*($R$40:$R$170&lt;&gt;$AT$40:$AT$170))+SUMPRODUCT(--($R$40:$R$170&lt;&gt;"")*($AX$40:$AX$170&lt;&gt;"")*($R$40:$R$170&lt;&gt;$AX$40:$AX$170))+SUMPRODUCT(--($R$40:$R$170&lt;&gt;"")*($BB$40:$BB$170&lt;&gt;"")*($R$40:$R$170&lt;&gt;$BB$40:$BB$170))+SUMPRODUCT(--($R$40:$R$170&lt;&gt;"")*($BF$40:$BF$170&lt;&gt;"")*($R$40:$R$170&lt;&gt;$BF$40:$BF$170))+SUMPRODUCT(--($R$40:$R$170&lt;&gt;"")*($BJ$40:$BJ$170&lt;&gt;"")*($R$40:$R$170&lt;&gt;$BJ$40:$BJ$170)),"")</f>
        <v/>
      </c>
      <c r="D34" s="2">
        <f>IF(C34="","",IF(C34=0,"OK — blocks are row-aligned","MISALIGNED: "&amp;C34&amp;" rows differ. Do not use these numbers; switch the value columns to INDEX/MATCH on the date."))</f>
        <v/>
      </c>
    </row>
    <row r="36">
      <c r="R36" s="8" t="inlineStr">
        <is>
          <t>Staging — one BQL call per security. Each spills DATE and value; the working columns on the left look them up by date. Blocks: R = JGB 2s10s long · V = JGB 2s10s short · Z = JGB 10s30s long · AD = JGB 10s30s short · AH = UST 2s10s long · AL = UST 2s10s short · AP = UST 5s30s long · AT = UST 5s30s short · AX = Bund 2s10s long · BB = Bund 2s10s short · BF = KTB 3s10s long · BJ = KTB 3s10s short.  If a block comes back with an extra ID column, shift that block's value column by one — nothing else needs to change.</t>
        </is>
      </c>
    </row>
    <row r="38">
      <c r="A38" s="4" t="inlineStr">
        <is>
          <t>Slope history, monthly — 5 years, bp</t>
        </is>
      </c>
      <c r="R38" s="7">
        <f>BQL("GTJPY10Y Govt","px_last(frq=M, dates=range("&amp;TEXT(Start5Y,"yyyy-mm-dd")&amp;","&amp;TEXT(AsOf,"yyyy-mm-dd")&amp;"), fill=prev)")</f>
        <v/>
      </c>
      <c r="V38" s="7">
        <f>BQL("GTJPY2Y Govt","px_last(frq=M, dates=range("&amp;TEXT(Start5Y,"yyyy-mm-dd")&amp;","&amp;TEXT(AsOf,"yyyy-mm-dd")&amp;"), fill=prev)")</f>
        <v/>
      </c>
      <c r="Z38" s="7">
        <f>BQL("GTJPY30Y Govt","px_last(frq=M, dates=range("&amp;TEXT(Start5Y,"yyyy-mm-dd")&amp;","&amp;TEXT(AsOf,"yyyy-mm-dd")&amp;"), fill=prev)")</f>
        <v/>
      </c>
      <c r="AD38" s="7">
        <f>BQL("GTJPY10Y Govt","px_last(frq=M, dates=range("&amp;TEXT(Start5Y,"yyyy-mm-dd")&amp;","&amp;TEXT(AsOf,"yyyy-mm-dd")&amp;"), fill=prev)")</f>
        <v/>
      </c>
      <c r="AH38" s="7">
        <f>BQL("USGG10YR Index","px_last(frq=M, dates=range("&amp;TEXT(Start5Y,"yyyy-mm-dd")&amp;","&amp;TEXT(AsOf,"yyyy-mm-dd")&amp;"), fill=prev)")</f>
        <v/>
      </c>
      <c r="AL38" s="7">
        <f>BQL("USGG2YR Index","px_last(frq=M, dates=range("&amp;TEXT(Start5Y,"yyyy-mm-dd")&amp;","&amp;TEXT(AsOf,"yyyy-mm-dd")&amp;"), fill=prev)")</f>
        <v/>
      </c>
      <c r="AP38" s="7">
        <f>BQL("USGG30YR Index","px_last(frq=M, dates=range("&amp;TEXT(Start5Y,"yyyy-mm-dd")&amp;","&amp;TEXT(AsOf,"yyyy-mm-dd")&amp;"), fill=prev)")</f>
        <v/>
      </c>
      <c r="AT38" s="7">
        <f>BQL("USGG5YR Index","px_last(frq=M, dates=range("&amp;TEXT(Start5Y,"yyyy-mm-dd")&amp;","&amp;TEXT(AsOf,"yyyy-mm-dd")&amp;"), fill=prev)")</f>
        <v/>
      </c>
      <c r="AX38" s="7">
        <f>BQL("GTDEM10Y Govt","px_last(frq=M, dates=range("&amp;TEXT(Start5Y,"yyyy-mm-dd")&amp;","&amp;TEXT(AsOf,"yyyy-mm-dd")&amp;"), fill=prev)")</f>
        <v/>
      </c>
      <c r="BB38" s="7">
        <f>BQL("GTDEM2Y Govt","px_last(frq=M, dates=range("&amp;TEXT(Start5Y,"yyyy-mm-dd")&amp;","&amp;TEXT(AsOf,"yyyy-mm-dd")&amp;"), fill=prev)")</f>
        <v/>
      </c>
      <c r="BF38" s="7">
        <f>BQL("GTKRW10Y Govt","px_last(frq=M, dates=range("&amp;TEXT(Start5Y,"yyyy-mm-dd")&amp;","&amp;TEXT(AsOf,"yyyy-mm-dd")&amp;"), fill=prev)")</f>
        <v/>
      </c>
      <c r="BJ38" s="7">
        <f>BQL("GTKRW3Y Govt","px_last(frq=M, dates=range("&amp;TEXT(Start5Y,"yyyy-mm-dd")&amp;","&amp;TEXT(AsOf,"yyyy-mm-dd")&amp;"), fill=prev)")</f>
        <v/>
      </c>
    </row>
    <row r="39" ht="18" customHeight="1">
      <c r="A39" s="9" t="inlineStr">
        <is>
          <t>Date</t>
        </is>
      </c>
      <c r="B39" s="9" t="inlineStr">
        <is>
          <t>JGB 2s10s</t>
        </is>
      </c>
      <c r="C39" s="9" t="inlineStr">
        <is>
          <t>JGB 10s30s</t>
        </is>
      </c>
      <c r="D39" s="9" t="inlineStr">
        <is>
          <t>UST 2s10s</t>
        </is>
      </c>
      <c r="E39" s="9" t="inlineStr">
        <is>
          <t>UST 5s30s</t>
        </is>
      </c>
      <c r="F39" s="9" t="inlineStr">
        <is>
          <t>Bund 2s10s</t>
        </is>
      </c>
      <c r="G39" s="9" t="inlineStr">
        <is>
          <t>KTB 3s10s</t>
        </is>
      </c>
    </row>
    <row r="40">
      <c r="A40" s="26">
        <f>IFERROR(INDEX($R$40:$R$170,ROW()-39),"")</f>
        <v/>
      </c>
      <c r="B40" s="33">
        <f>IFERROR((INDEX($S$40:$S$170,ROW()-39)-INDEX($W$40:$W$170,ROW()-39))*100,"")</f>
        <v/>
      </c>
      <c r="C40" s="33">
        <f>IFERROR((INDEX($AA$40:$AA$170,ROW()-39)-INDEX($AE$40:$AE$170,ROW()-39))*100,"")</f>
        <v/>
      </c>
      <c r="D40" s="33">
        <f>IFERROR((INDEX($AI$40:$AI$170,ROW()-39)-INDEX($AM$40:$AM$170,ROW()-39))*100,"")</f>
        <v/>
      </c>
      <c r="E40" s="33">
        <f>IFERROR((INDEX($AQ$40:$AQ$170,ROW()-39)-INDEX($AU$40:$AU$170,ROW()-39))*100,"")</f>
        <v/>
      </c>
      <c r="F40" s="33">
        <f>IFERROR((INDEX($AY$40:$AY$170,ROW()-39)-INDEX($BC$40:$BC$170,ROW()-39))*100,"")</f>
        <v/>
      </c>
      <c r="G40" s="33">
        <f>IFERROR((INDEX($BG$40:$BG$170,ROW()-39)-INDEX($BK$40:$BK$170,ROW()-39))*100,"")</f>
        <v/>
      </c>
    </row>
    <row r="41">
      <c r="A41" s="26">
        <f>IFERROR(INDEX($R$40:$R$170,ROW()-39),"")</f>
        <v/>
      </c>
      <c r="B41" s="33">
        <f>IFERROR((INDEX($S$40:$S$170,ROW()-39)-INDEX($W$40:$W$170,ROW()-39))*100,"")</f>
        <v/>
      </c>
      <c r="C41" s="33">
        <f>IFERROR((INDEX($AA$40:$AA$170,ROW()-39)-INDEX($AE$40:$AE$170,ROW()-39))*100,"")</f>
        <v/>
      </c>
      <c r="D41" s="33">
        <f>IFERROR((INDEX($AI$40:$AI$170,ROW()-39)-INDEX($AM$40:$AM$170,ROW()-39))*100,"")</f>
        <v/>
      </c>
      <c r="E41" s="33">
        <f>IFERROR((INDEX($AQ$40:$AQ$170,ROW()-39)-INDEX($AU$40:$AU$170,ROW()-39))*100,"")</f>
        <v/>
      </c>
      <c r="F41" s="33">
        <f>IFERROR((INDEX($AY$40:$AY$170,ROW()-39)-INDEX($BC$40:$BC$170,ROW()-39))*100,"")</f>
        <v/>
      </c>
      <c r="G41" s="33">
        <f>IFERROR((INDEX($BG$40:$BG$170,ROW()-39)-INDEX($BK$40:$BK$170,ROW()-39))*100,"")</f>
        <v/>
      </c>
    </row>
    <row r="42">
      <c r="A42" s="26">
        <f>IFERROR(INDEX($R$40:$R$170,ROW()-39),"")</f>
        <v/>
      </c>
      <c r="B42" s="33">
        <f>IFERROR((INDEX($S$40:$S$170,ROW()-39)-INDEX($W$40:$W$170,ROW()-39))*100,"")</f>
        <v/>
      </c>
      <c r="C42" s="33">
        <f>IFERROR((INDEX($AA$40:$AA$170,ROW()-39)-INDEX($AE$40:$AE$170,ROW()-39))*100,"")</f>
        <v/>
      </c>
      <c r="D42" s="33">
        <f>IFERROR((INDEX($AI$40:$AI$170,ROW()-39)-INDEX($AM$40:$AM$170,ROW()-39))*100,"")</f>
        <v/>
      </c>
      <c r="E42" s="33">
        <f>IFERROR((INDEX($AQ$40:$AQ$170,ROW()-39)-INDEX($AU$40:$AU$170,ROW()-39))*100,"")</f>
        <v/>
      </c>
      <c r="F42" s="33">
        <f>IFERROR((INDEX($AY$40:$AY$170,ROW()-39)-INDEX($BC$40:$BC$170,ROW()-39))*100,"")</f>
        <v/>
      </c>
      <c r="G42" s="33">
        <f>IFERROR((INDEX($BG$40:$BG$170,ROW()-39)-INDEX($BK$40:$BK$170,ROW()-39))*100,"")</f>
        <v/>
      </c>
    </row>
    <row r="43">
      <c r="A43" s="26">
        <f>IFERROR(INDEX($R$40:$R$170,ROW()-39),"")</f>
        <v/>
      </c>
      <c r="B43" s="33">
        <f>IFERROR((INDEX($S$40:$S$170,ROW()-39)-INDEX($W$40:$W$170,ROW()-39))*100,"")</f>
        <v/>
      </c>
      <c r="C43" s="33">
        <f>IFERROR((INDEX($AA$40:$AA$170,ROW()-39)-INDEX($AE$40:$AE$170,ROW()-39))*100,"")</f>
        <v/>
      </c>
      <c r="D43" s="33">
        <f>IFERROR((INDEX($AI$40:$AI$170,ROW()-39)-INDEX($AM$40:$AM$170,ROW()-39))*100,"")</f>
        <v/>
      </c>
      <c r="E43" s="33">
        <f>IFERROR((INDEX($AQ$40:$AQ$170,ROW()-39)-INDEX($AU$40:$AU$170,ROW()-39))*100,"")</f>
        <v/>
      </c>
      <c r="F43" s="33">
        <f>IFERROR((INDEX($AY$40:$AY$170,ROW()-39)-INDEX($BC$40:$BC$170,ROW()-39))*100,"")</f>
        <v/>
      </c>
      <c r="G43" s="33">
        <f>IFERROR((INDEX($BG$40:$BG$170,ROW()-39)-INDEX($BK$40:$BK$170,ROW()-39))*100,"")</f>
        <v/>
      </c>
    </row>
    <row r="44">
      <c r="A44" s="26">
        <f>IFERROR(INDEX($R$40:$R$170,ROW()-39),"")</f>
        <v/>
      </c>
      <c r="B44" s="33">
        <f>IFERROR((INDEX($S$40:$S$170,ROW()-39)-INDEX($W$40:$W$170,ROW()-39))*100,"")</f>
        <v/>
      </c>
      <c r="C44" s="33">
        <f>IFERROR((INDEX($AA$40:$AA$170,ROW()-39)-INDEX($AE$40:$AE$170,ROW()-39))*100,"")</f>
        <v/>
      </c>
      <c r="D44" s="33">
        <f>IFERROR((INDEX($AI$40:$AI$170,ROW()-39)-INDEX($AM$40:$AM$170,ROW()-39))*100,"")</f>
        <v/>
      </c>
      <c r="E44" s="33">
        <f>IFERROR((INDEX($AQ$40:$AQ$170,ROW()-39)-INDEX($AU$40:$AU$170,ROW()-39))*100,"")</f>
        <v/>
      </c>
      <c r="F44" s="33">
        <f>IFERROR((INDEX($AY$40:$AY$170,ROW()-39)-INDEX($BC$40:$BC$170,ROW()-39))*100,"")</f>
        <v/>
      </c>
      <c r="G44" s="33">
        <f>IFERROR((INDEX($BG$40:$BG$170,ROW()-39)-INDEX($BK$40:$BK$170,ROW()-39))*100,"")</f>
        <v/>
      </c>
    </row>
    <row r="45">
      <c r="A45" s="26">
        <f>IFERROR(INDEX($R$40:$R$170,ROW()-39),"")</f>
        <v/>
      </c>
      <c r="B45" s="33">
        <f>IFERROR((INDEX($S$40:$S$170,ROW()-39)-INDEX($W$40:$W$170,ROW()-39))*100,"")</f>
        <v/>
      </c>
      <c r="C45" s="33">
        <f>IFERROR((INDEX($AA$40:$AA$170,ROW()-39)-INDEX($AE$40:$AE$170,ROW()-39))*100,"")</f>
        <v/>
      </c>
      <c r="D45" s="33">
        <f>IFERROR((INDEX($AI$40:$AI$170,ROW()-39)-INDEX($AM$40:$AM$170,ROW()-39))*100,"")</f>
        <v/>
      </c>
      <c r="E45" s="33">
        <f>IFERROR((INDEX($AQ$40:$AQ$170,ROW()-39)-INDEX($AU$40:$AU$170,ROW()-39))*100,"")</f>
        <v/>
      </c>
      <c r="F45" s="33">
        <f>IFERROR((INDEX($AY$40:$AY$170,ROW()-39)-INDEX($BC$40:$BC$170,ROW()-39))*100,"")</f>
        <v/>
      </c>
      <c r="G45" s="33">
        <f>IFERROR((INDEX($BG$40:$BG$170,ROW()-39)-INDEX($BK$40:$BK$170,ROW()-39))*100,"")</f>
        <v/>
      </c>
    </row>
    <row r="46">
      <c r="A46" s="26">
        <f>IFERROR(INDEX($R$40:$R$170,ROW()-39),"")</f>
        <v/>
      </c>
      <c r="B46" s="33">
        <f>IFERROR((INDEX($S$40:$S$170,ROW()-39)-INDEX($W$40:$W$170,ROW()-39))*100,"")</f>
        <v/>
      </c>
      <c r="C46" s="33">
        <f>IFERROR((INDEX($AA$40:$AA$170,ROW()-39)-INDEX($AE$40:$AE$170,ROW()-39))*100,"")</f>
        <v/>
      </c>
      <c r="D46" s="33">
        <f>IFERROR((INDEX($AI$40:$AI$170,ROW()-39)-INDEX($AM$40:$AM$170,ROW()-39))*100,"")</f>
        <v/>
      </c>
      <c r="E46" s="33">
        <f>IFERROR((INDEX($AQ$40:$AQ$170,ROW()-39)-INDEX($AU$40:$AU$170,ROW()-39))*100,"")</f>
        <v/>
      </c>
      <c r="F46" s="33">
        <f>IFERROR((INDEX($AY$40:$AY$170,ROW()-39)-INDEX($BC$40:$BC$170,ROW()-39))*100,"")</f>
        <v/>
      </c>
      <c r="G46" s="33">
        <f>IFERROR((INDEX($BG$40:$BG$170,ROW()-39)-INDEX($BK$40:$BK$170,ROW()-39))*100,"")</f>
        <v/>
      </c>
    </row>
    <row r="47">
      <c r="A47" s="26">
        <f>IFERROR(INDEX($R$40:$R$170,ROW()-39),"")</f>
        <v/>
      </c>
      <c r="B47" s="33">
        <f>IFERROR((INDEX($S$40:$S$170,ROW()-39)-INDEX($W$40:$W$170,ROW()-39))*100,"")</f>
        <v/>
      </c>
      <c r="C47" s="33">
        <f>IFERROR((INDEX($AA$40:$AA$170,ROW()-39)-INDEX($AE$40:$AE$170,ROW()-39))*100,"")</f>
        <v/>
      </c>
      <c r="D47" s="33">
        <f>IFERROR((INDEX($AI$40:$AI$170,ROW()-39)-INDEX($AM$40:$AM$170,ROW()-39))*100,"")</f>
        <v/>
      </c>
      <c r="E47" s="33">
        <f>IFERROR((INDEX($AQ$40:$AQ$170,ROW()-39)-INDEX($AU$40:$AU$170,ROW()-39))*100,"")</f>
        <v/>
      </c>
      <c r="F47" s="33">
        <f>IFERROR((INDEX($AY$40:$AY$170,ROW()-39)-INDEX($BC$40:$BC$170,ROW()-39))*100,"")</f>
        <v/>
      </c>
      <c r="G47" s="33">
        <f>IFERROR((INDEX($BG$40:$BG$170,ROW()-39)-INDEX($BK$40:$BK$170,ROW()-39))*100,"")</f>
        <v/>
      </c>
    </row>
    <row r="48">
      <c r="A48" s="26">
        <f>IFERROR(INDEX($R$40:$R$170,ROW()-39),"")</f>
        <v/>
      </c>
      <c r="B48" s="33">
        <f>IFERROR((INDEX($S$40:$S$170,ROW()-39)-INDEX($W$40:$W$170,ROW()-39))*100,"")</f>
        <v/>
      </c>
      <c r="C48" s="33">
        <f>IFERROR((INDEX($AA$40:$AA$170,ROW()-39)-INDEX($AE$40:$AE$170,ROW()-39))*100,"")</f>
        <v/>
      </c>
      <c r="D48" s="33">
        <f>IFERROR((INDEX($AI$40:$AI$170,ROW()-39)-INDEX($AM$40:$AM$170,ROW()-39))*100,"")</f>
        <v/>
      </c>
      <c r="E48" s="33">
        <f>IFERROR((INDEX($AQ$40:$AQ$170,ROW()-39)-INDEX($AU$40:$AU$170,ROW()-39))*100,"")</f>
        <v/>
      </c>
      <c r="F48" s="33">
        <f>IFERROR((INDEX($AY$40:$AY$170,ROW()-39)-INDEX($BC$40:$BC$170,ROW()-39))*100,"")</f>
        <v/>
      </c>
      <c r="G48" s="33">
        <f>IFERROR((INDEX($BG$40:$BG$170,ROW()-39)-INDEX($BK$40:$BK$170,ROW()-39))*100,"")</f>
        <v/>
      </c>
    </row>
    <row r="49">
      <c r="A49" s="26">
        <f>IFERROR(INDEX($R$40:$R$170,ROW()-39),"")</f>
        <v/>
      </c>
      <c r="B49" s="33">
        <f>IFERROR((INDEX($S$40:$S$170,ROW()-39)-INDEX($W$40:$W$170,ROW()-39))*100,"")</f>
        <v/>
      </c>
      <c r="C49" s="33">
        <f>IFERROR((INDEX($AA$40:$AA$170,ROW()-39)-INDEX($AE$40:$AE$170,ROW()-39))*100,"")</f>
        <v/>
      </c>
      <c r="D49" s="33">
        <f>IFERROR((INDEX($AI$40:$AI$170,ROW()-39)-INDEX($AM$40:$AM$170,ROW()-39))*100,"")</f>
        <v/>
      </c>
      <c r="E49" s="33">
        <f>IFERROR((INDEX($AQ$40:$AQ$170,ROW()-39)-INDEX($AU$40:$AU$170,ROW()-39))*100,"")</f>
        <v/>
      </c>
      <c r="F49" s="33">
        <f>IFERROR((INDEX($AY$40:$AY$170,ROW()-39)-INDEX($BC$40:$BC$170,ROW()-39))*100,"")</f>
        <v/>
      </c>
      <c r="G49" s="33">
        <f>IFERROR((INDEX($BG$40:$BG$170,ROW()-39)-INDEX($BK$40:$BK$170,ROW()-39))*100,"")</f>
        <v/>
      </c>
    </row>
    <row r="50">
      <c r="A50" s="26">
        <f>IFERROR(INDEX($R$40:$R$170,ROW()-39),"")</f>
        <v/>
      </c>
      <c r="B50" s="33">
        <f>IFERROR((INDEX($S$40:$S$170,ROW()-39)-INDEX($W$40:$W$170,ROW()-39))*100,"")</f>
        <v/>
      </c>
      <c r="C50" s="33">
        <f>IFERROR((INDEX($AA$40:$AA$170,ROW()-39)-INDEX($AE$40:$AE$170,ROW()-39))*100,"")</f>
        <v/>
      </c>
      <c r="D50" s="33">
        <f>IFERROR((INDEX($AI$40:$AI$170,ROW()-39)-INDEX($AM$40:$AM$170,ROW()-39))*100,"")</f>
        <v/>
      </c>
      <c r="E50" s="33">
        <f>IFERROR((INDEX($AQ$40:$AQ$170,ROW()-39)-INDEX($AU$40:$AU$170,ROW()-39))*100,"")</f>
        <v/>
      </c>
      <c r="F50" s="33">
        <f>IFERROR((INDEX($AY$40:$AY$170,ROW()-39)-INDEX($BC$40:$BC$170,ROW()-39))*100,"")</f>
        <v/>
      </c>
      <c r="G50" s="33">
        <f>IFERROR((INDEX($BG$40:$BG$170,ROW()-39)-INDEX($BK$40:$BK$170,ROW()-39))*100,"")</f>
        <v/>
      </c>
    </row>
    <row r="51">
      <c r="A51" s="26">
        <f>IFERROR(INDEX($R$40:$R$170,ROW()-39),"")</f>
        <v/>
      </c>
      <c r="B51" s="33">
        <f>IFERROR((INDEX($S$40:$S$170,ROW()-39)-INDEX($W$40:$W$170,ROW()-39))*100,"")</f>
        <v/>
      </c>
      <c r="C51" s="33">
        <f>IFERROR((INDEX($AA$40:$AA$170,ROW()-39)-INDEX($AE$40:$AE$170,ROW()-39))*100,"")</f>
        <v/>
      </c>
      <c r="D51" s="33">
        <f>IFERROR((INDEX($AI$40:$AI$170,ROW()-39)-INDEX($AM$40:$AM$170,ROW()-39))*100,"")</f>
        <v/>
      </c>
      <c r="E51" s="33">
        <f>IFERROR((INDEX($AQ$40:$AQ$170,ROW()-39)-INDEX($AU$40:$AU$170,ROW()-39))*100,"")</f>
        <v/>
      </c>
      <c r="F51" s="33">
        <f>IFERROR((INDEX($AY$40:$AY$170,ROW()-39)-INDEX($BC$40:$BC$170,ROW()-39))*100,"")</f>
        <v/>
      </c>
      <c r="G51" s="33">
        <f>IFERROR((INDEX($BG$40:$BG$170,ROW()-39)-INDEX($BK$40:$BK$170,ROW()-39))*100,"")</f>
        <v/>
      </c>
    </row>
    <row r="52">
      <c r="A52" s="26">
        <f>IFERROR(INDEX($R$40:$R$170,ROW()-39),"")</f>
        <v/>
      </c>
      <c r="B52" s="33">
        <f>IFERROR((INDEX($S$40:$S$170,ROW()-39)-INDEX($W$40:$W$170,ROW()-39))*100,"")</f>
        <v/>
      </c>
      <c r="C52" s="33">
        <f>IFERROR((INDEX($AA$40:$AA$170,ROW()-39)-INDEX($AE$40:$AE$170,ROW()-39))*100,"")</f>
        <v/>
      </c>
      <c r="D52" s="33">
        <f>IFERROR((INDEX($AI$40:$AI$170,ROW()-39)-INDEX($AM$40:$AM$170,ROW()-39))*100,"")</f>
        <v/>
      </c>
      <c r="E52" s="33">
        <f>IFERROR((INDEX($AQ$40:$AQ$170,ROW()-39)-INDEX($AU$40:$AU$170,ROW()-39))*100,"")</f>
        <v/>
      </c>
      <c r="F52" s="33">
        <f>IFERROR((INDEX($AY$40:$AY$170,ROW()-39)-INDEX($BC$40:$BC$170,ROW()-39))*100,"")</f>
        <v/>
      </c>
      <c r="G52" s="33">
        <f>IFERROR((INDEX($BG$40:$BG$170,ROW()-39)-INDEX($BK$40:$BK$170,ROW()-39))*100,"")</f>
        <v/>
      </c>
    </row>
    <row r="53">
      <c r="A53" s="26">
        <f>IFERROR(INDEX($R$40:$R$170,ROW()-39),"")</f>
        <v/>
      </c>
      <c r="B53" s="33">
        <f>IFERROR((INDEX($S$40:$S$170,ROW()-39)-INDEX($W$40:$W$170,ROW()-39))*100,"")</f>
        <v/>
      </c>
      <c r="C53" s="33">
        <f>IFERROR((INDEX($AA$40:$AA$170,ROW()-39)-INDEX($AE$40:$AE$170,ROW()-39))*100,"")</f>
        <v/>
      </c>
      <c r="D53" s="33">
        <f>IFERROR((INDEX($AI$40:$AI$170,ROW()-39)-INDEX($AM$40:$AM$170,ROW()-39))*100,"")</f>
        <v/>
      </c>
      <c r="E53" s="33">
        <f>IFERROR((INDEX($AQ$40:$AQ$170,ROW()-39)-INDEX($AU$40:$AU$170,ROW()-39))*100,"")</f>
        <v/>
      </c>
      <c r="F53" s="33">
        <f>IFERROR((INDEX($AY$40:$AY$170,ROW()-39)-INDEX($BC$40:$BC$170,ROW()-39))*100,"")</f>
        <v/>
      </c>
      <c r="G53" s="33">
        <f>IFERROR((INDEX($BG$40:$BG$170,ROW()-39)-INDEX($BK$40:$BK$170,ROW()-39))*100,"")</f>
        <v/>
      </c>
    </row>
    <row r="54">
      <c r="A54" s="26">
        <f>IFERROR(INDEX($R$40:$R$170,ROW()-39),"")</f>
        <v/>
      </c>
      <c r="B54" s="33">
        <f>IFERROR((INDEX($S$40:$S$170,ROW()-39)-INDEX($W$40:$W$170,ROW()-39))*100,"")</f>
        <v/>
      </c>
      <c r="C54" s="33">
        <f>IFERROR((INDEX($AA$40:$AA$170,ROW()-39)-INDEX($AE$40:$AE$170,ROW()-39))*100,"")</f>
        <v/>
      </c>
      <c r="D54" s="33">
        <f>IFERROR((INDEX($AI$40:$AI$170,ROW()-39)-INDEX($AM$40:$AM$170,ROW()-39))*100,"")</f>
        <v/>
      </c>
      <c r="E54" s="33">
        <f>IFERROR((INDEX($AQ$40:$AQ$170,ROW()-39)-INDEX($AU$40:$AU$170,ROW()-39))*100,"")</f>
        <v/>
      </c>
      <c r="F54" s="33">
        <f>IFERROR((INDEX($AY$40:$AY$170,ROW()-39)-INDEX($BC$40:$BC$170,ROW()-39))*100,"")</f>
        <v/>
      </c>
      <c r="G54" s="33">
        <f>IFERROR((INDEX($BG$40:$BG$170,ROW()-39)-INDEX($BK$40:$BK$170,ROW()-39))*100,"")</f>
        <v/>
      </c>
    </row>
    <row r="55">
      <c r="A55" s="26">
        <f>IFERROR(INDEX($R$40:$R$170,ROW()-39),"")</f>
        <v/>
      </c>
      <c r="B55" s="33">
        <f>IFERROR((INDEX($S$40:$S$170,ROW()-39)-INDEX($W$40:$W$170,ROW()-39))*100,"")</f>
        <v/>
      </c>
      <c r="C55" s="33">
        <f>IFERROR((INDEX($AA$40:$AA$170,ROW()-39)-INDEX($AE$40:$AE$170,ROW()-39))*100,"")</f>
        <v/>
      </c>
      <c r="D55" s="33">
        <f>IFERROR((INDEX($AI$40:$AI$170,ROW()-39)-INDEX($AM$40:$AM$170,ROW()-39))*100,"")</f>
        <v/>
      </c>
      <c r="E55" s="33">
        <f>IFERROR((INDEX($AQ$40:$AQ$170,ROW()-39)-INDEX($AU$40:$AU$170,ROW()-39))*100,"")</f>
        <v/>
      </c>
      <c r="F55" s="33">
        <f>IFERROR((INDEX($AY$40:$AY$170,ROW()-39)-INDEX($BC$40:$BC$170,ROW()-39))*100,"")</f>
        <v/>
      </c>
      <c r="G55" s="33">
        <f>IFERROR((INDEX($BG$40:$BG$170,ROW()-39)-INDEX($BK$40:$BK$170,ROW()-39))*100,"")</f>
        <v/>
      </c>
    </row>
    <row r="56">
      <c r="A56" s="26">
        <f>IFERROR(INDEX($R$40:$R$170,ROW()-39),"")</f>
        <v/>
      </c>
      <c r="B56" s="33">
        <f>IFERROR((INDEX($S$40:$S$170,ROW()-39)-INDEX($W$40:$W$170,ROW()-39))*100,"")</f>
        <v/>
      </c>
      <c r="C56" s="33">
        <f>IFERROR((INDEX($AA$40:$AA$170,ROW()-39)-INDEX($AE$40:$AE$170,ROW()-39))*100,"")</f>
        <v/>
      </c>
      <c r="D56" s="33">
        <f>IFERROR((INDEX($AI$40:$AI$170,ROW()-39)-INDEX($AM$40:$AM$170,ROW()-39))*100,"")</f>
        <v/>
      </c>
      <c r="E56" s="33">
        <f>IFERROR((INDEX($AQ$40:$AQ$170,ROW()-39)-INDEX($AU$40:$AU$170,ROW()-39))*100,"")</f>
        <v/>
      </c>
      <c r="F56" s="33">
        <f>IFERROR((INDEX($AY$40:$AY$170,ROW()-39)-INDEX($BC$40:$BC$170,ROW()-39))*100,"")</f>
        <v/>
      </c>
      <c r="G56" s="33">
        <f>IFERROR((INDEX($BG$40:$BG$170,ROW()-39)-INDEX($BK$40:$BK$170,ROW()-39))*100,"")</f>
        <v/>
      </c>
    </row>
    <row r="57">
      <c r="A57" s="26">
        <f>IFERROR(INDEX($R$40:$R$170,ROW()-39),"")</f>
        <v/>
      </c>
      <c r="B57" s="33">
        <f>IFERROR((INDEX($S$40:$S$170,ROW()-39)-INDEX($W$40:$W$170,ROW()-39))*100,"")</f>
        <v/>
      </c>
      <c r="C57" s="33">
        <f>IFERROR((INDEX($AA$40:$AA$170,ROW()-39)-INDEX($AE$40:$AE$170,ROW()-39))*100,"")</f>
        <v/>
      </c>
      <c r="D57" s="33">
        <f>IFERROR((INDEX($AI$40:$AI$170,ROW()-39)-INDEX($AM$40:$AM$170,ROW()-39))*100,"")</f>
        <v/>
      </c>
      <c r="E57" s="33">
        <f>IFERROR((INDEX($AQ$40:$AQ$170,ROW()-39)-INDEX($AU$40:$AU$170,ROW()-39))*100,"")</f>
        <v/>
      </c>
      <c r="F57" s="33">
        <f>IFERROR((INDEX($AY$40:$AY$170,ROW()-39)-INDEX($BC$40:$BC$170,ROW()-39))*100,"")</f>
        <v/>
      </c>
      <c r="G57" s="33">
        <f>IFERROR((INDEX($BG$40:$BG$170,ROW()-39)-INDEX($BK$40:$BK$170,ROW()-39))*100,"")</f>
        <v/>
      </c>
    </row>
    <row r="58">
      <c r="A58" s="26">
        <f>IFERROR(INDEX($R$40:$R$170,ROW()-39),"")</f>
        <v/>
      </c>
      <c r="B58" s="33">
        <f>IFERROR((INDEX($S$40:$S$170,ROW()-39)-INDEX($W$40:$W$170,ROW()-39))*100,"")</f>
        <v/>
      </c>
      <c r="C58" s="33">
        <f>IFERROR((INDEX($AA$40:$AA$170,ROW()-39)-INDEX($AE$40:$AE$170,ROW()-39))*100,"")</f>
        <v/>
      </c>
      <c r="D58" s="33">
        <f>IFERROR((INDEX($AI$40:$AI$170,ROW()-39)-INDEX($AM$40:$AM$170,ROW()-39))*100,"")</f>
        <v/>
      </c>
      <c r="E58" s="33">
        <f>IFERROR((INDEX($AQ$40:$AQ$170,ROW()-39)-INDEX($AU$40:$AU$170,ROW()-39))*100,"")</f>
        <v/>
      </c>
      <c r="F58" s="33">
        <f>IFERROR((INDEX($AY$40:$AY$170,ROW()-39)-INDEX($BC$40:$BC$170,ROW()-39))*100,"")</f>
        <v/>
      </c>
      <c r="G58" s="33">
        <f>IFERROR((INDEX($BG$40:$BG$170,ROW()-39)-INDEX($BK$40:$BK$170,ROW()-39))*100,"")</f>
        <v/>
      </c>
    </row>
    <row r="59">
      <c r="A59" s="26">
        <f>IFERROR(INDEX($R$40:$R$170,ROW()-39),"")</f>
        <v/>
      </c>
      <c r="B59" s="33">
        <f>IFERROR((INDEX($S$40:$S$170,ROW()-39)-INDEX($W$40:$W$170,ROW()-39))*100,"")</f>
        <v/>
      </c>
      <c r="C59" s="33">
        <f>IFERROR((INDEX($AA$40:$AA$170,ROW()-39)-INDEX($AE$40:$AE$170,ROW()-39))*100,"")</f>
        <v/>
      </c>
      <c r="D59" s="33">
        <f>IFERROR((INDEX($AI$40:$AI$170,ROW()-39)-INDEX($AM$40:$AM$170,ROW()-39))*100,"")</f>
        <v/>
      </c>
      <c r="E59" s="33">
        <f>IFERROR((INDEX($AQ$40:$AQ$170,ROW()-39)-INDEX($AU$40:$AU$170,ROW()-39))*100,"")</f>
        <v/>
      </c>
      <c r="F59" s="33">
        <f>IFERROR((INDEX($AY$40:$AY$170,ROW()-39)-INDEX($BC$40:$BC$170,ROW()-39))*100,"")</f>
        <v/>
      </c>
      <c r="G59" s="33">
        <f>IFERROR((INDEX($BG$40:$BG$170,ROW()-39)-INDEX($BK$40:$BK$170,ROW()-39))*100,"")</f>
        <v/>
      </c>
    </row>
    <row r="60">
      <c r="A60" s="26">
        <f>IFERROR(INDEX($R$40:$R$170,ROW()-39),"")</f>
        <v/>
      </c>
      <c r="B60" s="33">
        <f>IFERROR((INDEX($S$40:$S$170,ROW()-39)-INDEX($W$40:$W$170,ROW()-39))*100,"")</f>
        <v/>
      </c>
      <c r="C60" s="33">
        <f>IFERROR((INDEX($AA$40:$AA$170,ROW()-39)-INDEX($AE$40:$AE$170,ROW()-39))*100,"")</f>
        <v/>
      </c>
      <c r="D60" s="33">
        <f>IFERROR((INDEX($AI$40:$AI$170,ROW()-39)-INDEX($AM$40:$AM$170,ROW()-39))*100,"")</f>
        <v/>
      </c>
      <c r="E60" s="33">
        <f>IFERROR((INDEX($AQ$40:$AQ$170,ROW()-39)-INDEX($AU$40:$AU$170,ROW()-39))*100,"")</f>
        <v/>
      </c>
      <c r="F60" s="33">
        <f>IFERROR((INDEX($AY$40:$AY$170,ROW()-39)-INDEX($BC$40:$BC$170,ROW()-39))*100,"")</f>
        <v/>
      </c>
      <c r="G60" s="33">
        <f>IFERROR((INDEX($BG$40:$BG$170,ROW()-39)-INDEX($BK$40:$BK$170,ROW()-39))*100,"")</f>
        <v/>
      </c>
    </row>
    <row r="61">
      <c r="A61" s="26">
        <f>IFERROR(INDEX($R$40:$R$170,ROW()-39),"")</f>
        <v/>
      </c>
      <c r="B61" s="33">
        <f>IFERROR((INDEX($S$40:$S$170,ROW()-39)-INDEX($W$40:$W$170,ROW()-39))*100,"")</f>
        <v/>
      </c>
      <c r="C61" s="33">
        <f>IFERROR((INDEX($AA$40:$AA$170,ROW()-39)-INDEX($AE$40:$AE$170,ROW()-39))*100,"")</f>
        <v/>
      </c>
      <c r="D61" s="33">
        <f>IFERROR((INDEX($AI$40:$AI$170,ROW()-39)-INDEX($AM$40:$AM$170,ROW()-39))*100,"")</f>
        <v/>
      </c>
      <c r="E61" s="33">
        <f>IFERROR((INDEX($AQ$40:$AQ$170,ROW()-39)-INDEX($AU$40:$AU$170,ROW()-39))*100,"")</f>
        <v/>
      </c>
      <c r="F61" s="33">
        <f>IFERROR((INDEX($AY$40:$AY$170,ROW()-39)-INDEX($BC$40:$BC$170,ROW()-39))*100,"")</f>
        <v/>
      </c>
      <c r="G61" s="33">
        <f>IFERROR((INDEX($BG$40:$BG$170,ROW()-39)-INDEX($BK$40:$BK$170,ROW()-39))*100,"")</f>
        <v/>
      </c>
    </row>
    <row r="62">
      <c r="A62" s="26">
        <f>IFERROR(INDEX($R$40:$R$170,ROW()-39),"")</f>
        <v/>
      </c>
      <c r="B62" s="33">
        <f>IFERROR((INDEX($S$40:$S$170,ROW()-39)-INDEX($W$40:$W$170,ROW()-39))*100,"")</f>
        <v/>
      </c>
      <c r="C62" s="33">
        <f>IFERROR((INDEX($AA$40:$AA$170,ROW()-39)-INDEX($AE$40:$AE$170,ROW()-39))*100,"")</f>
        <v/>
      </c>
      <c r="D62" s="33">
        <f>IFERROR((INDEX($AI$40:$AI$170,ROW()-39)-INDEX($AM$40:$AM$170,ROW()-39))*100,"")</f>
        <v/>
      </c>
      <c r="E62" s="33">
        <f>IFERROR((INDEX($AQ$40:$AQ$170,ROW()-39)-INDEX($AU$40:$AU$170,ROW()-39))*100,"")</f>
        <v/>
      </c>
      <c r="F62" s="33">
        <f>IFERROR((INDEX($AY$40:$AY$170,ROW()-39)-INDEX($BC$40:$BC$170,ROW()-39))*100,"")</f>
        <v/>
      </c>
      <c r="G62" s="33">
        <f>IFERROR((INDEX($BG$40:$BG$170,ROW()-39)-INDEX($BK$40:$BK$170,ROW()-39))*100,"")</f>
        <v/>
      </c>
    </row>
    <row r="63">
      <c r="A63" s="26">
        <f>IFERROR(INDEX($R$40:$R$170,ROW()-39),"")</f>
        <v/>
      </c>
      <c r="B63" s="33">
        <f>IFERROR((INDEX($S$40:$S$170,ROW()-39)-INDEX($W$40:$W$170,ROW()-39))*100,"")</f>
        <v/>
      </c>
      <c r="C63" s="33">
        <f>IFERROR((INDEX($AA$40:$AA$170,ROW()-39)-INDEX($AE$40:$AE$170,ROW()-39))*100,"")</f>
        <v/>
      </c>
      <c r="D63" s="33">
        <f>IFERROR((INDEX($AI$40:$AI$170,ROW()-39)-INDEX($AM$40:$AM$170,ROW()-39))*100,"")</f>
        <v/>
      </c>
      <c r="E63" s="33">
        <f>IFERROR((INDEX($AQ$40:$AQ$170,ROW()-39)-INDEX($AU$40:$AU$170,ROW()-39))*100,"")</f>
        <v/>
      </c>
      <c r="F63" s="33">
        <f>IFERROR((INDEX($AY$40:$AY$170,ROW()-39)-INDEX($BC$40:$BC$170,ROW()-39))*100,"")</f>
        <v/>
      </c>
      <c r="G63" s="33">
        <f>IFERROR((INDEX($BG$40:$BG$170,ROW()-39)-INDEX($BK$40:$BK$170,ROW()-39))*100,"")</f>
        <v/>
      </c>
    </row>
    <row r="64">
      <c r="A64" s="26">
        <f>IFERROR(INDEX($R$40:$R$170,ROW()-39),"")</f>
        <v/>
      </c>
      <c r="B64" s="33">
        <f>IFERROR((INDEX($S$40:$S$170,ROW()-39)-INDEX($W$40:$W$170,ROW()-39))*100,"")</f>
        <v/>
      </c>
      <c r="C64" s="33">
        <f>IFERROR((INDEX($AA$40:$AA$170,ROW()-39)-INDEX($AE$40:$AE$170,ROW()-39))*100,"")</f>
        <v/>
      </c>
      <c r="D64" s="33">
        <f>IFERROR((INDEX($AI$40:$AI$170,ROW()-39)-INDEX($AM$40:$AM$170,ROW()-39))*100,"")</f>
        <v/>
      </c>
      <c r="E64" s="33">
        <f>IFERROR((INDEX($AQ$40:$AQ$170,ROW()-39)-INDEX($AU$40:$AU$170,ROW()-39))*100,"")</f>
        <v/>
      </c>
      <c r="F64" s="33">
        <f>IFERROR((INDEX($AY$40:$AY$170,ROW()-39)-INDEX($BC$40:$BC$170,ROW()-39))*100,"")</f>
        <v/>
      </c>
      <c r="G64" s="33">
        <f>IFERROR((INDEX($BG$40:$BG$170,ROW()-39)-INDEX($BK$40:$BK$170,ROW()-39))*100,"")</f>
        <v/>
      </c>
    </row>
    <row r="65">
      <c r="A65" s="26">
        <f>IFERROR(INDEX($R$40:$R$170,ROW()-39),"")</f>
        <v/>
      </c>
      <c r="B65" s="33">
        <f>IFERROR((INDEX($S$40:$S$170,ROW()-39)-INDEX($W$40:$W$170,ROW()-39))*100,"")</f>
        <v/>
      </c>
      <c r="C65" s="33">
        <f>IFERROR((INDEX($AA$40:$AA$170,ROW()-39)-INDEX($AE$40:$AE$170,ROW()-39))*100,"")</f>
        <v/>
      </c>
      <c r="D65" s="33">
        <f>IFERROR((INDEX($AI$40:$AI$170,ROW()-39)-INDEX($AM$40:$AM$170,ROW()-39))*100,"")</f>
        <v/>
      </c>
      <c r="E65" s="33">
        <f>IFERROR((INDEX($AQ$40:$AQ$170,ROW()-39)-INDEX($AU$40:$AU$170,ROW()-39))*100,"")</f>
        <v/>
      </c>
      <c r="F65" s="33">
        <f>IFERROR((INDEX($AY$40:$AY$170,ROW()-39)-INDEX($BC$40:$BC$170,ROW()-39))*100,"")</f>
        <v/>
      </c>
      <c r="G65" s="33">
        <f>IFERROR((INDEX($BG$40:$BG$170,ROW()-39)-INDEX($BK$40:$BK$170,ROW()-39))*100,"")</f>
        <v/>
      </c>
    </row>
    <row r="66">
      <c r="A66" s="26">
        <f>IFERROR(INDEX($R$40:$R$170,ROW()-39),"")</f>
        <v/>
      </c>
      <c r="B66" s="33">
        <f>IFERROR((INDEX($S$40:$S$170,ROW()-39)-INDEX($W$40:$W$170,ROW()-39))*100,"")</f>
        <v/>
      </c>
      <c r="C66" s="33">
        <f>IFERROR((INDEX($AA$40:$AA$170,ROW()-39)-INDEX($AE$40:$AE$170,ROW()-39))*100,"")</f>
        <v/>
      </c>
      <c r="D66" s="33">
        <f>IFERROR((INDEX($AI$40:$AI$170,ROW()-39)-INDEX($AM$40:$AM$170,ROW()-39))*100,"")</f>
        <v/>
      </c>
      <c r="E66" s="33">
        <f>IFERROR((INDEX($AQ$40:$AQ$170,ROW()-39)-INDEX($AU$40:$AU$170,ROW()-39))*100,"")</f>
        <v/>
      </c>
      <c r="F66" s="33">
        <f>IFERROR((INDEX($AY$40:$AY$170,ROW()-39)-INDEX($BC$40:$BC$170,ROW()-39))*100,"")</f>
        <v/>
      </c>
      <c r="G66" s="33">
        <f>IFERROR((INDEX($BG$40:$BG$170,ROW()-39)-INDEX($BK$40:$BK$170,ROW()-39))*100,"")</f>
        <v/>
      </c>
    </row>
    <row r="67">
      <c r="A67" s="26">
        <f>IFERROR(INDEX($R$40:$R$170,ROW()-39),"")</f>
        <v/>
      </c>
      <c r="B67" s="33">
        <f>IFERROR((INDEX($S$40:$S$170,ROW()-39)-INDEX($W$40:$W$170,ROW()-39))*100,"")</f>
        <v/>
      </c>
      <c r="C67" s="33">
        <f>IFERROR((INDEX($AA$40:$AA$170,ROW()-39)-INDEX($AE$40:$AE$170,ROW()-39))*100,"")</f>
        <v/>
      </c>
      <c r="D67" s="33">
        <f>IFERROR((INDEX($AI$40:$AI$170,ROW()-39)-INDEX($AM$40:$AM$170,ROW()-39))*100,"")</f>
        <v/>
      </c>
      <c r="E67" s="33">
        <f>IFERROR((INDEX($AQ$40:$AQ$170,ROW()-39)-INDEX($AU$40:$AU$170,ROW()-39))*100,"")</f>
        <v/>
      </c>
      <c r="F67" s="33">
        <f>IFERROR((INDEX($AY$40:$AY$170,ROW()-39)-INDEX($BC$40:$BC$170,ROW()-39))*100,"")</f>
        <v/>
      </c>
      <c r="G67" s="33">
        <f>IFERROR((INDEX($BG$40:$BG$170,ROW()-39)-INDEX($BK$40:$BK$170,ROW()-39))*100,"")</f>
        <v/>
      </c>
    </row>
    <row r="68">
      <c r="A68" s="26">
        <f>IFERROR(INDEX($R$40:$R$170,ROW()-39),"")</f>
        <v/>
      </c>
      <c r="B68" s="33">
        <f>IFERROR((INDEX($S$40:$S$170,ROW()-39)-INDEX($W$40:$W$170,ROW()-39))*100,"")</f>
        <v/>
      </c>
      <c r="C68" s="33">
        <f>IFERROR((INDEX($AA$40:$AA$170,ROW()-39)-INDEX($AE$40:$AE$170,ROW()-39))*100,"")</f>
        <v/>
      </c>
      <c r="D68" s="33">
        <f>IFERROR((INDEX($AI$40:$AI$170,ROW()-39)-INDEX($AM$40:$AM$170,ROW()-39))*100,"")</f>
        <v/>
      </c>
      <c r="E68" s="33">
        <f>IFERROR((INDEX($AQ$40:$AQ$170,ROW()-39)-INDEX($AU$40:$AU$170,ROW()-39))*100,"")</f>
        <v/>
      </c>
      <c r="F68" s="33">
        <f>IFERROR((INDEX($AY$40:$AY$170,ROW()-39)-INDEX($BC$40:$BC$170,ROW()-39))*100,"")</f>
        <v/>
      </c>
      <c r="G68" s="33">
        <f>IFERROR((INDEX($BG$40:$BG$170,ROW()-39)-INDEX($BK$40:$BK$170,ROW()-39))*100,"")</f>
        <v/>
      </c>
    </row>
    <row r="69">
      <c r="A69" s="26">
        <f>IFERROR(INDEX($R$40:$R$170,ROW()-39),"")</f>
        <v/>
      </c>
      <c r="B69" s="33">
        <f>IFERROR((INDEX($S$40:$S$170,ROW()-39)-INDEX($W$40:$W$170,ROW()-39))*100,"")</f>
        <v/>
      </c>
      <c r="C69" s="33">
        <f>IFERROR((INDEX($AA$40:$AA$170,ROW()-39)-INDEX($AE$40:$AE$170,ROW()-39))*100,"")</f>
        <v/>
      </c>
      <c r="D69" s="33">
        <f>IFERROR((INDEX($AI$40:$AI$170,ROW()-39)-INDEX($AM$40:$AM$170,ROW()-39))*100,"")</f>
        <v/>
      </c>
      <c r="E69" s="33">
        <f>IFERROR((INDEX($AQ$40:$AQ$170,ROW()-39)-INDEX($AU$40:$AU$170,ROW()-39))*100,"")</f>
        <v/>
      </c>
      <c r="F69" s="33">
        <f>IFERROR((INDEX($AY$40:$AY$170,ROW()-39)-INDEX($BC$40:$BC$170,ROW()-39))*100,"")</f>
        <v/>
      </c>
      <c r="G69" s="33">
        <f>IFERROR((INDEX($BG$40:$BG$170,ROW()-39)-INDEX($BK$40:$BK$170,ROW()-39))*100,"")</f>
        <v/>
      </c>
    </row>
    <row r="70">
      <c r="A70" s="26">
        <f>IFERROR(INDEX($R$40:$R$170,ROW()-39),"")</f>
        <v/>
      </c>
      <c r="B70" s="33">
        <f>IFERROR((INDEX($S$40:$S$170,ROW()-39)-INDEX($W$40:$W$170,ROW()-39))*100,"")</f>
        <v/>
      </c>
      <c r="C70" s="33">
        <f>IFERROR((INDEX($AA$40:$AA$170,ROW()-39)-INDEX($AE$40:$AE$170,ROW()-39))*100,"")</f>
        <v/>
      </c>
      <c r="D70" s="33">
        <f>IFERROR((INDEX($AI$40:$AI$170,ROW()-39)-INDEX($AM$40:$AM$170,ROW()-39))*100,"")</f>
        <v/>
      </c>
      <c r="E70" s="33">
        <f>IFERROR((INDEX($AQ$40:$AQ$170,ROW()-39)-INDEX($AU$40:$AU$170,ROW()-39))*100,"")</f>
        <v/>
      </c>
      <c r="F70" s="33">
        <f>IFERROR((INDEX($AY$40:$AY$170,ROW()-39)-INDEX($BC$40:$BC$170,ROW()-39))*100,"")</f>
        <v/>
      </c>
      <c r="G70" s="33">
        <f>IFERROR((INDEX($BG$40:$BG$170,ROW()-39)-INDEX($BK$40:$BK$170,ROW()-39))*100,"")</f>
        <v/>
      </c>
    </row>
    <row r="71">
      <c r="A71" s="26">
        <f>IFERROR(INDEX($R$40:$R$170,ROW()-39),"")</f>
        <v/>
      </c>
      <c r="B71" s="33">
        <f>IFERROR((INDEX($S$40:$S$170,ROW()-39)-INDEX($W$40:$W$170,ROW()-39))*100,"")</f>
        <v/>
      </c>
      <c r="C71" s="33">
        <f>IFERROR((INDEX($AA$40:$AA$170,ROW()-39)-INDEX($AE$40:$AE$170,ROW()-39))*100,"")</f>
        <v/>
      </c>
      <c r="D71" s="33">
        <f>IFERROR((INDEX($AI$40:$AI$170,ROW()-39)-INDEX($AM$40:$AM$170,ROW()-39))*100,"")</f>
        <v/>
      </c>
      <c r="E71" s="33">
        <f>IFERROR((INDEX($AQ$40:$AQ$170,ROW()-39)-INDEX($AU$40:$AU$170,ROW()-39))*100,"")</f>
        <v/>
      </c>
      <c r="F71" s="33">
        <f>IFERROR((INDEX($AY$40:$AY$170,ROW()-39)-INDEX($BC$40:$BC$170,ROW()-39))*100,"")</f>
        <v/>
      </c>
      <c r="G71" s="33">
        <f>IFERROR((INDEX($BG$40:$BG$170,ROW()-39)-INDEX($BK$40:$BK$170,ROW()-39))*100,"")</f>
        <v/>
      </c>
    </row>
    <row r="72">
      <c r="A72" s="26">
        <f>IFERROR(INDEX($R$40:$R$170,ROW()-39),"")</f>
        <v/>
      </c>
      <c r="B72" s="33">
        <f>IFERROR((INDEX($S$40:$S$170,ROW()-39)-INDEX($W$40:$W$170,ROW()-39))*100,"")</f>
        <v/>
      </c>
      <c r="C72" s="33">
        <f>IFERROR((INDEX($AA$40:$AA$170,ROW()-39)-INDEX($AE$40:$AE$170,ROW()-39))*100,"")</f>
        <v/>
      </c>
      <c r="D72" s="33">
        <f>IFERROR((INDEX($AI$40:$AI$170,ROW()-39)-INDEX($AM$40:$AM$170,ROW()-39))*100,"")</f>
        <v/>
      </c>
      <c r="E72" s="33">
        <f>IFERROR((INDEX($AQ$40:$AQ$170,ROW()-39)-INDEX($AU$40:$AU$170,ROW()-39))*100,"")</f>
        <v/>
      </c>
      <c r="F72" s="33">
        <f>IFERROR((INDEX($AY$40:$AY$170,ROW()-39)-INDEX($BC$40:$BC$170,ROW()-39))*100,"")</f>
        <v/>
      </c>
      <c r="G72" s="33">
        <f>IFERROR((INDEX($BG$40:$BG$170,ROW()-39)-INDEX($BK$40:$BK$170,ROW()-39))*100,"")</f>
        <v/>
      </c>
    </row>
    <row r="73">
      <c r="A73" s="26">
        <f>IFERROR(INDEX($R$40:$R$170,ROW()-39),"")</f>
        <v/>
      </c>
      <c r="B73" s="33">
        <f>IFERROR((INDEX($S$40:$S$170,ROW()-39)-INDEX($W$40:$W$170,ROW()-39))*100,"")</f>
        <v/>
      </c>
      <c r="C73" s="33">
        <f>IFERROR((INDEX($AA$40:$AA$170,ROW()-39)-INDEX($AE$40:$AE$170,ROW()-39))*100,"")</f>
        <v/>
      </c>
      <c r="D73" s="33">
        <f>IFERROR((INDEX($AI$40:$AI$170,ROW()-39)-INDEX($AM$40:$AM$170,ROW()-39))*100,"")</f>
        <v/>
      </c>
      <c r="E73" s="33">
        <f>IFERROR((INDEX($AQ$40:$AQ$170,ROW()-39)-INDEX($AU$40:$AU$170,ROW()-39))*100,"")</f>
        <v/>
      </c>
      <c r="F73" s="33">
        <f>IFERROR((INDEX($AY$40:$AY$170,ROW()-39)-INDEX($BC$40:$BC$170,ROW()-39))*100,"")</f>
        <v/>
      </c>
      <c r="G73" s="33">
        <f>IFERROR((INDEX($BG$40:$BG$170,ROW()-39)-INDEX($BK$40:$BK$170,ROW()-39))*100,"")</f>
        <v/>
      </c>
    </row>
    <row r="74">
      <c r="A74" s="26">
        <f>IFERROR(INDEX($R$40:$R$170,ROW()-39),"")</f>
        <v/>
      </c>
      <c r="B74" s="33">
        <f>IFERROR((INDEX($S$40:$S$170,ROW()-39)-INDEX($W$40:$W$170,ROW()-39))*100,"")</f>
        <v/>
      </c>
      <c r="C74" s="33">
        <f>IFERROR((INDEX($AA$40:$AA$170,ROW()-39)-INDEX($AE$40:$AE$170,ROW()-39))*100,"")</f>
        <v/>
      </c>
      <c r="D74" s="33">
        <f>IFERROR((INDEX($AI$40:$AI$170,ROW()-39)-INDEX($AM$40:$AM$170,ROW()-39))*100,"")</f>
        <v/>
      </c>
      <c r="E74" s="33">
        <f>IFERROR((INDEX($AQ$40:$AQ$170,ROW()-39)-INDEX($AU$40:$AU$170,ROW()-39))*100,"")</f>
        <v/>
      </c>
      <c r="F74" s="33">
        <f>IFERROR((INDEX($AY$40:$AY$170,ROW()-39)-INDEX($BC$40:$BC$170,ROW()-39))*100,"")</f>
        <v/>
      </c>
      <c r="G74" s="33">
        <f>IFERROR((INDEX($BG$40:$BG$170,ROW()-39)-INDEX($BK$40:$BK$170,ROW()-39))*100,"")</f>
        <v/>
      </c>
    </row>
    <row r="75">
      <c r="A75" s="26">
        <f>IFERROR(INDEX($R$40:$R$170,ROW()-39),"")</f>
        <v/>
      </c>
      <c r="B75" s="33">
        <f>IFERROR((INDEX($S$40:$S$170,ROW()-39)-INDEX($W$40:$W$170,ROW()-39))*100,"")</f>
        <v/>
      </c>
      <c r="C75" s="33">
        <f>IFERROR((INDEX($AA$40:$AA$170,ROW()-39)-INDEX($AE$40:$AE$170,ROW()-39))*100,"")</f>
        <v/>
      </c>
      <c r="D75" s="33">
        <f>IFERROR((INDEX($AI$40:$AI$170,ROW()-39)-INDEX($AM$40:$AM$170,ROW()-39))*100,"")</f>
        <v/>
      </c>
      <c r="E75" s="33">
        <f>IFERROR((INDEX($AQ$40:$AQ$170,ROW()-39)-INDEX($AU$40:$AU$170,ROW()-39))*100,"")</f>
        <v/>
      </c>
      <c r="F75" s="33">
        <f>IFERROR((INDEX($AY$40:$AY$170,ROW()-39)-INDEX($BC$40:$BC$170,ROW()-39))*100,"")</f>
        <v/>
      </c>
      <c r="G75" s="33">
        <f>IFERROR((INDEX($BG$40:$BG$170,ROW()-39)-INDEX($BK$40:$BK$170,ROW()-39))*100,"")</f>
        <v/>
      </c>
    </row>
    <row r="76">
      <c r="A76" s="26">
        <f>IFERROR(INDEX($R$40:$R$170,ROW()-39),"")</f>
        <v/>
      </c>
      <c r="B76" s="33">
        <f>IFERROR((INDEX($S$40:$S$170,ROW()-39)-INDEX($W$40:$W$170,ROW()-39))*100,"")</f>
        <v/>
      </c>
      <c r="C76" s="33">
        <f>IFERROR((INDEX($AA$40:$AA$170,ROW()-39)-INDEX($AE$40:$AE$170,ROW()-39))*100,"")</f>
        <v/>
      </c>
      <c r="D76" s="33">
        <f>IFERROR((INDEX($AI$40:$AI$170,ROW()-39)-INDEX($AM$40:$AM$170,ROW()-39))*100,"")</f>
        <v/>
      </c>
      <c r="E76" s="33">
        <f>IFERROR((INDEX($AQ$40:$AQ$170,ROW()-39)-INDEX($AU$40:$AU$170,ROW()-39))*100,"")</f>
        <v/>
      </c>
      <c r="F76" s="33">
        <f>IFERROR((INDEX($AY$40:$AY$170,ROW()-39)-INDEX($BC$40:$BC$170,ROW()-39))*100,"")</f>
        <v/>
      </c>
      <c r="G76" s="33">
        <f>IFERROR((INDEX($BG$40:$BG$170,ROW()-39)-INDEX($BK$40:$BK$170,ROW()-39))*100,"")</f>
        <v/>
      </c>
    </row>
    <row r="77">
      <c r="A77" s="26">
        <f>IFERROR(INDEX($R$40:$R$170,ROW()-39),"")</f>
        <v/>
      </c>
      <c r="B77" s="33">
        <f>IFERROR((INDEX($S$40:$S$170,ROW()-39)-INDEX($W$40:$W$170,ROW()-39))*100,"")</f>
        <v/>
      </c>
      <c r="C77" s="33">
        <f>IFERROR((INDEX($AA$40:$AA$170,ROW()-39)-INDEX($AE$40:$AE$170,ROW()-39))*100,"")</f>
        <v/>
      </c>
      <c r="D77" s="33">
        <f>IFERROR((INDEX($AI$40:$AI$170,ROW()-39)-INDEX($AM$40:$AM$170,ROW()-39))*100,"")</f>
        <v/>
      </c>
      <c r="E77" s="33">
        <f>IFERROR((INDEX($AQ$40:$AQ$170,ROW()-39)-INDEX($AU$40:$AU$170,ROW()-39))*100,"")</f>
        <v/>
      </c>
      <c r="F77" s="33">
        <f>IFERROR((INDEX($AY$40:$AY$170,ROW()-39)-INDEX($BC$40:$BC$170,ROW()-39))*100,"")</f>
        <v/>
      </c>
      <c r="G77" s="33">
        <f>IFERROR((INDEX($BG$40:$BG$170,ROW()-39)-INDEX($BK$40:$BK$170,ROW()-39))*100,"")</f>
        <v/>
      </c>
    </row>
    <row r="78">
      <c r="A78" s="26">
        <f>IFERROR(INDEX($R$40:$R$170,ROW()-39),"")</f>
        <v/>
      </c>
      <c r="B78" s="33">
        <f>IFERROR((INDEX($S$40:$S$170,ROW()-39)-INDEX($W$40:$W$170,ROW()-39))*100,"")</f>
        <v/>
      </c>
      <c r="C78" s="33">
        <f>IFERROR((INDEX($AA$40:$AA$170,ROW()-39)-INDEX($AE$40:$AE$170,ROW()-39))*100,"")</f>
        <v/>
      </c>
      <c r="D78" s="33">
        <f>IFERROR((INDEX($AI$40:$AI$170,ROW()-39)-INDEX($AM$40:$AM$170,ROW()-39))*100,"")</f>
        <v/>
      </c>
      <c r="E78" s="33">
        <f>IFERROR((INDEX($AQ$40:$AQ$170,ROW()-39)-INDEX($AU$40:$AU$170,ROW()-39))*100,"")</f>
        <v/>
      </c>
      <c r="F78" s="33">
        <f>IFERROR((INDEX($AY$40:$AY$170,ROW()-39)-INDEX($BC$40:$BC$170,ROW()-39))*100,"")</f>
        <v/>
      </c>
      <c r="G78" s="33">
        <f>IFERROR((INDEX($BG$40:$BG$170,ROW()-39)-INDEX($BK$40:$BK$170,ROW()-39))*100,"")</f>
        <v/>
      </c>
    </row>
    <row r="79">
      <c r="A79" s="26">
        <f>IFERROR(INDEX($R$40:$R$170,ROW()-39),"")</f>
        <v/>
      </c>
      <c r="B79" s="33">
        <f>IFERROR((INDEX($S$40:$S$170,ROW()-39)-INDEX($W$40:$W$170,ROW()-39))*100,"")</f>
        <v/>
      </c>
      <c r="C79" s="33">
        <f>IFERROR((INDEX($AA$40:$AA$170,ROW()-39)-INDEX($AE$40:$AE$170,ROW()-39))*100,"")</f>
        <v/>
      </c>
      <c r="D79" s="33">
        <f>IFERROR((INDEX($AI$40:$AI$170,ROW()-39)-INDEX($AM$40:$AM$170,ROW()-39))*100,"")</f>
        <v/>
      </c>
      <c r="E79" s="33">
        <f>IFERROR((INDEX($AQ$40:$AQ$170,ROW()-39)-INDEX($AU$40:$AU$170,ROW()-39))*100,"")</f>
        <v/>
      </c>
      <c r="F79" s="33">
        <f>IFERROR((INDEX($AY$40:$AY$170,ROW()-39)-INDEX($BC$40:$BC$170,ROW()-39))*100,"")</f>
        <v/>
      </c>
      <c r="G79" s="33">
        <f>IFERROR((INDEX($BG$40:$BG$170,ROW()-39)-INDEX($BK$40:$BK$170,ROW()-39))*100,"")</f>
        <v/>
      </c>
    </row>
    <row r="80">
      <c r="A80" s="26">
        <f>IFERROR(INDEX($R$40:$R$170,ROW()-39),"")</f>
        <v/>
      </c>
      <c r="B80" s="33">
        <f>IFERROR((INDEX($S$40:$S$170,ROW()-39)-INDEX($W$40:$W$170,ROW()-39))*100,"")</f>
        <v/>
      </c>
      <c r="C80" s="33">
        <f>IFERROR((INDEX($AA$40:$AA$170,ROW()-39)-INDEX($AE$40:$AE$170,ROW()-39))*100,"")</f>
        <v/>
      </c>
      <c r="D80" s="33">
        <f>IFERROR((INDEX($AI$40:$AI$170,ROW()-39)-INDEX($AM$40:$AM$170,ROW()-39))*100,"")</f>
        <v/>
      </c>
      <c r="E80" s="33">
        <f>IFERROR((INDEX($AQ$40:$AQ$170,ROW()-39)-INDEX($AU$40:$AU$170,ROW()-39))*100,"")</f>
        <v/>
      </c>
      <c r="F80" s="33">
        <f>IFERROR((INDEX($AY$40:$AY$170,ROW()-39)-INDEX($BC$40:$BC$170,ROW()-39))*100,"")</f>
        <v/>
      </c>
      <c r="G80" s="33">
        <f>IFERROR((INDEX($BG$40:$BG$170,ROW()-39)-INDEX($BK$40:$BK$170,ROW()-39))*100,"")</f>
        <v/>
      </c>
    </row>
    <row r="81">
      <c r="A81" s="26">
        <f>IFERROR(INDEX($R$40:$R$170,ROW()-39),"")</f>
        <v/>
      </c>
      <c r="B81" s="33">
        <f>IFERROR((INDEX($S$40:$S$170,ROW()-39)-INDEX($W$40:$W$170,ROW()-39))*100,"")</f>
        <v/>
      </c>
      <c r="C81" s="33">
        <f>IFERROR((INDEX($AA$40:$AA$170,ROW()-39)-INDEX($AE$40:$AE$170,ROW()-39))*100,"")</f>
        <v/>
      </c>
      <c r="D81" s="33">
        <f>IFERROR((INDEX($AI$40:$AI$170,ROW()-39)-INDEX($AM$40:$AM$170,ROW()-39))*100,"")</f>
        <v/>
      </c>
      <c r="E81" s="33">
        <f>IFERROR((INDEX($AQ$40:$AQ$170,ROW()-39)-INDEX($AU$40:$AU$170,ROW()-39))*100,"")</f>
        <v/>
      </c>
      <c r="F81" s="33">
        <f>IFERROR((INDEX($AY$40:$AY$170,ROW()-39)-INDEX($BC$40:$BC$170,ROW()-39))*100,"")</f>
        <v/>
      </c>
      <c r="G81" s="33">
        <f>IFERROR((INDEX($BG$40:$BG$170,ROW()-39)-INDEX($BK$40:$BK$170,ROW()-39))*100,"")</f>
        <v/>
      </c>
    </row>
    <row r="82">
      <c r="A82" s="26">
        <f>IFERROR(INDEX($R$40:$R$170,ROW()-39),"")</f>
        <v/>
      </c>
      <c r="B82" s="33">
        <f>IFERROR((INDEX($S$40:$S$170,ROW()-39)-INDEX($W$40:$W$170,ROW()-39))*100,"")</f>
        <v/>
      </c>
      <c r="C82" s="33">
        <f>IFERROR((INDEX($AA$40:$AA$170,ROW()-39)-INDEX($AE$40:$AE$170,ROW()-39))*100,"")</f>
        <v/>
      </c>
      <c r="D82" s="33">
        <f>IFERROR((INDEX($AI$40:$AI$170,ROW()-39)-INDEX($AM$40:$AM$170,ROW()-39))*100,"")</f>
        <v/>
      </c>
      <c r="E82" s="33">
        <f>IFERROR((INDEX($AQ$40:$AQ$170,ROW()-39)-INDEX($AU$40:$AU$170,ROW()-39))*100,"")</f>
        <v/>
      </c>
      <c r="F82" s="33">
        <f>IFERROR((INDEX($AY$40:$AY$170,ROW()-39)-INDEX($BC$40:$BC$170,ROW()-39))*100,"")</f>
        <v/>
      </c>
      <c r="G82" s="33">
        <f>IFERROR((INDEX($BG$40:$BG$170,ROW()-39)-INDEX($BK$40:$BK$170,ROW()-39))*100,"")</f>
        <v/>
      </c>
    </row>
    <row r="83">
      <c r="A83" s="26">
        <f>IFERROR(INDEX($R$40:$R$170,ROW()-39),"")</f>
        <v/>
      </c>
      <c r="B83" s="33">
        <f>IFERROR((INDEX($S$40:$S$170,ROW()-39)-INDEX($W$40:$W$170,ROW()-39))*100,"")</f>
        <v/>
      </c>
      <c r="C83" s="33">
        <f>IFERROR((INDEX($AA$40:$AA$170,ROW()-39)-INDEX($AE$40:$AE$170,ROW()-39))*100,"")</f>
        <v/>
      </c>
      <c r="D83" s="33">
        <f>IFERROR((INDEX($AI$40:$AI$170,ROW()-39)-INDEX($AM$40:$AM$170,ROW()-39))*100,"")</f>
        <v/>
      </c>
      <c r="E83" s="33">
        <f>IFERROR((INDEX($AQ$40:$AQ$170,ROW()-39)-INDEX($AU$40:$AU$170,ROW()-39))*100,"")</f>
        <v/>
      </c>
      <c r="F83" s="33">
        <f>IFERROR((INDEX($AY$40:$AY$170,ROW()-39)-INDEX($BC$40:$BC$170,ROW()-39))*100,"")</f>
        <v/>
      </c>
      <c r="G83" s="33">
        <f>IFERROR((INDEX($BG$40:$BG$170,ROW()-39)-INDEX($BK$40:$BK$170,ROW()-39))*100,"")</f>
        <v/>
      </c>
    </row>
    <row r="84">
      <c r="A84" s="26">
        <f>IFERROR(INDEX($R$40:$R$170,ROW()-39),"")</f>
        <v/>
      </c>
      <c r="B84" s="33">
        <f>IFERROR((INDEX($S$40:$S$170,ROW()-39)-INDEX($W$40:$W$170,ROW()-39))*100,"")</f>
        <v/>
      </c>
      <c r="C84" s="33">
        <f>IFERROR((INDEX($AA$40:$AA$170,ROW()-39)-INDEX($AE$40:$AE$170,ROW()-39))*100,"")</f>
        <v/>
      </c>
      <c r="D84" s="33">
        <f>IFERROR((INDEX($AI$40:$AI$170,ROW()-39)-INDEX($AM$40:$AM$170,ROW()-39))*100,"")</f>
        <v/>
      </c>
      <c r="E84" s="33">
        <f>IFERROR((INDEX($AQ$40:$AQ$170,ROW()-39)-INDEX($AU$40:$AU$170,ROW()-39))*100,"")</f>
        <v/>
      </c>
      <c r="F84" s="33">
        <f>IFERROR((INDEX($AY$40:$AY$170,ROW()-39)-INDEX($BC$40:$BC$170,ROW()-39))*100,"")</f>
        <v/>
      </c>
      <c r="G84" s="33">
        <f>IFERROR((INDEX($BG$40:$BG$170,ROW()-39)-INDEX($BK$40:$BK$170,ROW()-39))*100,"")</f>
        <v/>
      </c>
    </row>
    <row r="85">
      <c r="A85" s="26">
        <f>IFERROR(INDEX($R$40:$R$170,ROW()-39),"")</f>
        <v/>
      </c>
      <c r="B85" s="33">
        <f>IFERROR((INDEX($S$40:$S$170,ROW()-39)-INDEX($W$40:$W$170,ROW()-39))*100,"")</f>
        <v/>
      </c>
      <c r="C85" s="33">
        <f>IFERROR((INDEX($AA$40:$AA$170,ROW()-39)-INDEX($AE$40:$AE$170,ROW()-39))*100,"")</f>
        <v/>
      </c>
      <c r="D85" s="33">
        <f>IFERROR((INDEX($AI$40:$AI$170,ROW()-39)-INDEX($AM$40:$AM$170,ROW()-39))*100,"")</f>
        <v/>
      </c>
      <c r="E85" s="33">
        <f>IFERROR((INDEX($AQ$40:$AQ$170,ROW()-39)-INDEX($AU$40:$AU$170,ROW()-39))*100,"")</f>
        <v/>
      </c>
      <c r="F85" s="33">
        <f>IFERROR((INDEX($AY$40:$AY$170,ROW()-39)-INDEX($BC$40:$BC$170,ROW()-39))*100,"")</f>
        <v/>
      </c>
      <c r="G85" s="33">
        <f>IFERROR((INDEX($BG$40:$BG$170,ROW()-39)-INDEX($BK$40:$BK$170,ROW()-39))*100,"")</f>
        <v/>
      </c>
    </row>
    <row r="86">
      <c r="A86" s="26">
        <f>IFERROR(INDEX($R$40:$R$170,ROW()-39),"")</f>
        <v/>
      </c>
      <c r="B86" s="33">
        <f>IFERROR((INDEX($S$40:$S$170,ROW()-39)-INDEX($W$40:$W$170,ROW()-39))*100,"")</f>
        <v/>
      </c>
      <c r="C86" s="33">
        <f>IFERROR((INDEX($AA$40:$AA$170,ROW()-39)-INDEX($AE$40:$AE$170,ROW()-39))*100,"")</f>
        <v/>
      </c>
      <c r="D86" s="33">
        <f>IFERROR((INDEX($AI$40:$AI$170,ROW()-39)-INDEX($AM$40:$AM$170,ROW()-39))*100,"")</f>
        <v/>
      </c>
      <c r="E86" s="33">
        <f>IFERROR((INDEX($AQ$40:$AQ$170,ROW()-39)-INDEX($AU$40:$AU$170,ROW()-39))*100,"")</f>
        <v/>
      </c>
      <c r="F86" s="33">
        <f>IFERROR((INDEX($AY$40:$AY$170,ROW()-39)-INDEX($BC$40:$BC$170,ROW()-39))*100,"")</f>
        <v/>
      </c>
      <c r="G86" s="33">
        <f>IFERROR((INDEX($BG$40:$BG$170,ROW()-39)-INDEX($BK$40:$BK$170,ROW()-39))*100,"")</f>
        <v/>
      </c>
    </row>
    <row r="87">
      <c r="A87" s="26">
        <f>IFERROR(INDEX($R$40:$R$170,ROW()-39),"")</f>
        <v/>
      </c>
      <c r="B87" s="33">
        <f>IFERROR((INDEX($S$40:$S$170,ROW()-39)-INDEX($W$40:$W$170,ROW()-39))*100,"")</f>
        <v/>
      </c>
      <c r="C87" s="33">
        <f>IFERROR((INDEX($AA$40:$AA$170,ROW()-39)-INDEX($AE$40:$AE$170,ROW()-39))*100,"")</f>
        <v/>
      </c>
      <c r="D87" s="33">
        <f>IFERROR((INDEX($AI$40:$AI$170,ROW()-39)-INDEX($AM$40:$AM$170,ROW()-39))*100,"")</f>
        <v/>
      </c>
      <c r="E87" s="33">
        <f>IFERROR((INDEX($AQ$40:$AQ$170,ROW()-39)-INDEX($AU$40:$AU$170,ROW()-39))*100,"")</f>
        <v/>
      </c>
      <c r="F87" s="33">
        <f>IFERROR((INDEX($AY$40:$AY$170,ROW()-39)-INDEX($BC$40:$BC$170,ROW()-39))*100,"")</f>
        <v/>
      </c>
      <c r="G87" s="33">
        <f>IFERROR((INDEX($BG$40:$BG$170,ROW()-39)-INDEX($BK$40:$BK$170,ROW()-39))*100,"")</f>
        <v/>
      </c>
    </row>
    <row r="88">
      <c r="A88" s="26">
        <f>IFERROR(INDEX($R$40:$R$170,ROW()-39),"")</f>
        <v/>
      </c>
      <c r="B88" s="33">
        <f>IFERROR((INDEX($S$40:$S$170,ROW()-39)-INDEX($W$40:$W$170,ROW()-39))*100,"")</f>
        <v/>
      </c>
      <c r="C88" s="33">
        <f>IFERROR((INDEX($AA$40:$AA$170,ROW()-39)-INDEX($AE$40:$AE$170,ROW()-39))*100,"")</f>
        <v/>
      </c>
      <c r="D88" s="33">
        <f>IFERROR((INDEX($AI$40:$AI$170,ROW()-39)-INDEX($AM$40:$AM$170,ROW()-39))*100,"")</f>
        <v/>
      </c>
      <c r="E88" s="33">
        <f>IFERROR((INDEX($AQ$40:$AQ$170,ROW()-39)-INDEX($AU$40:$AU$170,ROW()-39))*100,"")</f>
        <v/>
      </c>
      <c r="F88" s="33">
        <f>IFERROR((INDEX($AY$40:$AY$170,ROW()-39)-INDEX($BC$40:$BC$170,ROW()-39))*100,"")</f>
        <v/>
      </c>
      <c r="G88" s="33">
        <f>IFERROR((INDEX($BG$40:$BG$170,ROW()-39)-INDEX($BK$40:$BK$170,ROW()-39))*100,"")</f>
        <v/>
      </c>
    </row>
    <row r="89">
      <c r="A89" s="26">
        <f>IFERROR(INDEX($R$40:$R$170,ROW()-39),"")</f>
        <v/>
      </c>
      <c r="B89" s="33">
        <f>IFERROR((INDEX($S$40:$S$170,ROW()-39)-INDEX($W$40:$W$170,ROW()-39))*100,"")</f>
        <v/>
      </c>
      <c r="C89" s="33">
        <f>IFERROR((INDEX($AA$40:$AA$170,ROW()-39)-INDEX($AE$40:$AE$170,ROW()-39))*100,"")</f>
        <v/>
      </c>
      <c r="D89" s="33">
        <f>IFERROR((INDEX($AI$40:$AI$170,ROW()-39)-INDEX($AM$40:$AM$170,ROW()-39))*100,"")</f>
        <v/>
      </c>
      <c r="E89" s="33">
        <f>IFERROR((INDEX($AQ$40:$AQ$170,ROW()-39)-INDEX($AU$40:$AU$170,ROW()-39))*100,"")</f>
        <v/>
      </c>
      <c r="F89" s="33">
        <f>IFERROR((INDEX($AY$40:$AY$170,ROW()-39)-INDEX($BC$40:$BC$170,ROW()-39))*100,"")</f>
        <v/>
      </c>
      <c r="G89" s="33">
        <f>IFERROR((INDEX($BG$40:$BG$170,ROW()-39)-INDEX($BK$40:$BK$170,ROW()-39))*100,"")</f>
        <v/>
      </c>
    </row>
    <row r="90">
      <c r="A90" s="26">
        <f>IFERROR(INDEX($R$40:$R$170,ROW()-39),"")</f>
        <v/>
      </c>
      <c r="B90" s="33">
        <f>IFERROR((INDEX($S$40:$S$170,ROW()-39)-INDEX($W$40:$W$170,ROW()-39))*100,"")</f>
        <v/>
      </c>
      <c r="C90" s="33">
        <f>IFERROR((INDEX($AA$40:$AA$170,ROW()-39)-INDEX($AE$40:$AE$170,ROW()-39))*100,"")</f>
        <v/>
      </c>
      <c r="D90" s="33">
        <f>IFERROR((INDEX($AI$40:$AI$170,ROW()-39)-INDEX($AM$40:$AM$170,ROW()-39))*100,"")</f>
        <v/>
      </c>
      <c r="E90" s="33">
        <f>IFERROR((INDEX($AQ$40:$AQ$170,ROW()-39)-INDEX($AU$40:$AU$170,ROW()-39))*100,"")</f>
        <v/>
      </c>
      <c r="F90" s="33">
        <f>IFERROR((INDEX($AY$40:$AY$170,ROW()-39)-INDEX($BC$40:$BC$170,ROW()-39))*100,"")</f>
        <v/>
      </c>
      <c r="G90" s="33">
        <f>IFERROR((INDEX($BG$40:$BG$170,ROW()-39)-INDEX($BK$40:$BK$170,ROW()-39))*100,"")</f>
        <v/>
      </c>
    </row>
    <row r="91">
      <c r="A91" s="26">
        <f>IFERROR(INDEX($R$40:$R$170,ROW()-39),"")</f>
        <v/>
      </c>
      <c r="B91" s="33">
        <f>IFERROR((INDEX($S$40:$S$170,ROW()-39)-INDEX($W$40:$W$170,ROW()-39))*100,"")</f>
        <v/>
      </c>
      <c r="C91" s="33">
        <f>IFERROR((INDEX($AA$40:$AA$170,ROW()-39)-INDEX($AE$40:$AE$170,ROW()-39))*100,"")</f>
        <v/>
      </c>
      <c r="D91" s="33">
        <f>IFERROR((INDEX($AI$40:$AI$170,ROW()-39)-INDEX($AM$40:$AM$170,ROW()-39))*100,"")</f>
        <v/>
      </c>
      <c r="E91" s="33">
        <f>IFERROR((INDEX($AQ$40:$AQ$170,ROW()-39)-INDEX($AU$40:$AU$170,ROW()-39))*100,"")</f>
        <v/>
      </c>
      <c r="F91" s="33">
        <f>IFERROR((INDEX($AY$40:$AY$170,ROW()-39)-INDEX($BC$40:$BC$170,ROW()-39))*100,"")</f>
        <v/>
      </c>
      <c r="G91" s="33">
        <f>IFERROR((INDEX($BG$40:$BG$170,ROW()-39)-INDEX($BK$40:$BK$170,ROW()-39))*100,"")</f>
        <v/>
      </c>
    </row>
    <row r="92">
      <c r="A92" s="26">
        <f>IFERROR(INDEX($R$40:$R$170,ROW()-39),"")</f>
        <v/>
      </c>
      <c r="B92" s="33">
        <f>IFERROR((INDEX($S$40:$S$170,ROW()-39)-INDEX($W$40:$W$170,ROW()-39))*100,"")</f>
        <v/>
      </c>
      <c r="C92" s="33">
        <f>IFERROR((INDEX($AA$40:$AA$170,ROW()-39)-INDEX($AE$40:$AE$170,ROW()-39))*100,"")</f>
        <v/>
      </c>
      <c r="D92" s="33">
        <f>IFERROR((INDEX($AI$40:$AI$170,ROW()-39)-INDEX($AM$40:$AM$170,ROW()-39))*100,"")</f>
        <v/>
      </c>
      <c r="E92" s="33">
        <f>IFERROR((INDEX($AQ$40:$AQ$170,ROW()-39)-INDEX($AU$40:$AU$170,ROW()-39))*100,"")</f>
        <v/>
      </c>
      <c r="F92" s="33">
        <f>IFERROR((INDEX($AY$40:$AY$170,ROW()-39)-INDEX($BC$40:$BC$170,ROW()-39))*100,"")</f>
        <v/>
      </c>
      <c r="G92" s="33">
        <f>IFERROR((INDEX($BG$40:$BG$170,ROW()-39)-INDEX($BK$40:$BK$170,ROW()-39))*100,"")</f>
        <v/>
      </c>
    </row>
    <row r="93">
      <c r="A93" s="26">
        <f>IFERROR(INDEX($R$40:$R$170,ROW()-39),"")</f>
        <v/>
      </c>
      <c r="B93" s="33">
        <f>IFERROR((INDEX($S$40:$S$170,ROW()-39)-INDEX($W$40:$W$170,ROW()-39))*100,"")</f>
        <v/>
      </c>
      <c r="C93" s="33">
        <f>IFERROR((INDEX($AA$40:$AA$170,ROW()-39)-INDEX($AE$40:$AE$170,ROW()-39))*100,"")</f>
        <v/>
      </c>
      <c r="D93" s="33">
        <f>IFERROR((INDEX($AI$40:$AI$170,ROW()-39)-INDEX($AM$40:$AM$170,ROW()-39))*100,"")</f>
        <v/>
      </c>
      <c r="E93" s="33">
        <f>IFERROR((INDEX($AQ$40:$AQ$170,ROW()-39)-INDEX($AU$40:$AU$170,ROW()-39))*100,"")</f>
        <v/>
      </c>
      <c r="F93" s="33">
        <f>IFERROR((INDEX($AY$40:$AY$170,ROW()-39)-INDEX($BC$40:$BC$170,ROW()-39))*100,"")</f>
        <v/>
      </c>
      <c r="G93" s="33">
        <f>IFERROR((INDEX($BG$40:$BG$170,ROW()-39)-INDEX($BK$40:$BK$170,ROW()-39))*100,"")</f>
        <v/>
      </c>
    </row>
    <row r="94">
      <c r="A94" s="26">
        <f>IFERROR(INDEX($R$40:$R$170,ROW()-39),"")</f>
        <v/>
      </c>
      <c r="B94" s="33">
        <f>IFERROR((INDEX($S$40:$S$170,ROW()-39)-INDEX($W$40:$W$170,ROW()-39))*100,"")</f>
        <v/>
      </c>
      <c r="C94" s="33">
        <f>IFERROR((INDEX($AA$40:$AA$170,ROW()-39)-INDEX($AE$40:$AE$170,ROW()-39))*100,"")</f>
        <v/>
      </c>
      <c r="D94" s="33">
        <f>IFERROR((INDEX($AI$40:$AI$170,ROW()-39)-INDEX($AM$40:$AM$170,ROW()-39))*100,"")</f>
        <v/>
      </c>
      <c r="E94" s="33">
        <f>IFERROR((INDEX($AQ$40:$AQ$170,ROW()-39)-INDEX($AU$40:$AU$170,ROW()-39))*100,"")</f>
        <v/>
      </c>
      <c r="F94" s="33">
        <f>IFERROR((INDEX($AY$40:$AY$170,ROW()-39)-INDEX($BC$40:$BC$170,ROW()-39))*100,"")</f>
        <v/>
      </c>
      <c r="G94" s="33">
        <f>IFERROR((INDEX($BG$40:$BG$170,ROW()-39)-INDEX($BK$40:$BK$170,ROW()-39))*100,"")</f>
        <v/>
      </c>
    </row>
    <row r="95">
      <c r="A95" s="26">
        <f>IFERROR(INDEX($R$40:$R$170,ROW()-39),"")</f>
        <v/>
      </c>
      <c r="B95" s="33">
        <f>IFERROR((INDEX($S$40:$S$170,ROW()-39)-INDEX($W$40:$W$170,ROW()-39))*100,"")</f>
        <v/>
      </c>
      <c r="C95" s="33">
        <f>IFERROR((INDEX($AA$40:$AA$170,ROW()-39)-INDEX($AE$40:$AE$170,ROW()-39))*100,"")</f>
        <v/>
      </c>
      <c r="D95" s="33">
        <f>IFERROR((INDEX($AI$40:$AI$170,ROW()-39)-INDEX($AM$40:$AM$170,ROW()-39))*100,"")</f>
        <v/>
      </c>
      <c r="E95" s="33">
        <f>IFERROR((INDEX($AQ$40:$AQ$170,ROW()-39)-INDEX($AU$40:$AU$170,ROW()-39))*100,"")</f>
        <v/>
      </c>
      <c r="F95" s="33">
        <f>IFERROR((INDEX($AY$40:$AY$170,ROW()-39)-INDEX($BC$40:$BC$170,ROW()-39))*100,"")</f>
        <v/>
      </c>
      <c r="G95" s="33">
        <f>IFERROR((INDEX($BG$40:$BG$170,ROW()-39)-INDEX($BK$40:$BK$170,ROW()-39))*100,"")</f>
        <v/>
      </c>
    </row>
    <row r="96">
      <c r="A96" s="26">
        <f>IFERROR(INDEX($R$40:$R$170,ROW()-39),"")</f>
        <v/>
      </c>
      <c r="B96" s="33">
        <f>IFERROR((INDEX($S$40:$S$170,ROW()-39)-INDEX($W$40:$W$170,ROW()-39))*100,"")</f>
        <v/>
      </c>
      <c r="C96" s="33">
        <f>IFERROR((INDEX($AA$40:$AA$170,ROW()-39)-INDEX($AE$40:$AE$170,ROW()-39))*100,"")</f>
        <v/>
      </c>
      <c r="D96" s="33">
        <f>IFERROR((INDEX($AI$40:$AI$170,ROW()-39)-INDEX($AM$40:$AM$170,ROW()-39))*100,"")</f>
        <v/>
      </c>
      <c r="E96" s="33">
        <f>IFERROR((INDEX($AQ$40:$AQ$170,ROW()-39)-INDEX($AU$40:$AU$170,ROW()-39))*100,"")</f>
        <v/>
      </c>
      <c r="F96" s="33">
        <f>IFERROR((INDEX($AY$40:$AY$170,ROW()-39)-INDEX($BC$40:$BC$170,ROW()-39))*100,"")</f>
        <v/>
      </c>
      <c r="G96" s="33">
        <f>IFERROR((INDEX($BG$40:$BG$170,ROW()-39)-INDEX($BK$40:$BK$170,ROW()-39))*100,"")</f>
        <v/>
      </c>
    </row>
    <row r="97">
      <c r="A97" s="26">
        <f>IFERROR(INDEX($R$40:$R$170,ROW()-39),"")</f>
        <v/>
      </c>
      <c r="B97" s="33">
        <f>IFERROR((INDEX($S$40:$S$170,ROW()-39)-INDEX($W$40:$W$170,ROW()-39))*100,"")</f>
        <v/>
      </c>
      <c r="C97" s="33">
        <f>IFERROR((INDEX($AA$40:$AA$170,ROW()-39)-INDEX($AE$40:$AE$170,ROW()-39))*100,"")</f>
        <v/>
      </c>
      <c r="D97" s="33">
        <f>IFERROR((INDEX($AI$40:$AI$170,ROW()-39)-INDEX($AM$40:$AM$170,ROW()-39))*100,"")</f>
        <v/>
      </c>
      <c r="E97" s="33">
        <f>IFERROR((INDEX($AQ$40:$AQ$170,ROW()-39)-INDEX($AU$40:$AU$170,ROW()-39))*100,"")</f>
        <v/>
      </c>
      <c r="F97" s="33">
        <f>IFERROR((INDEX($AY$40:$AY$170,ROW()-39)-INDEX($BC$40:$BC$170,ROW()-39))*100,"")</f>
        <v/>
      </c>
      <c r="G97" s="33">
        <f>IFERROR((INDEX($BG$40:$BG$170,ROW()-39)-INDEX($BK$40:$BK$170,ROW()-39))*100,"")</f>
        <v/>
      </c>
    </row>
    <row r="98">
      <c r="A98" s="26">
        <f>IFERROR(INDEX($R$40:$R$170,ROW()-39),"")</f>
        <v/>
      </c>
      <c r="B98" s="33">
        <f>IFERROR((INDEX($S$40:$S$170,ROW()-39)-INDEX($W$40:$W$170,ROW()-39))*100,"")</f>
        <v/>
      </c>
      <c r="C98" s="33">
        <f>IFERROR((INDEX($AA$40:$AA$170,ROW()-39)-INDEX($AE$40:$AE$170,ROW()-39))*100,"")</f>
        <v/>
      </c>
      <c r="D98" s="33">
        <f>IFERROR((INDEX($AI$40:$AI$170,ROW()-39)-INDEX($AM$40:$AM$170,ROW()-39))*100,"")</f>
        <v/>
      </c>
      <c r="E98" s="33">
        <f>IFERROR((INDEX($AQ$40:$AQ$170,ROW()-39)-INDEX($AU$40:$AU$170,ROW()-39))*100,"")</f>
        <v/>
      </c>
      <c r="F98" s="33">
        <f>IFERROR((INDEX($AY$40:$AY$170,ROW()-39)-INDEX($BC$40:$BC$170,ROW()-39))*100,"")</f>
        <v/>
      </c>
      <c r="G98" s="33">
        <f>IFERROR((INDEX($BG$40:$BG$170,ROW()-39)-INDEX($BK$40:$BK$170,ROW()-39))*100,"")</f>
        <v/>
      </c>
    </row>
    <row r="99">
      <c r="A99" s="26">
        <f>IFERROR(INDEX($R$40:$R$170,ROW()-39),"")</f>
        <v/>
      </c>
      <c r="B99" s="33">
        <f>IFERROR((INDEX($S$40:$S$170,ROW()-39)-INDEX($W$40:$W$170,ROW()-39))*100,"")</f>
        <v/>
      </c>
      <c r="C99" s="33">
        <f>IFERROR((INDEX($AA$40:$AA$170,ROW()-39)-INDEX($AE$40:$AE$170,ROW()-39))*100,"")</f>
        <v/>
      </c>
      <c r="D99" s="33">
        <f>IFERROR((INDEX($AI$40:$AI$170,ROW()-39)-INDEX($AM$40:$AM$170,ROW()-39))*100,"")</f>
        <v/>
      </c>
      <c r="E99" s="33">
        <f>IFERROR((INDEX($AQ$40:$AQ$170,ROW()-39)-INDEX($AU$40:$AU$170,ROW()-39))*100,"")</f>
        <v/>
      </c>
      <c r="F99" s="33">
        <f>IFERROR((INDEX($AY$40:$AY$170,ROW()-39)-INDEX($BC$40:$BC$170,ROW()-39))*100,"")</f>
        <v/>
      </c>
      <c r="G99" s="33">
        <f>IFERROR((INDEX($BG$40:$BG$170,ROW()-39)-INDEX($BK$40:$BK$170,ROW()-39))*100,"")</f>
        <v/>
      </c>
    </row>
    <row r="100">
      <c r="A100" s="26">
        <f>IFERROR(INDEX($R$40:$R$170,ROW()-39),"")</f>
        <v/>
      </c>
      <c r="B100" s="33">
        <f>IFERROR((INDEX($S$40:$S$170,ROW()-39)-INDEX($W$40:$W$170,ROW()-39))*100,"")</f>
        <v/>
      </c>
      <c r="C100" s="33">
        <f>IFERROR((INDEX($AA$40:$AA$170,ROW()-39)-INDEX($AE$40:$AE$170,ROW()-39))*100,"")</f>
        <v/>
      </c>
      <c r="D100" s="33">
        <f>IFERROR((INDEX($AI$40:$AI$170,ROW()-39)-INDEX($AM$40:$AM$170,ROW()-39))*100,"")</f>
        <v/>
      </c>
      <c r="E100" s="33">
        <f>IFERROR((INDEX($AQ$40:$AQ$170,ROW()-39)-INDEX($AU$40:$AU$170,ROW()-39))*100,"")</f>
        <v/>
      </c>
      <c r="F100" s="33">
        <f>IFERROR((INDEX($AY$40:$AY$170,ROW()-39)-INDEX($BC$40:$BC$170,ROW()-39))*100,"")</f>
        <v/>
      </c>
      <c r="G100" s="33">
        <f>IFERROR((INDEX($BG$40:$BG$170,ROW()-39)-INDEX($BK$40:$BK$170,ROW()-39))*100,"")</f>
        <v/>
      </c>
    </row>
    <row r="101">
      <c r="A101" s="26">
        <f>IFERROR(INDEX($R$40:$R$170,ROW()-39),"")</f>
        <v/>
      </c>
      <c r="B101" s="33">
        <f>IFERROR((INDEX($S$40:$S$170,ROW()-39)-INDEX($W$40:$W$170,ROW()-39))*100,"")</f>
        <v/>
      </c>
      <c r="C101" s="33">
        <f>IFERROR((INDEX($AA$40:$AA$170,ROW()-39)-INDEX($AE$40:$AE$170,ROW()-39))*100,"")</f>
        <v/>
      </c>
      <c r="D101" s="33">
        <f>IFERROR((INDEX($AI$40:$AI$170,ROW()-39)-INDEX($AM$40:$AM$170,ROW()-39))*100,"")</f>
        <v/>
      </c>
      <c r="E101" s="33">
        <f>IFERROR((INDEX($AQ$40:$AQ$170,ROW()-39)-INDEX($AU$40:$AU$170,ROW()-39))*100,"")</f>
        <v/>
      </c>
      <c r="F101" s="33">
        <f>IFERROR((INDEX($AY$40:$AY$170,ROW()-39)-INDEX($BC$40:$BC$170,ROW()-39))*100,"")</f>
        <v/>
      </c>
      <c r="G101" s="33">
        <f>IFERROR((INDEX($BG$40:$BG$170,ROW()-39)-INDEX($BK$40:$BK$170,ROW()-39))*100,"")</f>
        <v/>
      </c>
    </row>
    <row r="102">
      <c r="A102" s="26">
        <f>IFERROR(INDEX($R$40:$R$170,ROW()-39),"")</f>
        <v/>
      </c>
      <c r="B102" s="33">
        <f>IFERROR((INDEX($S$40:$S$170,ROW()-39)-INDEX($W$40:$W$170,ROW()-39))*100,"")</f>
        <v/>
      </c>
      <c r="C102" s="33">
        <f>IFERROR((INDEX($AA$40:$AA$170,ROW()-39)-INDEX($AE$40:$AE$170,ROW()-39))*100,"")</f>
        <v/>
      </c>
      <c r="D102" s="33">
        <f>IFERROR((INDEX($AI$40:$AI$170,ROW()-39)-INDEX($AM$40:$AM$170,ROW()-39))*100,"")</f>
        <v/>
      </c>
      <c r="E102" s="33">
        <f>IFERROR((INDEX($AQ$40:$AQ$170,ROW()-39)-INDEX($AU$40:$AU$170,ROW()-39))*100,"")</f>
        <v/>
      </c>
      <c r="F102" s="33">
        <f>IFERROR((INDEX($AY$40:$AY$170,ROW()-39)-INDEX($BC$40:$BC$170,ROW()-39))*100,"")</f>
        <v/>
      </c>
      <c r="G102" s="33">
        <f>IFERROR((INDEX($BG$40:$BG$170,ROW()-39)-INDEX($BK$40:$BK$170,ROW()-39))*100,"")</f>
        <v/>
      </c>
    </row>
    <row r="103">
      <c r="A103" s="26">
        <f>IFERROR(INDEX($R$40:$R$170,ROW()-39),"")</f>
        <v/>
      </c>
      <c r="B103" s="33">
        <f>IFERROR((INDEX($S$40:$S$170,ROW()-39)-INDEX($W$40:$W$170,ROW()-39))*100,"")</f>
        <v/>
      </c>
      <c r="C103" s="33">
        <f>IFERROR((INDEX($AA$40:$AA$170,ROW()-39)-INDEX($AE$40:$AE$170,ROW()-39))*100,"")</f>
        <v/>
      </c>
      <c r="D103" s="33">
        <f>IFERROR((INDEX($AI$40:$AI$170,ROW()-39)-INDEX($AM$40:$AM$170,ROW()-39))*100,"")</f>
        <v/>
      </c>
      <c r="E103" s="33">
        <f>IFERROR((INDEX($AQ$40:$AQ$170,ROW()-39)-INDEX($AU$40:$AU$170,ROW()-39))*100,"")</f>
        <v/>
      </c>
      <c r="F103" s="33">
        <f>IFERROR((INDEX($AY$40:$AY$170,ROW()-39)-INDEX($BC$40:$BC$170,ROW()-39))*100,"")</f>
        <v/>
      </c>
      <c r="G103" s="33">
        <f>IFERROR((INDEX($BG$40:$BG$170,ROW()-39)-INDEX($BK$40:$BK$170,ROW()-39))*100,"")</f>
        <v/>
      </c>
    </row>
    <row r="104">
      <c r="A104" s="26">
        <f>IFERROR(INDEX($R$40:$R$170,ROW()-39),"")</f>
        <v/>
      </c>
      <c r="B104" s="33">
        <f>IFERROR((INDEX($S$40:$S$170,ROW()-39)-INDEX($W$40:$W$170,ROW()-39))*100,"")</f>
        <v/>
      </c>
      <c r="C104" s="33">
        <f>IFERROR((INDEX($AA$40:$AA$170,ROW()-39)-INDEX($AE$40:$AE$170,ROW()-39))*100,"")</f>
        <v/>
      </c>
      <c r="D104" s="33">
        <f>IFERROR((INDEX($AI$40:$AI$170,ROW()-39)-INDEX($AM$40:$AM$170,ROW()-39))*100,"")</f>
        <v/>
      </c>
      <c r="E104" s="33">
        <f>IFERROR((INDEX($AQ$40:$AQ$170,ROW()-39)-INDEX($AU$40:$AU$170,ROW()-39))*100,"")</f>
        <v/>
      </c>
      <c r="F104" s="33">
        <f>IFERROR((INDEX($AY$40:$AY$170,ROW()-39)-INDEX($BC$40:$BC$170,ROW()-39))*100,"")</f>
        <v/>
      </c>
      <c r="G104" s="33">
        <f>IFERROR((INDEX($BG$40:$BG$170,ROW()-39)-INDEX($BK$40:$BK$170,ROW()-39))*100,"")</f>
        <v/>
      </c>
    </row>
    <row r="105">
      <c r="A105" s="26">
        <f>IFERROR(INDEX($R$40:$R$170,ROW()-39),"")</f>
        <v/>
      </c>
      <c r="B105" s="33">
        <f>IFERROR((INDEX($S$40:$S$170,ROW()-39)-INDEX($W$40:$W$170,ROW()-39))*100,"")</f>
        <v/>
      </c>
      <c r="C105" s="33">
        <f>IFERROR((INDEX($AA$40:$AA$170,ROW()-39)-INDEX($AE$40:$AE$170,ROW()-39))*100,"")</f>
        <v/>
      </c>
      <c r="D105" s="33">
        <f>IFERROR((INDEX($AI$40:$AI$170,ROW()-39)-INDEX($AM$40:$AM$170,ROW()-39))*100,"")</f>
        <v/>
      </c>
      <c r="E105" s="33">
        <f>IFERROR((INDEX($AQ$40:$AQ$170,ROW()-39)-INDEX($AU$40:$AU$170,ROW()-39))*100,"")</f>
        <v/>
      </c>
      <c r="F105" s="33">
        <f>IFERROR((INDEX($AY$40:$AY$170,ROW()-39)-INDEX($BC$40:$BC$170,ROW()-39))*100,"")</f>
        <v/>
      </c>
      <c r="G105" s="33">
        <f>IFERROR((INDEX($BG$40:$BG$170,ROW()-39)-INDEX($BK$40:$BK$170,ROW()-39))*100,"")</f>
        <v/>
      </c>
    </row>
    <row r="106">
      <c r="A106" s="26">
        <f>IFERROR(INDEX($R$40:$R$170,ROW()-39),"")</f>
        <v/>
      </c>
      <c r="B106" s="33">
        <f>IFERROR((INDEX($S$40:$S$170,ROW()-39)-INDEX($W$40:$W$170,ROW()-39))*100,"")</f>
        <v/>
      </c>
      <c r="C106" s="33">
        <f>IFERROR((INDEX($AA$40:$AA$170,ROW()-39)-INDEX($AE$40:$AE$170,ROW()-39))*100,"")</f>
        <v/>
      </c>
      <c r="D106" s="33">
        <f>IFERROR((INDEX($AI$40:$AI$170,ROW()-39)-INDEX($AM$40:$AM$170,ROW()-39))*100,"")</f>
        <v/>
      </c>
      <c r="E106" s="33">
        <f>IFERROR((INDEX($AQ$40:$AQ$170,ROW()-39)-INDEX($AU$40:$AU$170,ROW()-39))*100,"")</f>
        <v/>
      </c>
      <c r="F106" s="33">
        <f>IFERROR((INDEX($AY$40:$AY$170,ROW()-39)-INDEX($BC$40:$BC$170,ROW()-39))*100,"")</f>
        <v/>
      </c>
      <c r="G106" s="33">
        <f>IFERROR((INDEX($BG$40:$BG$170,ROW()-39)-INDEX($BK$40:$BK$170,ROW()-39))*100,"")</f>
        <v/>
      </c>
    </row>
    <row r="107">
      <c r="A107" s="26">
        <f>IFERROR(INDEX($R$40:$R$170,ROW()-39),"")</f>
        <v/>
      </c>
      <c r="B107" s="33">
        <f>IFERROR((INDEX($S$40:$S$170,ROW()-39)-INDEX($W$40:$W$170,ROW()-39))*100,"")</f>
        <v/>
      </c>
      <c r="C107" s="33">
        <f>IFERROR((INDEX($AA$40:$AA$170,ROW()-39)-INDEX($AE$40:$AE$170,ROW()-39))*100,"")</f>
        <v/>
      </c>
      <c r="D107" s="33">
        <f>IFERROR((INDEX($AI$40:$AI$170,ROW()-39)-INDEX($AM$40:$AM$170,ROW()-39))*100,"")</f>
        <v/>
      </c>
      <c r="E107" s="33">
        <f>IFERROR((INDEX($AQ$40:$AQ$170,ROW()-39)-INDEX($AU$40:$AU$170,ROW()-39))*100,"")</f>
        <v/>
      </c>
      <c r="F107" s="33">
        <f>IFERROR((INDEX($AY$40:$AY$170,ROW()-39)-INDEX($BC$40:$BC$170,ROW()-39))*100,"")</f>
        <v/>
      </c>
      <c r="G107" s="33">
        <f>IFERROR((INDEX($BG$40:$BG$170,ROW()-39)-INDEX($BK$40:$BK$170,ROW()-39))*100,"")</f>
        <v/>
      </c>
    </row>
    <row r="108">
      <c r="A108" s="26">
        <f>IFERROR(INDEX($R$40:$R$170,ROW()-39),"")</f>
        <v/>
      </c>
      <c r="B108" s="33">
        <f>IFERROR((INDEX($S$40:$S$170,ROW()-39)-INDEX($W$40:$W$170,ROW()-39))*100,"")</f>
        <v/>
      </c>
      <c r="C108" s="33">
        <f>IFERROR((INDEX($AA$40:$AA$170,ROW()-39)-INDEX($AE$40:$AE$170,ROW()-39))*100,"")</f>
        <v/>
      </c>
      <c r="D108" s="33">
        <f>IFERROR((INDEX($AI$40:$AI$170,ROW()-39)-INDEX($AM$40:$AM$170,ROW()-39))*100,"")</f>
        <v/>
      </c>
      <c r="E108" s="33">
        <f>IFERROR((INDEX($AQ$40:$AQ$170,ROW()-39)-INDEX($AU$40:$AU$170,ROW()-39))*100,"")</f>
        <v/>
      </c>
      <c r="F108" s="33">
        <f>IFERROR((INDEX($AY$40:$AY$170,ROW()-39)-INDEX($BC$40:$BC$170,ROW()-39))*100,"")</f>
        <v/>
      </c>
      <c r="G108" s="33">
        <f>IFERROR((INDEX($BG$40:$BG$170,ROW()-39)-INDEX($BK$40:$BK$170,ROW()-39))*100,"")</f>
        <v/>
      </c>
    </row>
    <row r="109">
      <c r="A109" s="26">
        <f>IFERROR(INDEX($R$40:$R$170,ROW()-39),"")</f>
        <v/>
      </c>
      <c r="B109" s="33">
        <f>IFERROR((INDEX($S$40:$S$170,ROW()-39)-INDEX($W$40:$W$170,ROW()-39))*100,"")</f>
        <v/>
      </c>
      <c r="C109" s="33">
        <f>IFERROR((INDEX($AA$40:$AA$170,ROW()-39)-INDEX($AE$40:$AE$170,ROW()-39))*100,"")</f>
        <v/>
      </c>
      <c r="D109" s="33">
        <f>IFERROR((INDEX($AI$40:$AI$170,ROW()-39)-INDEX($AM$40:$AM$170,ROW()-39))*100,"")</f>
        <v/>
      </c>
      <c r="E109" s="33">
        <f>IFERROR((INDEX($AQ$40:$AQ$170,ROW()-39)-INDEX($AU$40:$AU$170,ROW()-39))*100,"")</f>
        <v/>
      </c>
      <c r="F109" s="33">
        <f>IFERROR((INDEX($AY$40:$AY$170,ROW()-39)-INDEX($BC$40:$BC$170,ROW()-39))*100,"")</f>
        <v/>
      </c>
      <c r="G109" s="33">
        <f>IFERROR((INDEX($BG$40:$BG$170,ROW()-39)-INDEX($BK$40:$BK$170,ROW()-39))*100,"")</f>
        <v/>
      </c>
    </row>
    <row r="110">
      <c r="A110" s="26">
        <f>IFERROR(INDEX($R$40:$R$170,ROW()-39),"")</f>
        <v/>
      </c>
      <c r="B110" s="33">
        <f>IFERROR((INDEX($S$40:$S$170,ROW()-39)-INDEX($W$40:$W$170,ROW()-39))*100,"")</f>
        <v/>
      </c>
      <c r="C110" s="33">
        <f>IFERROR((INDEX($AA$40:$AA$170,ROW()-39)-INDEX($AE$40:$AE$170,ROW()-39))*100,"")</f>
        <v/>
      </c>
      <c r="D110" s="33">
        <f>IFERROR((INDEX($AI$40:$AI$170,ROW()-39)-INDEX($AM$40:$AM$170,ROW()-39))*100,"")</f>
        <v/>
      </c>
      <c r="E110" s="33">
        <f>IFERROR((INDEX($AQ$40:$AQ$170,ROW()-39)-INDEX($AU$40:$AU$170,ROW()-39))*100,"")</f>
        <v/>
      </c>
      <c r="F110" s="33">
        <f>IFERROR((INDEX($AY$40:$AY$170,ROW()-39)-INDEX($BC$40:$BC$170,ROW()-39))*100,"")</f>
        <v/>
      </c>
      <c r="G110" s="33">
        <f>IFERROR((INDEX($BG$40:$BG$170,ROW()-39)-INDEX($BK$40:$BK$170,ROW()-39))*100,"")</f>
        <v/>
      </c>
    </row>
    <row r="111">
      <c r="A111" s="26">
        <f>IFERROR(INDEX($R$40:$R$170,ROW()-39),"")</f>
        <v/>
      </c>
      <c r="B111" s="33">
        <f>IFERROR((INDEX($S$40:$S$170,ROW()-39)-INDEX($W$40:$W$170,ROW()-39))*100,"")</f>
        <v/>
      </c>
      <c r="C111" s="33">
        <f>IFERROR((INDEX($AA$40:$AA$170,ROW()-39)-INDEX($AE$40:$AE$170,ROW()-39))*100,"")</f>
        <v/>
      </c>
      <c r="D111" s="33">
        <f>IFERROR((INDEX($AI$40:$AI$170,ROW()-39)-INDEX($AM$40:$AM$170,ROW()-39))*100,"")</f>
        <v/>
      </c>
      <c r="E111" s="33">
        <f>IFERROR((INDEX($AQ$40:$AQ$170,ROW()-39)-INDEX($AU$40:$AU$170,ROW()-39))*100,"")</f>
        <v/>
      </c>
      <c r="F111" s="33">
        <f>IFERROR((INDEX($AY$40:$AY$170,ROW()-39)-INDEX($BC$40:$BC$170,ROW()-39))*100,"")</f>
        <v/>
      </c>
      <c r="G111" s="33">
        <f>IFERROR((INDEX($BG$40:$BG$170,ROW()-39)-INDEX($BK$40:$BK$170,ROW()-39))*100,"")</f>
        <v/>
      </c>
    </row>
    <row r="112">
      <c r="A112" s="26">
        <f>IFERROR(INDEX($R$40:$R$170,ROW()-39),"")</f>
        <v/>
      </c>
      <c r="B112" s="33">
        <f>IFERROR((INDEX($S$40:$S$170,ROW()-39)-INDEX($W$40:$W$170,ROW()-39))*100,"")</f>
        <v/>
      </c>
      <c r="C112" s="33">
        <f>IFERROR((INDEX($AA$40:$AA$170,ROW()-39)-INDEX($AE$40:$AE$170,ROW()-39))*100,"")</f>
        <v/>
      </c>
      <c r="D112" s="33">
        <f>IFERROR((INDEX($AI$40:$AI$170,ROW()-39)-INDEX($AM$40:$AM$170,ROW()-39))*100,"")</f>
        <v/>
      </c>
      <c r="E112" s="33">
        <f>IFERROR((INDEX($AQ$40:$AQ$170,ROW()-39)-INDEX($AU$40:$AU$170,ROW()-39))*100,"")</f>
        <v/>
      </c>
      <c r="F112" s="33">
        <f>IFERROR((INDEX($AY$40:$AY$170,ROW()-39)-INDEX($BC$40:$BC$170,ROW()-39))*100,"")</f>
        <v/>
      </c>
      <c r="G112" s="33">
        <f>IFERROR((INDEX($BG$40:$BG$170,ROW()-39)-INDEX($BK$40:$BK$170,ROW()-39))*100,"")</f>
        <v/>
      </c>
    </row>
    <row r="113">
      <c r="A113" s="26">
        <f>IFERROR(INDEX($R$40:$R$170,ROW()-39),"")</f>
        <v/>
      </c>
      <c r="B113" s="33">
        <f>IFERROR((INDEX($S$40:$S$170,ROW()-39)-INDEX($W$40:$W$170,ROW()-39))*100,"")</f>
        <v/>
      </c>
      <c r="C113" s="33">
        <f>IFERROR((INDEX($AA$40:$AA$170,ROW()-39)-INDEX($AE$40:$AE$170,ROW()-39))*100,"")</f>
        <v/>
      </c>
      <c r="D113" s="33">
        <f>IFERROR((INDEX($AI$40:$AI$170,ROW()-39)-INDEX($AM$40:$AM$170,ROW()-39))*100,"")</f>
        <v/>
      </c>
      <c r="E113" s="33">
        <f>IFERROR((INDEX($AQ$40:$AQ$170,ROW()-39)-INDEX($AU$40:$AU$170,ROW()-39))*100,"")</f>
        <v/>
      </c>
      <c r="F113" s="33">
        <f>IFERROR((INDEX($AY$40:$AY$170,ROW()-39)-INDEX($BC$40:$BC$170,ROW()-39))*100,"")</f>
        <v/>
      </c>
      <c r="G113" s="33">
        <f>IFERROR((INDEX($BG$40:$BG$170,ROW()-39)-INDEX($BK$40:$BK$170,ROW()-39))*100,"")</f>
        <v/>
      </c>
    </row>
    <row r="114">
      <c r="A114" s="26">
        <f>IFERROR(INDEX($R$40:$R$170,ROW()-39),"")</f>
        <v/>
      </c>
      <c r="B114" s="33">
        <f>IFERROR((INDEX($S$40:$S$170,ROW()-39)-INDEX($W$40:$W$170,ROW()-39))*100,"")</f>
        <v/>
      </c>
      <c r="C114" s="33">
        <f>IFERROR((INDEX($AA$40:$AA$170,ROW()-39)-INDEX($AE$40:$AE$170,ROW()-39))*100,"")</f>
        <v/>
      </c>
      <c r="D114" s="33">
        <f>IFERROR((INDEX($AI$40:$AI$170,ROW()-39)-INDEX($AM$40:$AM$170,ROW()-39))*100,"")</f>
        <v/>
      </c>
      <c r="E114" s="33">
        <f>IFERROR((INDEX($AQ$40:$AQ$170,ROW()-39)-INDEX($AU$40:$AU$170,ROW()-39))*100,"")</f>
        <v/>
      </c>
      <c r="F114" s="33">
        <f>IFERROR((INDEX($AY$40:$AY$170,ROW()-39)-INDEX($BC$40:$BC$170,ROW()-39))*100,"")</f>
        <v/>
      </c>
      <c r="G114" s="33">
        <f>IFERROR((INDEX($BG$40:$BG$170,ROW()-39)-INDEX($BK$40:$BK$170,ROW()-39))*100,"")</f>
        <v/>
      </c>
    </row>
    <row r="115">
      <c r="A115" s="26">
        <f>IFERROR(INDEX($R$40:$R$170,ROW()-39),"")</f>
        <v/>
      </c>
      <c r="B115" s="33">
        <f>IFERROR((INDEX($S$40:$S$170,ROW()-39)-INDEX($W$40:$W$170,ROW()-39))*100,"")</f>
        <v/>
      </c>
      <c r="C115" s="33">
        <f>IFERROR((INDEX($AA$40:$AA$170,ROW()-39)-INDEX($AE$40:$AE$170,ROW()-39))*100,"")</f>
        <v/>
      </c>
      <c r="D115" s="33">
        <f>IFERROR((INDEX($AI$40:$AI$170,ROW()-39)-INDEX($AM$40:$AM$170,ROW()-39))*100,"")</f>
        <v/>
      </c>
      <c r="E115" s="33">
        <f>IFERROR((INDEX($AQ$40:$AQ$170,ROW()-39)-INDEX($AU$40:$AU$170,ROW()-39))*100,"")</f>
        <v/>
      </c>
      <c r="F115" s="33">
        <f>IFERROR((INDEX($AY$40:$AY$170,ROW()-39)-INDEX($BC$40:$BC$170,ROW()-39))*100,"")</f>
        <v/>
      </c>
      <c r="G115" s="33">
        <f>IFERROR((INDEX($BG$40:$BG$170,ROW()-39)-INDEX($BK$40:$BK$170,ROW()-39))*100,"")</f>
        <v/>
      </c>
    </row>
    <row r="116">
      <c r="A116" s="26">
        <f>IFERROR(INDEX($R$40:$R$170,ROW()-39),"")</f>
        <v/>
      </c>
      <c r="B116" s="33">
        <f>IFERROR((INDEX($S$40:$S$170,ROW()-39)-INDEX($W$40:$W$170,ROW()-39))*100,"")</f>
        <v/>
      </c>
      <c r="C116" s="33">
        <f>IFERROR((INDEX($AA$40:$AA$170,ROW()-39)-INDEX($AE$40:$AE$170,ROW()-39))*100,"")</f>
        <v/>
      </c>
      <c r="D116" s="33">
        <f>IFERROR((INDEX($AI$40:$AI$170,ROW()-39)-INDEX($AM$40:$AM$170,ROW()-39))*100,"")</f>
        <v/>
      </c>
      <c r="E116" s="33">
        <f>IFERROR((INDEX($AQ$40:$AQ$170,ROW()-39)-INDEX($AU$40:$AU$170,ROW()-39))*100,"")</f>
        <v/>
      </c>
      <c r="F116" s="33">
        <f>IFERROR((INDEX($AY$40:$AY$170,ROW()-39)-INDEX($BC$40:$BC$170,ROW()-39))*100,"")</f>
        <v/>
      </c>
      <c r="G116" s="33">
        <f>IFERROR((INDEX($BG$40:$BG$170,ROW()-39)-INDEX($BK$40:$BK$170,ROW()-39))*100,"")</f>
        <v/>
      </c>
    </row>
    <row r="117">
      <c r="A117" s="26">
        <f>IFERROR(INDEX($R$40:$R$170,ROW()-39),"")</f>
        <v/>
      </c>
      <c r="B117" s="33">
        <f>IFERROR((INDEX($S$40:$S$170,ROW()-39)-INDEX($W$40:$W$170,ROW()-39))*100,"")</f>
        <v/>
      </c>
      <c r="C117" s="33">
        <f>IFERROR((INDEX($AA$40:$AA$170,ROW()-39)-INDEX($AE$40:$AE$170,ROW()-39))*100,"")</f>
        <v/>
      </c>
      <c r="D117" s="33">
        <f>IFERROR((INDEX($AI$40:$AI$170,ROW()-39)-INDEX($AM$40:$AM$170,ROW()-39))*100,"")</f>
        <v/>
      </c>
      <c r="E117" s="33">
        <f>IFERROR((INDEX($AQ$40:$AQ$170,ROW()-39)-INDEX($AU$40:$AU$170,ROW()-39))*100,"")</f>
        <v/>
      </c>
      <c r="F117" s="33">
        <f>IFERROR((INDEX($AY$40:$AY$170,ROW()-39)-INDEX($BC$40:$BC$170,ROW()-39))*100,"")</f>
        <v/>
      </c>
      <c r="G117" s="33">
        <f>IFERROR((INDEX($BG$40:$BG$170,ROW()-39)-INDEX($BK$40:$BK$170,ROW()-39))*100,"")</f>
        <v/>
      </c>
    </row>
    <row r="118">
      <c r="A118" s="26">
        <f>IFERROR(INDEX($R$40:$R$170,ROW()-39),"")</f>
        <v/>
      </c>
      <c r="B118" s="33">
        <f>IFERROR((INDEX($S$40:$S$170,ROW()-39)-INDEX($W$40:$W$170,ROW()-39))*100,"")</f>
        <v/>
      </c>
      <c r="C118" s="33">
        <f>IFERROR((INDEX($AA$40:$AA$170,ROW()-39)-INDEX($AE$40:$AE$170,ROW()-39))*100,"")</f>
        <v/>
      </c>
      <c r="D118" s="33">
        <f>IFERROR((INDEX($AI$40:$AI$170,ROW()-39)-INDEX($AM$40:$AM$170,ROW()-39))*100,"")</f>
        <v/>
      </c>
      <c r="E118" s="33">
        <f>IFERROR((INDEX($AQ$40:$AQ$170,ROW()-39)-INDEX($AU$40:$AU$170,ROW()-39))*100,"")</f>
        <v/>
      </c>
      <c r="F118" s="33">
        <f>IFERROR((INDEX($AY$40:$AY$170,ROW()-39)-INDEX($BC$40:$BC$170,ROW()-39))*100,"")</f>
        <v/>
      </c>
      <c r="G118" s="33">
        <f>IFERROR((INDEX($BG$40:$BG$170,ROW()-39)-INDEX($BK$40:$BK$170,ROW()-39))*100,"")</f>
        <v/>
      </c>
    </row>
    <row r="119">
      <c r="A119" s="26">
        <f>IFERROR(INDEX($R$40:$R$170,ROW()-39),"")</f>
        <v/>
      </c>
      <c r="B119" s="33">
        <f>IFERROR((INDEX($S$40:$S$170,ROW()-39)-INDEX($W$40:$W$170,ROW()-39))*100,"")</f>
        <v/>
      </c>
      <c r="C119" s="33">
        <f>IFERROR((INDEX($AA$40:$AA$170,ROW()-39)-INDEX($AE$40:$AE$170,ROW()-39))*100,"")</f>
        <v/>
      </c>
      <c r="D119" s="33">
        <f>IFERROR((INDEX($AI$40:$AI$170,ROW()-39)-INDEX($AM$40:$AM$170,ROW()-39))*100,"")</f>
        <v/>
      </c>
      <c r="E119" s="33">
        <f>IFERROR((INDEX($AQ$40:$AQ$170,ROW()-39)-INDEX($AU$40:$AU$170,ROW()-39))*100,"")</f>
        <v/>
      </c>
      <c r="F119" s="33">
        <f>IFERROR((INDEX($AY$40:$AY$170,ROW()-39)-INDEX($BC$40:$BC$170,ROW()-39))*100,"")</f>
        <v/>
      </c>
      <c r="G119" s="33">
        <f>IFERROR((INDEX($BG$40:$BG$170,ROW()-39)-INDEX($BK$40:$BK$170,ROW()-39))*100,"")</f>
        <v/>
      </c>
    </row>
    <row r="120">
      <c r="A120" s="26">
        <f>IFERROR(INDEX($R$40:$R$170,ROW()-39),"")</f>
        <v/>
      </c>
      <c r="B120" s="33">
        <f>IFERROR((INDEX($S$40:$S$170,ROW()-39)-INDEX($W$40:$W$170,ROW()-39))*100,"")</f>
        <v/>
      </c>
      <c r="C120" s="33">
        <f>IFERROR((INDEX($AA$40:$AA$170,ROW()-39)-INDEX($AE$40:$AE$170,ROW()-39))*100,"")</f>
        <v/>
      </c>
      <c r="D120" s="33">
        <f>IFERROR((INDEX($AI$40:$AI$170,ROW()-39)-INDEX($AM$40:$AM$170,ROW()-39))*100,"")</f>
        <v/>
      </c>
      <c r="E120" s="33">
        <f>IFERROR((INDEX($AQ$40:$AQ$170,ROW()-39)-INDEX($AU$40:$AU$170,ROW()-39))*100,"")</f>
        <v/>
      </c>
      <c r="F120" s="33">
        <f>IFERROR((INDEX($AY$40:$AY$170,ROW()-39)-INDEX($BC$40:$BC$170,ROW()-39))*100,"")</f>
        <v/>
      </c>
      <c r="G120" s="33">
        <f>IFERROR((INDEX($BG$40:$BG$170,ROW()-39)-INDEX($BK$40:$BK$170,ROW()-39))*100,"")</f>
        <v/>
      </c>
    </row>
    <row r="121">
      <c r="A121" s="26">
        <f>IFERROR(INDEX($R$40:$R$170,ROW()-39),"")</f>
        <v/>
      </c>
      <c r="B121" s="33">
        <f>IFERROR((INDEX($S$40:$S$170,ROW()-39)-INDEX($W$40:$W$170,ROW()-39))*100,"")</f>
        <v/>
      </c>
      <c r="C121" s="33">
        <f>IFERROR((INDEX($AA$40:$AA$170,ROW()-39)-INDEX($AE$40:$AE$170,ROW()-39))*100,"")</f>
        <v/>
      </c>
      <c r="D121" s="33">
        <f>IFERROR((INDEX($AI$40:$AI$170,ROW()-39)-INDEX($AM$40:$AM$170,ROW()-39))*100,"")</f>
        <v/>
      </c>
      <c r="E121" s="33">
        <f>IFERROR((INDEX($AQ$40:$AQ$170,ROW()-39)-INDEX($AU$40:$AU$170,ROW()-39))*100,"")</f>
        <v/>
      </c>
      <c r="F121" s="33">
        <f>IFERROR((INDEX($AY$40:$AY$170,ROW()-39)-INDEX($BC$40:$BC$170,ROW()-39))*100,"")</f>
        <v/>
      </c>
      <c r="G121" s="33">
        <f>IFERROR((INDEX($BG$40:$BG$170,ROW()-39)-INDEX($BK$40:$BK$170,ROW()-39))*100,"")</f>
        <v/>
      </c>
    </row>
    <row r="122">
      <c r="A122" s="26">
        <f>IFERROR(INDEX($R$40:$R$170,ROW()-39),"")</f>
        <v/>
      </c>
      <c r="B122" s="33">
        <f>IFERROR((INDEX($S$40:$S$170,ROW()-39)-INDEX($W$40:$W$170,ROW()-39))*100,"")</f>
        <v/>
      </c>
      <c r="C122" s="33">
        <f>IFERROR((INDEX($AA$40:$AA$170,ROW()-39)-INDEX($AE$40:$AE$170,ROW()-39))*100,"")</f>
        <v/>
      </c>
      <c r="D122" s="33">
        <f>IFERROR((INDEX($AI$40:$AI$170,ROW()-39)-INDEX($AM$40:$AM$170,ROW()-39))*100,"")</f>
        <v/>
      </c>
      <c r="E122" s="33">
        <f>IFERROR((INDEX($AQ$40:$AQ$170,ROW()-39)-INDEX($AU$40:$AU$170,ROW()-39))*100,"")</f>
        <v/>
      </c>
      <c r="F122" s="33">
        <f>IFERROR((INDEX($AY$40:$AY$170,ROW()-39)-INDEX($BC$40:$BC$170,ROW()-39))*100,"")</f>
        <v/>
      </c>
      <c r="G122" s="33">
        <f>IFERROR((INDEX($BG$40:$BG$170,ROW()-39)-INDEX($BK$40:$BK$170,ROW()-39))*100,"")</f>
        <v/>
      </c>
    </row>
    <row r="123">
      <c r="A123" s="26">
        <f>IFERROR(INDEX($R$40:$R$170,ROW()-39),"")</f>
        <v/>
      </c>
      <c r="B123" s="33">
        <f>IFERROR((INDEX($S$40:$S$170,ROW()-39)-INDEX($W$40:$W$170,ROW()-39))*100,"")</f>
        <v/>
      </c>
      <c r="C123" s="33">
        <f>IFERROR((INDEX($AA$40:$AA$170,ROW()-39)-INDEX($AE$40:$AE$170,ROW()-39))*100,"")</f>
        <v/>
      </c>
      <c r="D123" s="33">
        <f>IFERROR((INDEX($AI$40:$AI$170,ROW()-39)-INDEX($AM$40:$AM$170,ROW()-39))*100,"")</f>
        <v/>
      </c>
      <c r="E123" s="33">
        <f>IFERROR((INDEX($AQ$40:$AQ$170,ROW()-39)-INDEX($AU$40:$AU$170,ROW()-39))*100,"")</f>
        <v/>
      </c>
      <c r="F123" s="33">
        <f>IFERROR((INDEX($AY$40:$AY$170,ROW()-39)-INDEX($BC$40:$BC$170,ROW()-39))*100,"")</f>
        <v/>
      </c>
      <c r="G123" s="33">
        <f>IFERROR((INDEX($BG$40:$BG$170,ROW()-39)-INDEX($BK$40:$BK$170,ROW()-39))*100,"")</f>
        <v/>
      </c>
    </row>
    <row r="124">
      <c r="A124" s="26">
        <f>IFERROR(INDEX($R$40:$R$170,ROW()-39),"")</f>
        <v/>
      </c>
      <c r="B124" s="33">
        <f>IFERROR((INDEX($S$40:$S$170,ROW()-39)-INDEX($W$40:$W$170,ROW()-39))*100,"")</f>
        <v/>
      </c>
      <c r="C124" s="33">
        <f>IFERROR((INDEX($AA$40:$AA$170,ROW()-39)-INDEX($AE$40:$AE$170,ROW()-39))*100,"")</f>
        <v/>
      </c>
      <c r="D124" s="33">
        <f>IFERROR((INDEX($AI$40:$AI$170,ROW()-39)-INDEX($AM$40:$AM$170,ROW()-39))*100,"")</f>
        <v/>
      </c>
      <c r="E124" s="33">
        <f>IFERROR((INDEX($AQ$40:$AQ$170,ROW()-39)-INDEX($AU$40:$AU$170,ROW()-39))*100,"")</f>
        <v/>
      </c>
      <c r="F124" s="33">
        <f>IFERROR((INDEX($AY$40:$AY$170,ROW()-39)-INDEX($BC$40:$BC$170,ROW()-39))*100,"")</f>
        <v/>
      </c>
      <c r="G124" s="33">
        <f>IFERROR((INDEX($BG$40:$BG$170,ROW()-39)-INDEX($BK$40:$BK$170,ROW()-39))*100,"")</f>
        <v/>
      </c>
    </row>
    <row r="125">
      <c r="A125" s="26">
        <f>IFERROR(INDEX($R$40:$R$170,ROW()-39),"")</f>
        <v/>
      </c>
      <c r="B125" s="33">
        <f>IFERROR((INDEX($S$40:$S$170,ROW()-39)-INDEX($W$40:$W$170,ROW()-39))*100,"")</f>
        <v/>
      </c>
      <c r="C125" s="33">
        <f>IFERROR((INDEX($AA$40:$AA$170,ROW()-39)-INDEX($AE$40:$AE$170,ROW()-39))*100,"")</f>
        <v/>
      </c>
      <c r="D125" s="33">
        <f>IFERROR((INDEX($AI$40:$AI$170,ROW()-39)-INDEX($AM$40:$AM$170,ROW()-39))*100,"")</f>
        <v/>
      </c>
      <c r="E125" s="33">
        <f>IFERROR((INDEX($AQ$40:$AQ$170,ROW()-39)-INDEX($AU$40:$AU$170,ROW()-39))*100,"")</f>
        <v/>
      </c>
      <c r="F125" s="33">
        <f>IFERROR((INDEX($AY$40:$AY$170,ROW()-39)-INDEX($BC$40:$BC$170,ROW()-39))*100,"")</f>
        <v/>
      </c>
      <c r="G125" s="33">
        <f>IFERROR((INDEX($BG$40:$BG$170,ROW()-39)-INDEX($BK$40:$BK$170,ROW()-39))*100,"")</f>
        <v/>
      </c>
    </row>
    <row r="126">
      <c r="A126" s="26">
        <f>IFERROR(INDEX($R$40:$R$170,ROW()-39),"")</f>
        <v/>
      </c>
      <c r="B126" s="33">
        <f>IFERROR((INDEX($S$40:$S$170,ROW()-39)-INDEX($W$40:$W$170,ROW()-39))*100,"")</f>
        <v/>
      </c>
      <c r="C126" s="33">
        <f>IFERROR((INDEX($AA$40:$AA$170,ROW()-39)-INDEX($AE$40:$AE$170,ROW()-39))*100,"")</f>
        <v/>
      </c>
      <c r="D126" s="33">
        <f>IFERROR((INDEX($AI$40:$AI$170,ROW()-39)-INDEX($AM$40:$AM$170,ROW()-39))*100,"")</f>
        <v/>
      </c>
      <c r="E126" s="33">
        <f>IFERROR((INDEX($AQ$40:$AQ$170,ROW()-39)-INDEX($AU$40:$AU$170,ROW()-39))*100,"")</f>
        <v/>
      </c>
      <c r="F126" s="33">
        <f>IFERROR((INDEX($AY$40:$AY$170,ROW()-39)-INDEX($BC$40:$BC$170,ROW()-39))*100,"")</f>
        <v/>
      </c>
      <c r="G126" s="33">
        <f>IFERROR((INDEX($BG$40:$BG$170,ROW()-39)-INDEX($BK$40:$BK$170,ROW()-39))*100,"")</f>
        <v/>
      </c>
    </row>
    <row r="127">
      <c r="A127" s="26">
        <f>IFERROR(INDEX($R$40:$R$170,ROW()-39),"")</f>
        <v/>
      </c>
      <c r="B127" s="33">
        <f>IFERROR((INDEX($S$40:$S$170,ROW()-39)-INDEX($W$40:$W$170,ROW()-39))*100,"")</f>
        <v/>
      </c>
      <c r="C127" s="33">
        <f>IFERROR((INDEX($AA$40:$AA$170,ROW()-39)-INDEX($AE$40:$AE$170,ROW()-39))*100,"")</f>
        <v/>
      </c>
      <c r="D127" s="33">
        <f>IFERROR((INDEX($AI$40:$AI$170,ROW()-39)-INDEX($AM$40:$AM$170,ROW()-39))*100,"")</f>
        <v/>
      </c>
      <c r="E127" s="33">
        <f>IFERROR((INDEX($AQ$40:$AQ$170,ROW()-39)-INDEX($AU$40:$AU$170,ROW()-39))*100,"")</f>
        <v/>
      </c>
      <c r="F127" s="33">
        <f>IFERROR((INDEX($AY$40:$AY$170,ROW()-39)-INDEX($BC$40:$BC$170,ROW()-39))*100,"")</f>
        <v/>
      </c>
      <c r="G127" s="33">
        <f>IFERROR((INDEX($BG$40:$BG$170,ROW()-39)-INDEX($BK$40:$BK$170,ROW()-39))*100,"")</f>
        <v/>
      </c>
    </row>
    <row r="128">
      <c r="A128" s="26">
        <f>IFERROR(INDEX($R$40:$R$170,ROW()-39),"")</f>
        <v/>
      </c>
      <c r="B128" s="33">
        <f>IFERROR((INDEX($S$40:$S$170,ROW()-39)-INDEX($W$40:$W$170,ROW()-39))*100,"")</f>
        <v/>
      </c>
      <c r="C128" s="33">
        <f>IFERROR((INDEX($AA$40:$AA$170,ROW()-39)-INDEX($AE$40:$AE$170,ROW()-39))*100,"")</f>
        <v/>
      </c>
      <c r="D128" s="33">
        <f>IFERROR((INDEX($AI$40:$AI$170,ROW()-39)-INDEX($AM$40:$AM$170,ROW()-39))*100,"")</f>
        <v/>
      </c>
      <c r="E128" s="33">
        <f>IFERROR((INDEX($AQ$40:$AQ$170,ROW()-39)-INDEX($AU$40:$AU$170,ROW()-39))*100,"")</f>
        <v/>
      </c>
      <c r="F128" s="33">
        <f>IFERROR((INDEX($AY$40:$AY$170,ROW()-39)-INDEX($BC$40:$BC$170,ROW()-39))*100,"")</f>
        <v/>
      </c>
      <c r="G128" s="33">
        <f>IFERROR((INDEX($BG$40:$BG$170,ROW()-39)-INDEX($BK$40:$BK$170,ROW()-39))*100,"")</f>
        <v/>
      </c>
    </row>
    <row r="129">
      <c r="A129" s="26">
        <f>IFERROR(INDEX($R$40:$R$170,ROW()-39),"")</f>
        <v/>
      </c>
      <c r="B129" s="33">
        <f>IFERROR((INDEX($S$40:$S$170,ROW()-39)-INDEX($W$40:$W$170,ROW()-39))*100,"")</f>
        <v/>
      </c>
      <c r="C129" s="33">
        <f>IFERROR((INDEX($AA$40:$AA$170,ROW()-39)-INDEX($AE$40:$AE$170,ROW()-39))*100,"")</f>
        <v/>
      </c>
      <c r="D129" s="33">
        <f>IFERROR((INDEX($AI$40:$AI$170,ROW()-39)-INDEX($AM$40:$AM$170,ROW()-39))*100,"")</f>
        <v/>
      </c>
      <c r="E129" s="33">
        <f>IFERROR((INDEX($AQ$40:$AQ$170,ROW()-39)-INDEX($AU$40:$AU$170,ROW()-39))*100,"")</f>
        <v/>
      </c>
      <c r="F129" s="33">
        <f>IFERROR((INDEX($AY$40:$AY$170,ROW()-39)-INDEX($BC$40:$BC$170,ROW()-39))*100,"")</f>
        <v/>
      </c>
      <c r="G129" s="33">
        <f>IFERROR((INDEX($BG$40:$BG$170,ROW()-39)-INDEX($BK$40:$BK$170,ROW()-39))*100,"")</f>
        <v/>
      </c>
    </row>
    <row r="130">
      <c r="A130" s="26">
        <f>IFERROR(INDEX($R$40:$R$170,ROW()-39),"")</f>
        <v/>
      </c>
      <c r="B130" s="33">
        <f>IFERROR((INDEX($S$40:$S$170,ROW()-39)-INDEX($W$40:$W$170,ROW()-39))*100,"")</f>
        <v/>
      </c>
      <c r="C130" s="33">
        <f>IFERROR((INDEX($AA$40:$AA$170,ROW()-39)-INDEX($AE$40:$AE$170,ROW()-39))*100,"")</f>
        <v/>
      </c>
      <c r="D130" s="33">
        <f>IFERROR((INDEX($AI$40:$AI$170,ROW()-39)-INDEX($AM$40:$AM$170,ROW()-39))*100,"")</f>
        <v/>
      </c>
      <c r="E130" s="33">
        <f>IFERROR((INDEX($AQ$40:$AQ$170,ROW()-39)-INDEX($AU$40:$AU$170,ROW()-39))*100,"")</f>
        <v/>
      </c>
      <c r="F130" s="33">
        <f>IFERROR((INDEX($AY$40:$AY$170,ROW()-39)-INDEX($BC$40:$BC$170,ROW()-39))*100,"")</f>
        <v/>
      </c>
      <c r="G130" s="33">
        <f>IFERROR((INDEX($BG$40:$BG$170,ROW()-39)-INDEX($BK$40:$BK$170,ROW()-39))*100,"")</f>
        <v/>
      </c>
    </row>
    <row r="131">
      <c r="A131" s="26">
        <f>IFERROR(INDEX($R$40:$R$170,ROW()-39),"")</f>
        <v/>
      </c>
      <c r="B131" s="33">
        <f>IFERROR((INDEX($S$40:$S$170,ROW()-39)-INDEX($W$40:$W$170,ROW()-39))*100,"")</f>
        <v/>
      </c>
      <c r="C131" s="33">
        <f>IFERROR((INDEX($AA$40:$AA$170,ROW()-39)-INDEX($AE$40:$AE$170,ROW()-39))*100,"")</f>
        <v/>
      </c>
      <c r="D131" s="33">
        <f>IFERROR((INDEX($AI$40:$AI$170,ROW()-39)-INDEX($AM$40:$AM$170,ROW()-39))*100,"")</f>
        <v/>
      </c>
      <c r="E131" s="33">
        <f>IFERROR((INDEX($AQ$40:$AQ$170,ROW()-39)-INDEX($AU$40:$AU$170,ROW()-39))*100,"")</f>
        <v/>
      </c>
      <c r="F131" s="33">
        <f>IFERROR((INDEX($AY$40:$AY$170,ROW()-39)-INDEX($BC$40:$BC$170,ROW()-39))*100,"")</f>
        <v/>
      </c>
      <c r="G131" s="33">
        <f>IFERROR((INDEX($BG$40:$BG$170,ROW()-39)-INDEX($BK$40:$BK$170,ROW()-39))*100,"")</f>
        <v/>
      </c>
    </row>
    <row r="132">
      <c r="A132" s="26">
        <f>IFERROR(INDEX($R$40:$R$170,ROW()-39),"")</f>
        <v/>
      </c>
      <c r="B132" s="33">
        <f>IFERROR((INDEX($S$40:$S$170,ROW()-39)-INDEX($W$40:$W$170,ROW()-39))*100,"")</f>
        <v/>
      </c>
      <c r="C132" s="33">
        <f>IFERROR((INDEX($AA$40:$AA$170,ROW()-39)-INDEX($AE$40:$AE$170,ROW()-39))*100,"")</f>
        <v/>
      </c>
      <c r="D132" s="33">
        <f>IFERROR((INDEX($AI$40:$AI$170,ROW()-39)-INDEX($AM$40:$AM$170,ROW()-39))*100,"")</f>
        <v/>
      </c>
      <c r="E132" s="33">
        <f>IFERROR((INDEX($AQ$40:$AQ$170,ROW()-39)-INDEX($AU$40:$AU$170,ROW()-39))*100,"")</f>
        <v/>
      </c>
      <c r="F132" s="33">
        <f>IFERROR((INDEX($AY$40:$AY$170,ROW()-39)-INDEX($BC$40:$BC$170,ROW()-39))*100,"")</f>
        <v/>
      </c>
      <c r="G132" s="33">
        <f>IFERROR((INDEX($BG$40:$BG$170,ROW()-39)-INDEX($BK$40:$BK$170,ROW()-39))*100,"")</f>
        <v/>
      </c>
    </row>
    <row r="133">
      <c r="A133" s="26">
        <f>IFERROR(INDEX($R$40:$R$170,ROW()-39),"")</f>
        <v/>
      </c>
      <c r="B133" s="33">
        <f>IFERROR((INDEX($S$40:$S$170,ROW()-39)-INDEX($W$40:$W$170,ROW()-39))*100,"")</f>
        <v/>
      </c>
      <c r="C133" s="33">
        <f>IFERROR((INDEX($AA$40:$AA$170,ROW()-39)-INDEX($AE$40:$AE$170,ROW()-39))*100,"")</f>
        <v/>
      </c>
      <c r="D133" s="33">
        <f>IFERROR((INDEX($AI$40:$AI$170,ROW()-39)-INDEX($AM$40:$AM$170,ROW()-39))*100,"")</f>
        <v/>
      </c>
      <c r="E133" s="33">
        <f>IFERROR((INDEX($AQ$40:$AQ$170,ROW()-39)-INDEX($AU$40:$AU$170,ROW()-39))*100,"")</f>
        <v/>
      </c>
      <c r="F133" s="33">
        <f>IFERROR((INDEX($AY$40:$AY$170,ROW()-39)-INDEX($BC$40:$BC$170,ROW()-39))*100,"")</f>
        <v/>
      </c>
      <c r="G133" s="33">
        <f>IFERROR((INDEX($BG$40:$BG$170,ROW()-39)-INDEX($BK$40:$BK$170,ROW()-39))*100,"")</f>
        <v/>
      </c>
    </row>
    <row r="134">
      <c r="A134" s="26">
        <f>IFERROR(INDEX($R$40:$R$170,ROW()-39),"")</f>
        <v/>
      </c>
      <c r="B134" s="33">
        <f>IFERROR((INDEX($S$40:$S$170,ROW()-39)-INDEX($W$40:$W$170,ROW()-39))*100,"")</f>
        <v/>
      </c>
      <c r="C134" s="33">
        <f>IFERROR((INDEX($AA$40:$AA$170,ROW()-39)-INDEX($AE$40:$AE$170,ROW()-39))*100,"")</f>
        <v/>
      </c>
      <c r="D134" s="33">
        <f>IFERROR((INDEX($AI$40:$AI$170,ROW()-39)-INDEX($AM$40:$AM$170,ROW()-39))*100,"")</f>
        <v/>
      </c>
      <c r="E134" s="33">
        <f>IFERROR((INDEX($AQ$40:$AQ$170,ROW()-39)-INDEX($AU$40:$AU$170,ROW()-39))*100,"")</f>
        <v/>
      </c>
      <c r="F134" s="33">
        <f>IFERROR((INDEX($AY$40:$AY$170,ROW()-39)-INDEX($BC$40:$BC$170,ROW()-39))*100,"")</f>
        <v/>
      </c>
      <c r="G134" s="33">
        <f>IFERROR((INDEX($BG$40:$BG$170,ROW()-39)-INDEX($BK$40:$BK$170,ROW()-39))*100,"")</f>
        <v/>
      </c>
    </row>
    <row r="135">
      <c r="A135" s="26">
        <f>IFERROR(INDEX($R$40:$R$170,ROW()-39),"")</f>
        <v/>
      </c>
      <c r="B135" s="33">
        <f>IFERROR((INDEX($S$40:$S$170,ROW()-39)-INDEX($W$40:$W$170,ROW()-39))*100,"")</f>
        <v/>
      </c>
      <c r="C135" s="33">
        <f>IFERROR((INDEX($AA$40:$AA$170,ROW()-39)-INDEX($AE$40:$AE$170,ROW()-39))*100,"")</f>
        <v/>
      </c>
      <c r="D135" s="33">
        <f>IFERROR((INDEX($AI$40:$AI$170,ROW()-39)-INDEX($AM$40:$AM$170,ROW()-39))*100,"")</f>
        <v/>
      </c>
      <c r="E135" s="33">
        <f>IFERROR((INDEX($AQ$40:$AQ$170,ROW()-39)-INDEX($AU$40:$AU$170,ROW()-39))*100,"")</f>
        <v/>
      </c>
      <c r="F135" s="33">
        <f>IFERROR((INDEX($AY$40:$AY$170,ROW()-39)-INDEX($BC$40:$BC$170,ROW()-39))*100,"")</f>
        <v/>
      </c>
      <c r="G135" s="33">
        <f>IFERROR((INDEX($BG$40:$BG$170,ROW()-39)-INDEX($BK$40:$BK$170,ROW()-39))*100,"")</f>
        <v/>
      </c>
    </row>
    <row r="136">
      <c r="A136" s="26">
        <f>IFERROR(INDEX($R$40:$R$170,ROW()-39),"")</f>
        <v/>
      </c>
      <c r="B136" s="33">
        <f>IFERROR((INDEX($S$40:$S$170,ROW()-39)-INDEX($W$40:$W$170,ROW()-39))*100,"")</f>
        <v/>
      </c>
      <c r="C136" s="33">
        <f>IFERROR((INDEX($AA$40:$AA$170,ROW()-39)-INDEX($AE$40:$AE$170,ROW()-39))*100,"")</f>
        <v/>
      </c>
      <c r="D136" s="33">
        <f>IFERROR((INDEX($AI$40:$AI$170,ROW()-39)-INDEX($AM$40:$AM$170,ROW()-39))*100,"")</f>
        <v/>
      </c>
      <c r="E136" s="33">
        <f>IFERROR((INDEX($AQ$40:$AQ$170,ROW()-39)-INDEX($AU$40:$AU$170,ROW()-39))*100,"")</f>
        <v/>
      </c>
      <c r="F136" s="33">
        <f>IFERROR((INDEX($AY$40:$AY$170,ROW()-39)-INDEX($BC$40:$BC$170,ROW()-39))*100,"")</f>
        <v/>
      </c>
      <c r="G136" s="33">
        <f>IFERROR((INDEX($BG$40:$BG$170,ROW()-39)-INDEX($BK$40:$BK$170,ROW()-39))*100,"")</f>
        <v/>
      </c>
    </row>
    <row r="137">
      <c r="A137" s="26">
        <f>IFERROR(INDEX($R$40:$R$170,ROW()-39),"")</f>
        <v/>
      </c>
      <c r="B137" s="33">
        <f>IFERROR((INDEX($S$40:$S$170,ROW()-39)-INDEX($W$40:$W$170,ROW()-39))*100,"")</f>
        <v/>
      </c>
      <c r="C137" s="33">
        <f>IFERROR((INDEX($AA$40:$AA$170,ROW()-39)-INDEX($AE$40:$AE$170,ROW()-39))*100,"")</f>
        <v/>
      </c>
      <c r="D137" s="33">
        <f>IFERROR((INDEX($AI$40:$AI$170,ROW()-39)-INDEX($AM$40:$AM$170,ROW()-39))*100,"")</f>
        <v/>
      </c>
      <c r="E137" s="33">
        <f>IFERROR((INDEX($AQ$40:$AQ$170,ROW()-39)-INDEX($AU$40:$AU$170,ROW()-39))*100,"")</f>
        <v/>
      </c>
      <c r="F137" s="33">
        <f>IFERROR((INDEX($AY$40:$AY$170,ROW()-39)-INDEX($BC$40:$BC$170,ROW()-39))*100,"")</f>
        <v/>
      </c>
      <c r="G137" s="33">
        <f>IFERROR((INDEX($BG$40:$BG$170,ROW()-39)-INDEX($BK$40:$BK$170,ROW()-39))*100,"")</f>
        <v/>
      </c>
    </row>
    <row r="138">
      <c r="A138" s="26">
        <f>IFERROR(INDEX($R$40:$R$170,ROW()-39),"")</f>
        <v/>
      </c>
      <c r="B138" s="33">
        <f>IFERROR((INDEX($S$40:$S$170,ROW()-39)-INDEX($W$40:$W$170,ROW()-39))*100,"")</f>
        <v/>
      </c>
      <c r="C138" s="33">
        <f>IFERROR((INDEX($AA$40:$AA$170,ROW()-39)-INDEX($AE$40:$AE$170,ROW()-39))*100,"")</f>
        <v/>
      </c>
      <c r="D138" s="33">
        <f>IFERROR((INDEX($AI$40:$AI$170,ROW()-39)-INDEX($AM$40:$AM$170,ROW()-39))*100,"")</f>
        <v/>
      </c>
      <c r="E138" s="33">
        <f>IFERROR((INDEX($AQ$40:$AQ$170,ROW()-39)-INDEX($AU$40:$AU$170,ROW()-39))*100,"")</f>
        <v/>
      </c>
      <c r="F138" s="33">
        <f>IFERROR((INDEX($AY$40:$AY$170,ROW()-39)-INDEX($BC$40:$BC$170,ROW()-39))*100,"")</f>
        <v/>
      </c>
      <c r="G138" s="33">
        <f>IFERROR((INDEX($BG$40:$BG$170,ROW()-39)-INDEX($BK$40:$BK$170,ROW()-39))*100,"")</f>
        <v/>
      </c>
    </row>
    <row r="139">
      <c r="A139" s="26">
        <f>IFERROR(INDEX($R$40:$R$170,ROW()-39),"")</f>
        <v/>
      </c>
      <c r="B139" s="33">
        <f>IFERROR((INDEX($S$40:$S$170,ROW()-39)-INDEX($W$40:$W$170,ROW()-39))*100,"")</f>
        <v/>
      </c>
      <c r="C139" s="33">
        <f>IFERROR((INDEX($AA$40:$AA$170,ROW()-39)-INDEX($AE$40:$AE$170,ROW()-39))*100,"")</f>
        <v/>
      </c>
      <c r="D139" s="33">
        <f>IFERROR((INDEX($AI$40:$AI$170,ROW()-39)-INDEX($AM$40:$AM$170,ROW()-39))*100,"")</f>
        <v/>
      </c>
      <c r="E139" s="33">
        <f>IFERROR((INDEX($AQ$40:$AQ$170,ROW()-39)-INDEX($AU$40:$AU$170,ROW()-39))*100,"")</f>
        <v/>
      </c>
      <c r="F139" s="33">
        <f>IFERROR((INDEX($AY$40:$AY$170,ROW()-39)-INDEX($BC$40:$BC$170,ROW()-39))*100,"")</f>
        <v/>
      </c>
      <c r="G139" s="33">
        <f>IFERROR((INDEX($BG$40:$BG$170,ROW()-39)-INDEX($BK$40:$BK$170,ROW()-39))*100,"")</f>
        <v/>
      </c>
    </row>
    <row r="140">
      <c r="A140" s="26">
        <f>IFERROR(INDEX($R$40:$R$170,ROW()-39),"")</f>
        <v/>
      </c>
      <c r="B140" s="33">
        <f>IFERROR((INDEX($S$40:$S$170,ROW()-39)-INDEX($W$40:$W$170,ROW()-39))*100,"")</f>
        <v/>
      </c>
      <c r="C140" s="33">
        <f>IFERROR((INDEX($AA$40:$AA$170,ROW()-39)-INDEX($AE$40:$AE$170,ROW()-39))*100,"")</f>
        <v/>
      </c>
      <c r="D140" s="33">
        <f>IFERROR((INDEX($AI$40:$AI$170,ROW()-39)-INDEX($AM$40:$AM$170,ROW()-39))*100,"")</f>
        <v/>
      </c>
      <c r="E140" s="33">
        <f>IFERROR((INDEX($AQ$40:$AQ$170,ROW()-39)-INDEX($AU$40:$AU$170,ROW()-39))*100,"")</f>
        <v/>
      </c>
      <c r="F140" s="33">
        <f>IFERROR((INDEX($AY$40:$AY$170,ROW()-39)-INDEX($BC$40:$BC$170,ROW()-39))*100,"")</f>
        <v/>
      </c>
      <c r="G140" s="33">
        <f>IFERROR((INDEX($BG$40:$BG$170,ROW()-39)-INDEX($BK$40:$BK$170,ROW()-39))*100,"")</f>
        <v/>
      </c>
    </row>
    <row r="141">
      <c r="A141" s="26">
        <f>IFERROR(INDEX($R$40:$R$170,ROW()-39),"")</f>
        <v/>
      </c>
      <c r="B141" s="33">
        <f>IFERROR((INDEX($S$40:$S$170,ROW()-39)-INDEX($W$40:$W$170,ROW()-39))*100,"")</f>
        <v/>
      </c>
      <c r="C141" s="33">
        <f>IFERROR((INDEX($AA$40:$AA$170,ROW()-39)-INDEX($AE$40:$AE$170,ROW()-39))*100,"")</f>
        <v/>
      </c>
      <c r="D141" s="33">
        <f>IFERROR((INDEX($AI$40:$AI$170,ROW()-39)-INDEX($AM$40:$AM$170,ROW()-39))*100,"")</f>
        <v/>
      </c>
      <c r="E141" s="33">
        <f>IFERROR((INDEX($AQ$40:$AQ$170,ROW()-39)-INDEX($AU$40:$AU$170,ROW()-39))*100,"")</f>
        <v/>
      </c>
      <c r="F141" s="33">
        <f>IFERROR((INDEX($AY$40:$AY$170,ROW()-39)-INDEX($BC$40:$BC$170,ROW()-39))*100,"")</f>
        <v/>
      </c>
      <c r="G141" s="33">
        <f>IFERROR((INDEX($BG$40:$BG$170,ROW()-39)-INDEX($BK$40:$BK$170,ROW()-39))*100,"")</f>
        <v/>
      </c>
    </row>
    <row r="142">
      <c r="A142" s="26">
        <f>IFERROR(INDEX($R$40:$R$170,ROW()-39),"")</f>
        <v/>
      </c>
      <c r="B142" s="33">
        <f>IFERROR((INDEX($S$40:$S$170,ROW()-39)-INDEX($W$40:$W$170,ROW()-39))*100,"")</f>
        <v/>
      </c>
      <c r="C142" s="33">
        <f>IFERROR((INDEX($AA$40:$AA$170,ROW()-39)-INDEX($AE$40:$AE$170,ROW()-39))*100,"")</f>
        <v/>
      </c>
      <c r="D142" s="33">
        <f>IFERROR((INDEX($AI$40:$AI$170,ROW()-39)-INDEX($AM$40:$AM$170,ROW()-39))*100,"")</f>
        <v/>
      </c>
      <c r="E142" s="33">
        <f>IFERROR((INDEX($AQ$40:$AQ$170,ROW()-39)-INDEX($AU$40:$AU$170,ROW()-39))*100,"")</f>
        <v/>
      </c>
      <c r="F142" s="33">
        <f>IFERROR((INDEX($AY$40:$AY$170,ROW()-39)-INDEX($BC$40:$BC$170,ROW()-39))*100,"")</f>
        <v/>
      </c>
      <c r="G142" s="33">
        <f>IFERROR((INDEX($BG$40:$BG$170,ROW()-39)-INDEX($BK$40:$BK$170,ROW()-39))*100,"")</f>
        <v/>
      </c>
    </row>
    <row r="143">
      <c r="A143" s="26">
        <f>IFERROR(INDEX($R$40:$R$170,ROW()-39),"")</f>
        <v/>
      </c>
      <c r="B143" s="33">
        <f>IFERROR((INDEX($S$40:$S$170,ROW()-39)-INDEX($W$40:$W$170,ROW()-39))*100,"")</f>
        <v/>
      </c>
      <c r="C143" s="33">
        <f>IFERROR((INDEX($AA$40:$AA$170,ROW()-39)-INDEX($AE$40:$AE$170,ROW()-39))*100,"")</f>
        <v/>
      </c>
      <c r="D143" s="33">
        <f>IFERROR((INDEX($AI$40:$AI$170,ROW()-39)-INDEX($AM$40:$AM$170,ROW()-39))*100,"")</f>
        <v/>
      </c>
      <c r="E143" s="33">
        <f>IFERROR((INDEX($AQ$40:$AQ$170,ROW()-39)-INDEX($AU$40:$AU$170,ROW()-39))*100,"")</f>
        <v/>
      </c>
      <c r="F143" s="33">
        <f>IFERROR((INDEX($AY$40:$AY$170,ROW()-39)-INDEX($BC$40:$BC$170,ROW()-39))*100,"")</f>
        <v/>
      </c>
      <c r="G143" s="33">
        <f>IFERROR((INDEX($BG$40:$BG$170,ROW()-39)-INDEX($BK$40:$BK$170,ROW()-39))*100,"")</f>
        <v/>
      </c>
    </row>
    <row r="144">
      <c r="A144" s="26">
        <f>IFERROR(INDEX($R$40:$R$170,ROW()-39),"")</f>
        <v/>
      </c>
      <c r="B144" s="33">
        <f>IFERROR((INDEX($S$40:$S$170,ROW()-39)-INDEX($W$40:$W$170,ROW()-39))*100,"")</f>
        <v/>
      </c>
      <c r="C144" s="33">
        <f>IFERROR((INDEX($AA$40:$AA$170,ROW()-39)-INDEX($AE$40:$AE$170,ROW()-39))*100,"")</f>
        <v/>
      </c>
      <c r="D144" s="33">
        <f>IFERROR((INDEX($AI$40:$AI$170,ROW()-39)-INDEX($AM$40:$AM$170,ROW()-39))*100,"")</f>
        <v/>
      </c>
      <c r="E144" s="33">
        <f>IFERROR((INDEX($AQ$40:$AQ$170,ROW()-39)-INDEX($AU$40:$AU$170,ROW()-39))*100,"")</f>
        <v/>
      </c>
      <c r="F144" s="33">
        <f>IFERROR((INDEX($AY$40:$AY$170,ROW()-39)-INDEX($BC$40:$BC$170,ROW()-39))*100,"")</f>
        <v/>
      </c>
      <c r="G144" s="33">
        <f>IFERROR((INDEX($BG$40:$BG$170,ROW()-39)-INDEX($BK$40:$BK$170,ROW()-39))*100,"")</f>
        <v/>
      </c>
    </row>
    <row r="145">
      <c r="A145" s="26">
        <f>IFERROR(INDEX($R$40:$R$170,ROW()-39),"")</f>
        <v/>
      </c>
      <c r="B145" s="33">
        <f>IFERROR((INDEX($S$40:$S$170,ROW()-39)-INDEX($W$40:$W$170,ROW()-39))*100,"")</f>
        <v/>
      </c>
      <c r="C145" s="33">
        <f>IFERROR((INDEX($AA$40:$AA$170,ROW()-39)-INDEX($AE$40:$AE$170,ROW()-39))*100,"")</f>
        <v/>
      </c>
      <c r="D145" s="33">
        <f>IFERROR((INDEX($AI$40:$AI$170,ROW()-39)-INDEX($AM$40:$AM$170,ROW()-39))*100,"")</f>
        <v/>
      </c>
      <c r="E145" s="33">
        <f>IFERROR((INDEX($AQ$40:$AQ$170,ROW()-39)-INDEX($AU$40:$AU$170,ROW()-39))*100,"")</f>
        <v/>
      </c>
      <c r="F145" s="33">
        <f>IFERROR((INDEX($AY$40:$AY$170,ROW()-39)-INDEX($BC$40:$BC$170,ROW()-39))*100,"")</f>
        <v/>
      </c>
      <c r="G145" s="33">
        <f>IFERROR((INDEX($BG$40:$BG$170,ROW()-39)-INDEX($BK$40:$BK$170,ROW()-39))*100,"")</f>
        <v/>
      </c>
    </row>
    <row r="146">
      <c r="A146" s="26">
        <f>IFERROR(INDEX($R$40:$R$170,ROW()-39),"")</f>
        <v/>
      </c>
      <c r="B146" s="33">
        <f>IFERROR((INDEX($S$40:$S$170,ROW()-39)-INDEX($W$40:$W$170,ROW()-39))*100,"")</f>
        <v/>
      </c>
      <c r="C146" s="33">
        <f>IFERROR((INDEX($AA$40:$AA$170,ROW()-39)-INDEX($AE$40:$AE$170,ROW()-39))*100,"")</f>
        <v/>
      </c>
      <c r="D146" s="33">
        <f>IFERROR((INDEX($AI$40:$AI$170,ROW()-39)-INDEX($AM$40:$AM$170,ROW()-39))*100,"")</f>
        <v/>
      </c>
      <c r="E146" s="33">
        <f>IFERROR((INDEX($AQ$40:$AQ$170,ROW()-39)-INDEX($AU$40:$AU$170,ROW()-39))*100,"")</f>
        <v/>
      </c>
      <c r="F146" s="33">
        <f>IFERROR((INDEX($AY$40:$AY$170,ROW()-39)-INDEX($BC$40:$BC$170,ROW()-39))*100,"")</f>
        <v/>
      </c>
      <c r="G146" s="33">
        <f>IFERROR((INDEX($BG$40:$BG$170,ROW()-39)-INDEX($BK$40:$BK$170,ROW()-39))*100,"")</f>
        <v/>
      </c>
    </row>
    <row r="147">
      <c r="A147" s="26">
        <f>IFERROR(INDEX($R$40:$R$170,ROW()-39),"")</f>
        <v/>
      </c>
      <c r="B147" s="33">
        <f>IFERROR((INDEX($S$40:$S$170,ROW()-39)-INDEX($W$40:$W$170,ROW()-39))*100,"")</f>
        <v/>
      </c>
      <c r="C147" s="33">
        <f>IFERROR((INDEX($AA$40:$AA$170,ROW()-39)-INDEX($AE$40:$AE$170,ROW()-39))*100,"")</f>
        <v/>
      </c>
      <c r="D147" s="33">
        <f>IFERROR((INDEX($AI$40:$AI$170,ROW()-39)-INDEX($AM$40:$AM$170,ROW()-39))*100,"")</f>
        <v/>
      </c>
      <c r="E147" s="33">
        <f>IFERROR((INDEX($AQ$40:$AQ$170,ROW()-39)-INDEX($AU$40:$AU$170,ROW()-39))*100,"")</f>
        <v/>
      </c>
      <c r="F147" s="33">
        <f>IFERROR((INDEX($AY$40:$AY$170,ROW()-39)-INDEX($BC$40:$BC$170,ROW()-39))*100,"")</f>
        <v/>
      </c>
      <c r="G147" s="33">
        <f>IFERROR((INDEX($BG$40:$BG$170,ROW()-39)-INDEX($BK$40:$BK$170,ROW()-39))*100,"")</f>
        <v/>
      </c>
    </row>
    <row r="148">
      <c r="A148" s="26">
        <f>IFERROR(INDEX($R$40:$R$170,ROW()-39),"")</f>
        <v/>
      </c>
      <c r="B148" s="33">
        <f>IFERROR((INDEX($S$40:$S$170,ROW()-39)-INDEX($W$40:$W$170,ROW()-39))*100,"")</f>
        <v/>
      </c>
      <c r="C148" s="33">
        <f>IFERROR((INDEX($AA$40:$AA$170,ROW()-39)-INDEX($AE$40:$AE$170,ROW()-39))*100,"")</f>
        <v/>
      </c>
      <c r="D148" s="33">
        <f>IFERROR((INDEX($AI$40:$AI$170,ROW()-39)-INDEX($AM$40:$AM$170,ROW()-39))*100,"")</f>
        <v/>
      </c>
      <c r="E148" s="33">
        <f>IFERROR((INDEX($AQ$40:$AQ$170,ROW()-39)-INDEX($AU$40:$AU$170,ROW()-39))*100,"")</f>
        <v/>
      </c>
      <c r="F148" s="33">
        <f>IFERROR((INDEX($AY$40:$AY$170,ROW()-39)-INDEX($BC$40:$BC$170,ROW()-39))*100,"")</f>
        <v/>
      </c>
      <c r="G148" s="33">
        <f>IFERROR((INDEX($BG$40:$BG$170,ROW()-39)-INDEX($BK$40:$BK$170,ROW()-39))*100,"")</f>
        <v/>
      </c>
    </row>
    <row r="149">
      <c r="A149" s="26">
        <f>IFERROR(INDEX($R$40:$R$170,ROW()-39),"")</f>
        <v/>
      </c>
      <c r="B149" s="33">
        <f>IFERROR((INDEX($S$40:$S$170,ROW()-39)-INDEX($W$40:$W$170,ROW()-39))*100,"")</f>
        <v/>
      </c>
      <c r="C149" s="33">
        <f>IFERROR((INDEX($AA$40:$AA$170,ROW()-39)-INDEX($AE$40:$AE$170,ROW()-39))*100,"")</f>
        <v/>
      </c>
      <c r="D149" s="33">
        <f>IFERROR((INDEX($AI$40:$AI$170,ROW()-39)-INDEX($AM$40:$AM$170,ROW()-39))*100,"")</f>
        <v/>
      </c>
      <c r="E149" s="33">
        <f>IFERROR((INDEX($AQ$40:$AQ$170,ROW()-39)-INDEX($AU$40:$AU$170,ROW()-39))*100,"")</f>
        <v/>
      </c>
      <c r="F149" s="33">
        <f>IFERROR((INDEX($AY$40:$AY$170,ROW()-39)-INDEX($BC$40:$BC$170,ROW()-39))*100,"")</f>
        <v/>
      </c>
      <c r="G149" s="33">
        <f>IFERROR((INDEX($BG$40:$BG$170,ROW()-39)-INDEX($BK$40:$BK$170,ROW()-39))*100,"")</f>
        <v/>
      </c>
    </row>
    <row r="150">
      <c r="A150" s="26">
        <f>IFERROR(INDEX($R$40:$R$170,ROW()-39),"")</f>
        <v/>
      </c>
      <c r="B150" s="33">
        <f>IFERROR((INDEX($S$40:$S$170,ROW()-39)-INDEX($W$40:$W$170,ROW()-39))*100,"")</f>
        <v/>
      </c>
      <c r="C150" s="33">
        <f>IFERROR((INDEX($AA$40:$AA$170,ROW()-39)-INDEX($AE$40:$AE$170,ROW()-39))*100,"")</f>
        <v/>
      </c>
      <c r="D150" s="33">
        <f>IFERROR((INDEX($AI$40:$AI$170,ROW()-39)-INDEX($AM$40:$AM$170,ROW()-39))*100,"")</f>
        <v/>
      </c>
      <c r="E150" s="33">
        <f>IFERROR((INDEX($AQ$40:$AQ$170,ROW()-39)-INDEX($AU$40:$AU$170,ROW()-39))*100,"")</f>
        <v/>
      </c>
      <c r="F150" s="33">
        <f>IFERROR((INDEX($AY$40:$AY$170,ROW()-39)-INDEX($BC$40:$BC$170,ROW()-39))*100,"")</f>
        <v/>
      </c>
      <c r="G150" s="33">
        <f>IFERROR((INDEX($BG$40:$BG$170,ROW()-39)-INDEX($BK$40:$BK$170,ROW()-39))*100,"")</f>
        <v/>
      </c>
    </row>
    <row r="151">
      <c r="A151" s="26">
        <f>IFERROR(INDEX($R$40:$R$170,ROW()-39),"")</f>
        <v/>
      </c>
      <c r="B151" s="33">
        <f>IFERROR((INDEX($S$40:$S$170,ROW()-39)-INDEX($W$40:$W$170,ROW()-39))*100,"")</f>
        <v/>
      </c>
      <c r="C151" s="33">
        <f>IFERROR((INDEX($AA$40:$AA$170,ROW()-39)-INDEX($AE$40:$AE$170,ROW()-39))*100,"")</f>
        <v/>
      </c>
      <c r="D151" s="33">
        <f>IFERROR((INDEX($AI$40:$AI$170,ROW()-39)-INDEX($AM$40:$AM$170,ROW()-39))*100,"")</f>
        <v/>
      </c>
      <c r="E151" s="33">
        <f>IFERROR((INDEX($AQ$40:$AQ$170,ROW()-39)-INDEX($AU$40:$AU$170,ROW()-39))*100,"")</f>
        <v/>
      </c>
      <c r="F151" s="33">
        <f>IFERROR((INDEX($AY$40:$AY$170,ROW()-39)-INDEX($BC$40:$BC$170,ROW()-39))*100,"")</f>
        <v/>
      </c>
      <c r="G151" s="33">
        <f>IFERROR((INDEX($BG$40:$BG$170,ROW()-39)-INDEX($BK$40:$BK$170,ROW()-39))*100,"")</f>
        <v/>
      </c>
    </row>
    <row r="152">
      <c r="A152" s="26">
        <f>IFERROR(INDEX($R$40:$R$170,ROW()-39),"")</f>
        <v/>
      </c>
      <c r="B152" s="33">
        <f>IFERROR((INDEX($S$40:$S$170,ROW()-39)-INDEX($W$40:$W$170,ROW()-39))*100,"")</f>
        <v/>
      </c>
      <c r="C152" s="33">
        <f>IFERROR((INDEX($AA$40:$AA$170,ROW()-39)-INDEX($AE$40:$AE$170,ROW()-39))*100,"")</f>
        <v/>
      </c>
      <c r="D152" s="33">
        <f>IFERROR((INDEX($AI$40:$AI$170,ROW()-39)-INDEX($AM$40:$AM$170,ROW()-39))*100,"")</f>
        <v/>
      </c>
      <c r="E152" s="33">
        <f>IFERROR((INDEX($AQ$40:$AQ$170,ROW()-39)-INDEX($AU$40:$AU$170,ROW()-39))*100,"")</f>
        <v/>
      </c>
      <c r="F152" s="33">
        <f>IFERROR((INDEX($AY$40:$AY$170,ROW()-39)-INDEX($BC$40:$BC$170,ROW()-39))*100,"")</f>
        <v/>
      </c>
      <c r="G152" s="33">
        <f>IFERROR((INDEX($BG$40:$BG$170,ROW()-39)-INDEX($BK$40:$BK$170,ROW()-39))*100,"")</f>
        <v/>
      </c>
    </row>
    <row r="153">
      <c r="A153" s="26">
        <f>IFERROR(INDEX($R$40:$R$170,ROW()-39),"")</f>
        <v/>
      </c>
      <c r="B153" s="33">
        <f>IFERROR((INDEX($S$40:$S$170,ROW()-39)-INDEX($W$40:$W$170,ROW()-39))*100,"")</f>
        <v/>
      </c>
      <c r="C153" s="33">
        <f>IFERROR((INDEX($AA$40:$AA$170,ROW()-39)-INDEX($AE$40:$AE$170,ROW()-39))*100,"")</f>
        <v/>
      </c>
      <c r="D153" s="33">
        <f>IFERROR((INDEX($AI$40:$AI$170,ROW()-39)-INDEX($AM$40:$AM$170,ROW()-39))*100,"")</f>
        <v/>
      </c>
      <c r="E153" s="33">
        <f>IFERROR((INDEX($AQ$40:$AQ$170,ROW()-39)-INDEX($AU$40:$AU$170,ROW()-39))*100,"")</f>
        <v/>
      </c>
      <c r="F153" s="33">
        <f>IFERROR((INDEX($AY$40:$AY$170,ROW()-39)-INDEX($BC$40:$BC$170,ROW()-39))*100,"")</f>
        <v/>
      </c>
      <c r="G153" s="33">
        <f>IFERROR((INDEX($BG$40:$BG$170,ROW()-39)-INDEX($BK$40:$BK$170,ROW()-39))*100,"")</f>
        <v/>
      </c>
    </row>
    <row r="154">
      <c r="A154" s="26">
        <f>IFERROR(INDEX($R$40:$R$170,ROW()-39),"")</f>
        <v/>
      </c>
      <c r="B154" s="33">
        <f>IFERROR((INDEX($S$40:$S$170,ROW()-39)-INDEX($W$40:$W$170,ROW()-39))*100,"")</f>
        <v/>
      </c>
      <c r="C154" s="33">
        <f>IFERROR((INDEX($AA$40:$AA$170,ROW()-39)-INDEX($AE$40:$AE$170,ROW()-39))*100,"")</f>
        <v/>
      </c>
      <c r="D154" s="33">
        <f>IFERROR((INDEX($AI$40:$AI$170,ROW()-39)-INDEX($AM$40:$AM$170,ROW()-39))*100,"")</f>
        <v/>
      </c>
      <c r="E154" s="33">
        <f>IFERROR((INDEX($AQ$40:$AQ$170,ROW()-39)-INDEX($AU$40:$AU$170,ROW()-39))*100,"")</f>
        <v/>
      </c>
      <c r="F154" s="33">
        <f>IFERROR((INDEX($AY$40:$AY$170,ROW()-39)-INDEX($BC$40:$BC$170,ROW()-39))*100,"")</f>
        <v/>
      </c>
      <c r="G154" s="33">
        <f>IFERROR((INDEX($BG$40:$BG$170,ROW()-39)-INDEX($BK$40:$BK$170,ROW()-39))*100,"")</f>
        <v/>
      </c>
    </row>
    <row r="155">
      <c r="A155" s="26">
        <f>IFERROR(INDEX($R$40:$R$170,ROW()-39),"")</f>
        <v/>
      </c>
      <c r="B155" s="33">
        <f>IFERROR((INDEX($S$40:$S$170,ROW()-39)-INDEX($W$40:$W$170,ROW()-39))*100,"")</f>
        <v/>
      </c>
      <c r="C155" s="33">
        <f>IFERROR((INDEX($AA$40:$AA$170,ROW()-39)-INDEX($AE$40:$AE$170,ROW()-39))*100,"")</f>
        <v/>
      </c>
      <c r="D155" s="33">
        <f>IFERROR((INDEX($AI$40:$AI$170,ROW()-39)-INDEX($AM$40:$AM$170,ROW()-39))*100,"")</f>
        <v/>
      </c>
      <c r="E155" s="33">
        <f>IFERROR((INDEX($AQ$40:$AQ$170,ROW()-39)-INDEX($AU$40:$AU$170,ROW()-39))*100,"")</f>
        <v/>
      </c>
      <c r="F155" s="33">
        <f>IFERROR((INDEX($AY$40:$AY$170,ROW()-39)-INDEX($BC$40:$BC$170,ROW()-39))*100,"")</f>
        <v/>
      </c>
      <c r="G155" s="33">
        <f>IFERROR((INDEX($BG$40:$BG$170,ROW()-39)-INDEX($BK$40:$BK$170,ROW()-39))*100,"")</f>
        <v/>
      </c>
    </row>
    <row r="156">
      <c r="A156" s="26">
        <f>IFERROR(INDEX($R$40:$R$170,ROW()-39),"")</f>
        <v/>
      </c>
      <c r="B156" s="33">
        <f>IFERROR((INDEX($S$40:$S$170,ROW()-39)-INDEX($W$40:$W$170,ROW()-39))*100,"")</f>
        <v/>
      </c>
      <c r="C156" s="33">
        <f>IFERROR((INDEX($AA$40:$AA$170,ROW()-39)-INDEX($AE$40:$AE$170,ROW()-39))*100,"")</f>
        <v/>
      </c>
      <c r="D156" s="33">
        <f>IFERROR((INDEX($AI$40:$AI$170,ROW()-39)-INDEX($AM$40:$AM$170,ROW()-39))*100,"")</f>
        <v/>
      </c>
      <c r="E156" s="33">
        <f>IFERROR((INDEX($AQ$40:$AQ$170,ROW()-39)-INDEX($AU$40:$AU$170,ROW()-39))*100,"")</f>
        <v/>
      </c>
      <c r="F156" s="33">
        <f>IFERROR((INDEX($AY$40:$AY$170,ROW()-39)-INDEX($BC$40:$BC$170,ROW()-39))*100,"")</f>
        <v/>
      </c>
      <c r="G156" s="33">
        <f>IFERROR((INDEX($BG$40:$BG$170,ROW()-39)-INDEX($BK$40:$BK$170,ROW()-39))*100,"")</f>
        <v/>
      </c>
    </row>
    <row r="157">
      <c r="A157" s="26">
        <f>IFERROR(INDEX($R$40:$R$170,ROW()-39),"")</f>
        <v/>
      </c>
      <c r="B157" s="33">
        <f>IFERROR((INDEX($S$40:$S$170,ROW()-39)-INDEX($W$40:$W$170,ROW()-39))*100,"")</f>
        <v/>
      </c>
      <c r="C157" s="33">
        <f>IFERROR((INDEX($AA$40:$AA$170,ROW()-39)-INDEX($AE$40:$AE$170,ROW()-39))*100,"")</f>
        <v/>
      </c>
      <c r="D157" s="33">
        <f>IFERROR((INDEX($AI$40:$AI$170,ROW()-39)-INDEX($AM$40:$AM$170,ROW()-39))*100,"")</f>
        <v/>
      </c>
      <c r="E157" s="33">
        <f>IFERROR((INDEX($AQ$40:$AQ$170,ROW()-39)-INDEX($AU$40:$AU$170,ROW()-39))*100,"")</f>
        <v/>
      </c>
      <c r="F157" s="33">
        <f>IFERROR((INDEX($AY$40:$AY$170,ROW()-39)-INDEX($BC$40:$BC$170,ROW()-39))*100,"")</f>
        <v/>
      </c>
      <c r="G157" s="33">
        <f>IFERROR((INDEX($BG$40:$BG$170,ROW()-39)-INDEX($BK$40:$BK$170,ROW()-39))*100,"")</f>
        <v/>
      </c>
    </row>
    <row r="158">
      <c r="A158" s="26">
        <f>IFERROR(INDEX($R$40:$R$170,ROW()-39),"")</f>
        <v/>
      </c>
      <c r="B158" s="33">
        <f>IFERROR((INDEX($S$40:$S$170,ROW()-39)-INDEX($W$40:$W$170,ROW()-39))*100,"")</f>
        <v/>
      </c>
      <c r="C158" s="33">
        <f>IFERROR((INDEX($AA$40:$AA$170,ROW()-39)-INDEX($AE$40:$AE$170,ROW()-39))*100,"")</f>
        <v/>
      </c>
      <c r="D158" s="33">
        <f>IFERROR((INDEX($AI$40:$AI$170,ROW()-39)-INDEX($AM$40:$AM$170,ROW()-39))*100,"")</f>
        <v/>
      </c>
      <c r="E158" s="33">
        <f>IFERROR((INDEX($AQ$40:$AQ$170,ROW()-39)-INDEX($AU$40:$AU$170,ROW()-39))*100,"")</f>
        <v/>
      </c>
      <c r="F158" s="33">
        <f>IFERROR((INDEX($AY$40:$AY$170,ROW()-39)-INDEX($BC$40:$BC$170,ROW()-39))*100,"")</f>
        <v/>
      </c>
      <c r="G158" s="33">
        <f>IFERROR((INDEX($BG$40:$BG$170,ROW()-39)-INDEX($BK$40:$BK$170,ROW()-39))*100,"")</f>
        <v/>
      </c>
    </row>
    <row r="159">
      <c r="A159" s="26">
        <f>IFERROR(INDEX($R$40:$R$170,ROW()-39),"")</f>
        <v/>
      </c>
      <c r="B159" s="33">
        <f>IFERROR((INDEX($S$40:$S$170,ROW()-39)-INDEX($W$40:$W$170,ROW()-39))*100,"")</f>
        <v/>
      </c>
      <c r="C159" s="33">
        <f>IFERROR((INDEX($AA$40:$AA$170,ROW()-39)-INDEX($AE$40:$AE$170,ROW()-39))*100,"")</f>
        <v/>
      </c>
      <c r="D159" s="33">
        <f>IFERROR((INDEX($AI$40:$AI$170,ROW()-39)-INDEX($AM$40:$AM$170,ROW()-39))*100,"")</f>
        <v/>
      </c>
      <c r="E159" s="33">
        <f>IFERROR((INDEX($AQ$40:$AQ$170,ROW()-39)-INDEX($AU$40:$AU$170,ROW()-39))*100,"")</f>
        <v/>
      </c>
      <c r="F159" s="33">
        <f>IFERROR((INDEX($AY$40:$AY$170,ROW()-39)-INDEX($BC$40:$BC$170,ROW()-39))*100,"")</f>
        <v/>
      </c>
      <c r="G159" s="33">
        <f>IFERROR((INDEX($BG$40:$BG$170,ROW()-39)-INDEX($BK$40:$BK$170,ROW()-39))*100,"")</f>
        <v/>
      </c>
    </row>
    <row r="160">
      <c r="A160" s="26">
        <f>IFERROR(INDEX($R$40:$R$170,ROW()-39),"")</f>
        <v/>
      </c>
      <c r="B160" s="33">
        <f>IFERROR((INDEX($S$40:$S$170,ROW()-39)-INDEX($W$40:$W$170,ROW()-39))*100,"")</f>
        <v/>
      </c>
      <c r="C160" s="33">
        <f>IFERROR((INDEX($AA$40:$AA$170,ROW()-39)-INDEX($AE$40:$AE$170,ROW()-39))*100,"")</f>
        <v/>
      </c>
      <c r="D160" s="33">
        <f>IFERROR((INDEX($AI$40:$AI$170,ROW()-39)-INDEX($AM$40:$AM$170,ROW()-39))*100,"")</f>
        <v/>
      </c>
      <c r="E160" s="33">
        <f>IFERROR((INDEX($AQ$40:$AQ$170,ROW()-39)-INDEX($AU$40:$AU$170,ROW()-39))*100,"")</f>
        <v/>
      </c>
      <c r="F160" s="33">
        <f>IFERROR((INDEX($AY$40:$AY$170,ROW()-39)-INDEX($BC$40:$BC$170,ROW()-39))*100,"")</f>
        <v/>
      </c>
      <c r="G160" s="33">
        <f>IFERROR((INDEX($BG$40:$BG$170,ROW()-39)-INDEX($BK$40:$BK$170,ROW()-39))*100,"")</f>
        <v/>
      </c>
    </row>
    <row r="161">
      <c r="A161" s="26">
        <f>IFERROR(INDEX($R$40:$R$170,ROW()-39),"")</f>
        <v/>
      </c>
      <c r="B161" s="33">
        <f>IFERROR((INDEX($S$40:$S$170,ROW()-39)-INDEX($W$40:$W$170,ROW()-39))*100,"")</f>
        <v/>
      </c>
      <c r="C161" s="33">
        <f>IFERROR((INDEX($AA$40:$AA$170,ROW()-39)-INDEX($AE$40:$AE$170,ROW()-39))*100,"")</f>
        <v/>
      </c>
      <c r="D161" s="33">
        <f>IFERROR((INDEX($AI$40:$AI$170,ROW()-39)-INDEX($AM$40:$AM$170,ROW()-39))*100,"")</f>
        <v/>
      </c>
      <c r="E161" s="33">
        <f>IFERROR((INDEX($AQ$40:$AQ$170,ROW()-39)-INDEX($AU$40:$AU$170,ROW()-39))*100,"")</f>
        <v/>
      </c>
      <c r="F161" s="33">
        <f>IFERROR((INDEX($AY$40:$AY$170,ROW()-39)-INDEX($BC$40:$BC$170,ROW()-39))*100,"")</f>
        <v/>
      </c>
      <c r="G161" s="33">
        <f>IFERROR((INDEX($BG$40:$BG$170,ROW()-39)-INDEX($BK$40:$BK$170,ROW()-39))*100,"")</f>
        <v/>
      </c>
    </row>
    <row r="162">
      <c r="A162" s="26">
        <f>IFERROR(INDEX($R$40:$R$170,ROW()-39),"")</f>
        <v/>
      </c>
      <c r="B162" s="33">
        <f>IFERROR((INDEX($S$40:$S$170,ROW()-39)-INDEX($W$40:$W$170,ROW()-39))*100,"")</f>
        <v/>
      </c>
      <c r="C162" s="33">
        <f>IFERROR((INDEX($AA$40:$AA$170,ROW()-39)-INDEX($AE$40:$AE$170,ROW()-39))*100,"")</f>
        <v/>
      </c>
      <c r="D162" s="33">
        <f>IFERROR((INDEX($AI$40:$AI$170,ROW()-39)-INDEX($AM$40:$AM$170,ROW()-39))*100,"")</f>
        <v/>
      </c>
      <c r="E162" s="33">
        <f>IFERROR((INDEX($AQ$40:$AQ$170,ROW()-39)-INDEX($AU$40:$AU$170,ROW()-39))*100,"")</f>
        <v/>
      </c>
      <c r="F162" s="33">
        <f>IFERROR((INDEX($AY$40:$AY$170,ROW()-39)-INDEX($BC$40:$BC$170,ROW()-39))*100,"")</f>
        <v/>
      </c>
      <c r="G162" s="33">
        <f>IFERROR((INDEX($BG$40:$BG$170,ROW()-39)-INDEX($BK$40:$BK$170,ROW()-39))*100,"")</f>
        <v/>
      </c>
    </row>
    <row r="163">
      <c r="A163" s="26">
        <f>IFERROR(INDEX($R$40:$R$170,ROW()-39),"")</f>
        <v/>
      </c>
      <c r="B163" s="33">
        <f>IFERROR((INDEX($S$40:$S$170,ROW()-39)-INDEX($W$40:$W$170,ROW()-39))*100,"")</f>
        <v/>
      </c>
      <c r="C163" s="33">
        <f>IFERROR((INDEX($AA$40:$AA$170,ROW()-39)-INDEX($AE$40:$AE$170,ROW()-39))*100,"")</f>
        <v/>
      </c>
      <c r="D163" s="33">
        <f>IFERROR((INDEX($AI$40:$AI$170,ROW()-39)-INDEX($AM$40:$AM$170,ROW()-39))*100,"")</f>
        <v/>
      </c>
      <c r="E163" s="33">
        <f>IFERROR((INDEX($AQ$40:$AQ$170,ROW()-39)-INDEX($AU$40:$AU$170,ROW()-39))*100,"")</f>
        <v/>
      </c>
      <c r="F163" s="33">
        <f>IFERROR((INDEX($AY$40:$AY$170,ROW()-39)-INDEX($BC$40:$BC$170,ROW()-39))*100,"")</f>
        <v/>
      </c>
      <c r="G163" s="33">
        <f>IFERROR((INDEX($BG$40:$BG$170,ROW()-39)-INDEX($BK$40:$BK$170,ROW()-39))*100,"")</f>
        <v/>
      </c>
    </row>
    <row r="164">
      <c r="A164" s="26">
        <f>IFERROR(INDEX($R$40:$R$170,ROW()-39),"")</f>
        <v/>
      </c>
      <c r="B164" s="33">
        <f>IFERROR((INDEX($S$40:$S$170,ROW()-39)-INDEX($W$40:$W$170,ROW()-39))*100,"")</f>
        <v/>
      </c>
      <c r="C164" s="33">
        <f>IFERROR((INDEX($AA$40:$AA$170,ROW()-39)-INDEX($AE$40:$AE$170,ROW()-39))*100,"")</f>
        <v/>
      </c>
      <c r="D164" s="33">
        <f>IFERROR((INDEX($AI$40:$AI$170,ROW()-39)-INDEX($AM$40:$AM$170,ROW()-39))*100,"")</f>
        <v/>
      </c>
      <c r="E164" s="33">
        <f>IFERROR((INDEX($AQ$40:$AQ$170,ROW()-39)-INDEX($AU$40:$AU$170,ROW()-39))*100,"")</f>
        <v/>
      </c>
      <c r="F164" s="33">
        <f>IFERROR((INDEX($AY$40:$AY$170,ROW()-39)-INDEX($BC$40:$BC$170,ROW()-39))*100,"")</f>
        <v/>
      </c>
      <c r="G164" s="33">
        <f>IFERROR((INDEX($BG$40:$BG$170,ROW()-39)-INDEX($BK$40:$BK$170,ROW()-39))*100,"")</f>
        <v/>
      </c>
    </row>
    <row r="165">
      <c r="A165" s="26">
        <f>IFERROR(INDEX($R$40:$R$170,ROW()-39),"")</f>
        <v/>
      </c>
      <c r="B165" s="33">
        <f>IFERROR((INDEX($S$40:$S$170,ROW()-39)-INDEX($W$40:$W$170,ROW()-39))*100,"")</f>
        <v/>
      </c>
      <c r="C165" s="33">
        <f>IFERROR((INDEX($AA$40:$AA$170,ROW()-39)-INDEX($AE$40:$AE$170,ROW()-39))*100,"")</f>
        <v/>
      </c>
      <c r="D165" s="33">
        <f>IFERROR((INDEX($AI$40:$AI$170,ROW()-39)-INDEX($AM$40:$AM$170,ROW()-39))*100,"")</f>
        <v/>
      </c>
      <c r="E165" s="33">
        <f>IFERROR((INDEX($AQ$40:$AQ$170,ROW()-39)-INDEX($AU$40:$AU$170,ROW()-39))*100,"")</f>
        <v/>
      </c>
      <c r="F165" s="33">
        <f>IFERROR((INDEX($AY$40:$AY$170,ROW()-39)-INDEX($BC$40:$BC$170,ROW()-39))*100,"")</f>
        <v/>
      </c>
      <c r="G165" s="33">
        <f>IFERROR((INDEX($BG$40:$BG$170,ROW()-39)-INDEX($BK$40:$BK$170,ROW()-39))*100,"")</f>
        <v/>
      </c>
    </row>
    <row r="166">
      <c r="A166" s="26">
        <f>IFERROR(INDEX($R$40:$R$170,ROW()-39),"")</f>
        <v/>
      </c>
      <c r="B166" s="33">
        <f>IFERROR((INDEX($S$40:$S$170,ROW()-39)-INDEX($W$40:$W$170,ROW()-39))*100,"")</f>
        <v/>
      </c>
      <c r="C166" s="33">
        <f>IFERROR((INDEX($AA$40:$AA$170,ROW()-39)-INDEX($AE$40:$AE$170,ROW()-39))*100,"")</f>
        <v/>
      </c>
      <c r="D166" s="33">
        <f>IFERROR((INDEX($AI$40:$AI$170,ROW()-39)-INDEX($AM$40:$AM$170,ROW()-39))*100,"")</f>
        <v/>
      </c>
      <c r="E166" s="33">
        <f>IFERROR((INDEX($AQ$40:$AQ$170,ROW()-39)-INDEX($AU$40:$AU$170,ROW()-39))*100,"")</f>
        <v/>
      </c>
      <c r="F166" s="33">
        <f>IFERROR((INDEX($AY$40:$AY$170,ROW()-39)-INDEX($BC$40:$BC$170,ROW()-39))*100,"")</f>
        <v/>
      </c>
      <c r="G166" s="33">
        <f>IFERROR((INDEX($BG$40:$BG$170,ROW()-39)-INDEX($BK$40:$BK$170,ROW()-39))*100,"")</f>
        <v/>
      </c>
    </row>
    <row r="167">
      <c r="A167" s="26">
        <f>IFERROR(INDEX($R$40:$R$170,ROW()-39),"")</f>
        <v/>
      </c>
      <c r="B167" s="33">
        <f>IFERROR((INDEX($S$40:$S$170,ROW()-39)-INDEX($W$40:$W$170,ROW()-39))*100,"")</f>
        <v/>
      </c>
      <c r="C167" s="33">
        <f>IFERROR((INDEX($AA$40:$AA$170,ROW()-39)-INDEX($AE$40:$AE$170,ROW()-39))*100,"")</f>
        <v/>
      </c>
      <c r="D167" s="33">
        <f>IFERROR((INDEX($AI$40:$AI$170,ROW()-39)-INDEX($AM$40:$AM$170,ROW()-39))*100,"")</f>
        <v/>
      </c>
      <c r="E167" s="33">
        <f>IFERROR((INDEX($AQ$40:$AQ$170,ROW()-39)-INDEX($AU$40:$AU$170,ROW()-39))*100,"")</f>
        <v/>
      </c>
      <c r="F167" s="33">
        <f>IFERROR((INDEX($AY$40:$AY$170,ROW()-39)-INDEX($BC$40:$BC$170,ROW()-39))*100,"")</f>
        <v/>
      </c>
      <c r="G167" s="33">
        <f>IFERROR((INDEX($BG$40:$BG$170,ROW()-39)-INDEX($BK$40:$BK$170,ROW()-39))*100,"")</f>
        <v/>
      </c>
    </row>
    <row r="168">
      <c r="A168" s="26">
        <f>IFERROR(INDEX($R$40:$R$170,ROW()-39),"")</f>
        <v/>
      </c>
      <c r="B168" s="33">
        <f>IFERROR((INDEX($S$40:$S$170,ROW()-39)-INDEX($W$40:$W$170,ROW()-39))*100,"")</f>
        <v/>
      </c>
      <c r="C168" s="33">
        <f>IFERROR((INDEX($AA$40:$AA$170,ROW()-39)-INDEX($AE$40:$AE$170,ROW()-39))*100,"")</f>
        <v/>
      </c>
      <c r="D168" s="33">
        <f>IFERROR((INDEX($AI$40:$AI$170,ROW()-39)-INDEX($AM$40:$AM$170,ROW()-39))*100,"")</f>
        <v/>
      </c>
      <c r="E168" s="33">
        <f>IFERROR((INDEX($AQ$40:$AQ$170,ROW()-39)-INDEX($AU$40:$AU$170,ROW()-39))*100,"")</f>
        <v/>
      </c>
      <c r="F168" s="33">
        <f>IFERROR((INDEX($AY$40:$AY$170,ROW()-39)-INDEX($BC$40:$BC$170,ROW()-39))*100,"")</f>
        <v/>
      </c>
      <c r="G168" s="33">
        <f>IFERROR((INDEX($BG$40:$BG$170,ROW()-39)-INDEX($BK$40:$BK$170,ROW()-39))*100,"")</f>
        <v/>
      </c>
    </row>
    <row r="169">
      <c r="A169" s="26">
        <f>IFERROR(INDEX($R$40:$R$170,ROW()-39),"")</f>
        <v/>
      </c>
      <c r="B169" s="33">
        <f>IFERROR((INDEX($S$40:$S$170,ROW()-39)-INDEX($W$40:$W$170,ROW()-39))*100,"")</f>
        <v/>
      </c>
      <c r="C169" s="33">
        <f>IFERROR((INDEX($AA$40:$AA$170,ROW()-39)-INDEX($AE$40:$AE$170,ROW()-39))*100,"")</f>
        <v/>
      </c>
      <c r="D169" s="33">
        <f>IFERROR((INDEX($AI$40:$AI$170,ROW()-39)-INDEX($AM$40:$AM$170,ROW()-39))*100,"")</f>
        <v/>
      </c>
      <c r="E169" s="33">
        <f>IFERROR((INDEX($AQ$40:$AQ$170,ROW()-39)-INDEX($AU$40:$AU$170,ROW()-39))*100,"")</f>
        <v/>
      </c>
      <c r="F169" s="33">
        <f>IFERROR((INDEX($AY$40:$AY$170,ROW()-39)-INDEX($BC$40:$BC$170,ROW()-39))*100,"")</f>
        <v/>
      </c>
      <c r="G169" s="33">
        <f>IFERROR((INDEX($BG$40:$BG$170,ROW()-39)-INDEX($BK$40:$BK$170,ROW()-39))*100,"")</f>
        <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V387"/>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1" customWidth="1" min="5" max="5"/>
    <col width="11" customWidth="1" min="6" max="6"/>
    <col width="11" customWidth="1" min="7" max="7"/>
    <col width="12" customWidth="1" min="8" max="8"/>
    <col width="11" customWidth="1" min="9" max="9"/>
    <col width="11" customWidth="1" min="10" max="10"/>
    <col width="12" customWidth="1" min="11" max="11"/>
  </cols>
  <sheetData>
    <row r="1">
      <c r="A1" s="1" t="inlineStr">
        <is>
          <t>JPY bull steepener — 2s10s</t>
        </is>
      </c>
    </row>
    <row r="2">
      <c r="A2" s="2" t="inlineStr">
        <is>
          <t>Receive 2y JPY OIS, pay 10y, DV01-neutral. Entry, exit and holding period come out of the mean-reversion tests below rather than out of a view.</t>
        </is>
      </c>
    </row>
    <row r="3" ht="4" customHeight="1">
      <c r="A3" s="3" t="n"/>
      <c r="B3" s="3" t="n"/>
      <c r="C3" s="3" t="n"/>
      <c r="D3" s="3" t="n"/>
      <c r="E3" s="3" t="n"/>
      <c r="F3" s="3" t="n"/>
      <c r="G3" s="3" t="n"/>
      <c r="H3" s="3" t="n"/>
      <c r="I3" s="3" t="n"/>
      <c r="J3" s="3" t="n"/>
      <c r="K3" s="3" t="n"/>
      <c r="L3" s="3" t="n"/>
    </row>
    <row r="5">
      <c r="A5" s="4" t="inlineStr">
        <is>
          <t>Why this trade — the four lines that carry it</t>
        </is>
      </c>
    </row>
    <row r="6" ht="30" customHeight="1">
      <c r="A6" s="10" t="inlineStr">
        <is>
          <t>The objection</t>
        </is>
      </c>
      <c r="B6" s="6" t="inlineStr">
        <is>
          <t>2s10s is at its steepest since 2010. That is the first question and it deserves the first answer.</t>
        </is>
      </c>
    </row>
    <row r="7" ht="30" customHeight="1">
      <c r="A7" s="10" t="inlineStr">
        <is>
          <t>The answer</t>
        </is>
      </c>
      <c r="B7" s="6" t="inlineStr">
        <is>
          <t>Every basis point of that steepening came from the long end selling off. The 2-year has never rallied in this cycle. In 2010 it sat near the policy rate with nothing to give back; today it prices about two more hikes. That inventory is the trade.</t>
        </is>
      </c>
    </row>
    <row r="8" ht="30" customHeight="1">
      <c r="A8" s="10" t="inlineStr">
        <is>
          <t>What this is NOT</t>
        </is>
      </c>
      <c r="B8" s="6" t="inlineStr">
        <is>
          <t>It is not a forecast that the BoJ pauses. Guidance points the other way: at the July press conference Ueda said CPI is likely to accelerate clearly above 2% from the second half of FY26, flagged a risk that underlying CPI deviates upward, and said the Bank could speed up the pace if conditions stay accommodative. Q2 GDP was revised up. Two Board members want to go faster. Anyone claiming the data supports a pause has stopped reading in April.</t>
        </is>
      </c>
    </row>
    <row r="9" ht="30" customHeight="1">
      <c r="A9" s="10" t="inlineStr">
        <is>
          <t>What it is instead</t>
        </is>
      </c>
      <c r="B9" s="6" t="inlineStr">
        <is>
          <t>An asymmetry trade. The market prices about two hikes, the Bank guides hawkish, and positioning is hawkish. Everything is aligned on one outcome, which makes the alternative cheap. The alternative is the terms-of-trade channel the Bank's own April Outlook names — Japan is the developed world's largest net energy importer, an energy shock is a tax on real income rather than demand-led inflation, and core-core was 1.7% in June with household spending down seven months running. We are not forecasting that break. We are buying it while nothing is priced for it.</t>
        </is>
      </c>
    </row>
    <row r="10" ht="30" customHeight="1">
      <c r="A10" s="10" t="inlineStr">
        <is>
          <t>Why it belongs in this book</t>
        </is>
      </c>
      <c r="B10" s="6" t="inlineStr">
        <is>
          <t>The book is long Japan banks on a rate-mechanical NIM story. This pays exactly when that fails. Two positions, negatively correlated through the same variable — the BoJ path.</t>
        </is>
      </c>
    </row>
    <row r="11">
      <c r="A11" s="4" t="inlineStr">
        <is>
          <t>Live indications — where the trade stands right now</t>
        </is>
      </c>
    </row>
    <row r="12" ht="18" customHeight="1">
      <c r="A12" s="9" t="inlineStr">
        <is>
          <t>Measure</t>
        </is>
      </c>
      <c r="B12" s="9" t="inlineStr">
        <is>
          <t>Ticker</t>
        </is>
      </c>
      <c r="C12" s="9" t="inlineStr">
        <is>
          <t>Value</t>
        </is>
      </c>
      <c r="D12" s="9" t="inlineStr">
        <is>
          <t>What it tells you</t>
        </is>
      </c>
    </row>
    <row r="13">
      <c r="A13" s="22" t="inlineStr">
        <is>
          <t>BoJ policy rate, %</t>
        </is>
      </c>
      <c r="B13" s="5" t="inlineStr">
        <is>
          <t>BOJDTR Index</t>
        </is>
      </c>
      <c r="C13" s="23">
        <f>BDP($B13,"PX_LAST")</f>
        <v/>
      </c>
      <c r="D13" s="12" t="inlineStr">
        <is>
          <t>1.00% since June. Held 8-1 in July.</t>
        </is>
      </c>
    </row>
    <row r="14">
      <c r="A14" s="22" t="inlineStr">
        <is>
          <t>JPY OIS 1y, %</t>
        </is>
      </c>
      <c r="B14" s="5" t="inlineStr">
        <is>
          <t>JYSO1 Curncy</t>
        </is>
      </c>
      <c r="C14" s="23">
        <f>BDP($B14,"PX_LAST")</f>
        <v/>
      </c>
      <c r="D14" s="12" t="inlineStr">
        <is>
          <t>Roll point for the front leg.</t>
        </is>
      </c>
    </row>
    <row r="15">
      <c r="A15" s="22" t="inlineStr">
        <is>
          <t>JPY OIS 2y, %</t>
        </is>
      </c>
      <c r="B15" s="5" t="inlineStr">
        <is>
          <t>JYSO2 Curncy</t>
        </is>
      </c>
      <c r="C15" s="23">
        <f>BDP($B15,"PX_LAST")</f>
        <v/>
      </c>
      <c r="D15" s="12" t="inlineStr">
        <is>
          <t>The leg we receive.</t>
        </is>
      </c>
    </row>
    <row r="16">
      <c r="A16" s="22" t="inlineStr">
        <is>
          <t>JPY OIS 5y, %</t>
        </is>
      </c>
      <c r="B16" s="5" t="inlineStr">
        <is>
          <t>JYSO5 Curncy</t>
        </is>
      </c>
      <c r="C16" s="23">
        <f>BDP($B16,"PX_LAST")</f>
        <v/>
      </c>
      <c r="D16" s="12" t="inlineStr">
        <is>
          <t>Interpolation point for the roll.</t>
        </is>
      </c>
    </row>
    <row r="17">
      <c r="A17" s="22" t="inlineStr">
        <is>
          <t>JPY OIS 10y, %</t>
        </is>
      </c>
      <c r="B17" s="5" t="inlineStr">
        <is>
          <t>JYSO10 Curncy</t>
        </is>
      </c>
      <c r="C17" s="23">
        <f>BDP($B17,"PX_LAST")</f>
        <v/>
      </c>
      <c r="D17" s="12" t="inlineStr">
        <is>
          <t>The leg we pay.</t>
        </is>
      </c>
    </row>
    <row r="18">
      <c r="A18" s="22" t="inlineStr">
        <is>
          <t>2s10s, bp</t>
        </is>
      </c>
      <c r="B18" s="18" t="n"/>
      <c r="C18" s="23">
        <f>IFERROR((C17-C15)*100,"")</f>
        <v/>
      </c>
      <c r="D18" s="12" t="inlineStr">
        <is>
          <t>The spread. Everything below is about this.</t>
        </is>
      </c>
    </row>
    <row r="19">
      <c r="A19" s="22" t="inlineStr">
        <is>
          <t>2y less policy rate, bp</t>
        </is>
      </c>
      <c r="B19" s="18" t="n"/>
      <c r="C19" s="23">
        <f>IFERROR((C15-C13)*100,"")</f>
        <v/>
      </c>
      <c r="D19" s="12" t="inlineStr">
        <is>
          <t>The inventory. This is what can be handed back.</t>
        </is>
      </c>
    </row>
    <row r="20">
      <c r="A20" s="22" t="inlineStr">
        <is>
          <t>Hikes priced to 1y, count</t>
        </is>
      </c>
      <c r="B20" s="18" t="n"/>
      <c r="C20" s="23">
        <f>IFERROR((C14-C13)/0.25,"")</f>
        <v/>
      </c>
      <c r="D20" s="12" t="inlineStr">
        <is>
          <t>Below about one, most of the trade has already happened.</t>
        </is>
      </c>
    </row>
    <row r="21">
      <c r="A21" s="22" t="inlineStr">
        <is>
          <t>2s10s percentile, 5y</t>
        </is>
      </c>
      <c r="B21" s="18" t="n"/>
      <c r="C21" s="31">
        <f>IFERROR(PERCENTRANK.INC($D$108:$D$387,C18),"")</f>
        <v/>
      </c>
      <c r="D21" s="12" t="inlineStr">
        <is>
          <t>Above 0.90 the level objection has teeth. Lead with the decomposition.</t>
        </is>
      </c>
    </row>
    <row r="22">
      <c r="A22" s="22" t="inlineStr">
        <is>
          <t>Current z-score</t>
        </is>
      </c>
      <c r="B22" s="18" t="n"/>
      <c r="C22" s="21">
        <f>IFERROR((C18-$C$24)/$C$25,"")</f>
        <v/>
      </c>
      <c r="D22" s="12" t="inlineStr">
        <is>
          <t>Standard deviations from the 5-year mean. The entry metric.</t>
        </is>
      </c>
    </row>
    <row r="24">
      <c r="A24" s="4" t="inlineStr">
        <is>
          <t>Is 2s10s mean-reverting? The tests, and what would fail them</t>
        </is>
      </c>
      <c r="C24" s="34">
        <f>IFERROR(AVERAGE($D$108:$D$387),"")</f>
        <v/>
      </c>
    </row>
    <row r="25">
      <c r="C25" s="34">
        <f>IFERROR(STDEV.S($D$108:$D$387),"")</f>
        <v/>
      </c>
    </row>
    <row r="26" ht="18" customHeight="1">
      <c r="A26" s="9" t="inlineStr">
        <is>
          <t>Test</t>
        </is>
      </c>
      <c r="B26" s="9" t="inlineStr">
        <is>
          <t>Statistic</t>
        </is>
      </c>
      <c r="C26" s="9" t="inlineStr">
        <is>
          <t>Value</t>
        </is>
      </c>
      <c r="D26" s="9" t="inlineStr">
        <is>
          <t>Threshold</t>
        </is>
      </c>
      <c r="E26" s="9" t="inlineStr">
        <is>
          <t>Verdict</t>
        </is>
      </c>
    </row>
    <row r="27">
      <c r="A27" s="22" t="inlineStr">
        <is>
          <t>5-year mean, bp</t>
        </is>
      </c>
      <c r="B27" s="5" t="inlineStr">
        <is>
          <t>AVERAGE</t>
        </is>
      </c>
      <c r="C27" s="35">
        <f>C24</f>
        <v/>
      </c>
      <c r="D27" s="5" t="inlineStr"/>
      <c r="E27" s="16" t="inlineStr"/>
    </row>
    <row r="28">
      <c r="A28" s="22" t="inlineStr">
        <is>
          <t>5-year standard deviation, bp</t>
        </is>
      </c>
      <c r="B28" s="5" t="inlineStr">
        <is>
          <t>STDEV.S</t>
        </is>
      </c>
      <c r="C28" s="35">
        <f>C25</f>
        <v/>
      </c>
      <c r="D28" s="5" t="inlineStr"/>
      <c r="E28" s="16" t="inlineStr"/>
    </row>
    <row r="29">
      <c r="A29" s="22" t="inlineStr">
        <is>
          <t>AR(1) mean-reversion speed</t>
        </is>
      </c>
      <c r="B29" s="5" t="inlineStr">
        <is>
          <t>SLOPE(dY, Y-1) = lambda</t>
        </is>
      </c>
      <c r="C29" s="36">
        <f>IFERROR(SLOPE($E$108:$E$387,$F$108:$F$387),"")</f>
        <v/>
      </c>
      <c r="D29" s="5" t="inlineStr">
        <is>
          <t>&lt; 0</t>
        </is>
      </c>
      <c r="E29" s="16">
        <f>IF(C29="","",IF(C29&lt;0,"Negative — the series pulls back toward its mean","Positive — no mean reversion. Do not size off these tests."))</f>
        <v/>
      </c>
    </row>
    <row r="30">
      <c r="A30" s="22" t="inlineStr">
        <is>
          <t>Implied long-run mean, bp</t>
        </is>
      </c>
      <c r="B30" s="5" t="inlineStr">
        <is>
          <t>-intercept / lambda</t>
        </is>
      </c>
      <c r="C30" s="35">
        <f>IFERROR(-INTERCEPT($E$108:$E$387,$F$108:$F$387)/C29,"")</f>
        <v/>
      </c>
      <c r="D30" s="5" t="inlineStr"/>
      <c r="E30" s="16" t="inlineStr">
        <is>
          <t>Where the AR(1) says the series is pulled to. Compare with the simple mean above.</t>
        </is>
      </c>
    </row>
    <row r="31">
      <c r="A31" s="22" t="inlineStr">
        <is>
          <t>Half-life of a deviation, weeks</t>
        </is>
      </c>
      <c r="B31" s="5" t="inlineStr">
        <is>
          <t>-LN(2) / LN(1+lambda)</t>
        </is>
      </c>
      <c r="C31" s="35">
        <f>IFERROR(IF(C29&lt;0,-LN(2)/LN(1+C29),""),"")</f>
        <v/>
      </c>
      <c r="D31" s="5" t="inlineStr"/>
      <c r="E31" s="16">
        <f>IF(C31="","",IF(C31&lt;40,"Inside a 3-6 month horizon — the trade has time to work","Longer than the horizon. Either widen the horizon or accept this is a carry trade."))</f>
        <v/>
      </c>
    </row>
    <row r="32">
      <c r="A32" s="22" t="inlineStr">
        <is>
          <t>Standard error of lambda</t>
        </is>
      </c>
      <c r="B32" s="5" t="inlineStr">
        <is>
          <t>STEYX / SQRT(DEVSQ)</t>
        </is>
      </c>
      <c r="C32" s="36">
        <f>IFERROR(STEYX($E$108:$E$387,$F$108:$F$387)/SQRT(DEVSQ($F$108:$F$387)),"")</f>
        <v/>
      </c>
      <c r="D32" s="5" t="inlineStr"/>
      <c r="E32" s="16" t="inlineStr"/>
    </row>
    <row r="33">
      <c r="A33" s="22" t="inlineStr">
        <is>
          <t>Dickey-Fuller t-statistic</t>
        </is>
      </c>
      <c r="B33" s="5" t="inlineStr">
        <is>
          <t>lambda / SE(lambda)</t>
        </is>
      </c>
      <c r="C33" s="36">
        <f>IFERROR(C29/C32,"")</f>
        <v/>
      </c>
      <c r="D33" s="5" t="inlineStr">
        <is>
          <t>&lt; -2.86</t>
        </is>
      </c>
      <c r="E33" s="16">
        <f>IF(C33="","",IF(C33&lt;-3.43,"Rejects a unit root at 1% — strong mean reversion",IF(C33&lt;-2.86,"Rejects at 5% — mean reverting",IF(C33&lt;-2.57,"Rejects at 10% only — weak","Cannot reject a unit root. The level tells you nothing about the next move."))))</f>
        <v/>
      </c>
    </row>
    <row r="34">
      <c r="A34" s="22" t="inlineStr">
        <is>
          <t>Variance ratio, 4 weeks</t>
        </is>
      </c>
      <c r="B34" s="5" t="inlineStr">
        <is>
          <t>Var(4w) / (4 x Var(1w))</t>
        </is>
      </c>
      <c r="C34" s="36">
        <f>IFERROR(VAR.S($I$108:$I$387)/(4*VAR.S($E$108:$E$387)),"")</f>
        <v/>
      </c>
      <c r="D34" s="5" t="inlineStr">
        <is>
          <t>&lt; 1</t>
        </is>
      </c>
      <c r="E34" s="16" t="inlineStr">
        <is>
          <t>Below 1 is mean reversion; above 1 is trending; 1 is a random walk.</t>
        </is>
      </c>
    </row>
    <row r="35">
      <c r="A35" s="22" t="inlineStr">
        <is>
          <t>Variance ratio, 13 weeks</t>
        </is>
      </c>
      <c r="B35" s="5" t="inlineStr">
        <is>
          <t>Var(13w) / (13 x Var(1w))</t>
        </is>
      </c>
      <c r="C35" s="36">
        <f>IFERROR(VAR.S($J$108:$J$387)/(13*VAR.S($E$108:$E$387)),"")</f>
        <v/>
      </c>
      <c r="D35" s="5" t="inlineStr">
        <is>
          <t>&lt; 1</t>
        </is>
      </c>
      <c r="E35" s="16">
        <f>IF(C35="","",IF(C35&lt;1,"Mean reverting over a quarter — consistent with the entry rule","Trending over a quarter. Momentum entry, not a value entry."))</f>
        <v/>
      </c>
    </row>
    <row r="36">
      <c r="A36" s="22" t="inlineStr">
        <is>
          <t>VR(13) z-statistic</t>
        </is>
      </c>
      <c r="B36" s="5" t="inlineStr">
        <is>
          <t>(VR-1) / SQRT(2(2q-1)(q-1)/(3qT))</t>
        </is>
      </c>
      <c r="C36" s="36">
        <f>IFERROR((C35-1)/SQRT(2*(2*13-1)*(13-1)/(3*13*COUNT($E$108:$E$387))),"")</f>
        <v/>
      </c>
      <c r="D36" s="5" t="inlineStr">
        <is>
          <t>&lt; -1.96</t>
        </is>
      </c>
      <c r="E36" s="16" t="inlineStr">
        <is>
          <t>Below -1.96 the variance ratio is significantly under 1 at 5%.</t>
        </is>
      </c>
    </row>
    <row r="37">
      <c r="A37" s="22" t="inlineStr">
        <is>
          <t>Autocorrelation of weekly changes, lag 1</t>
        </is>
      </c>
      <c r="B37" s="5" t="inlineStr">
        <is>
          <t>CORREL(dY_t, dY_t-1)</t>
        </is>
      </c>
      <c r="C37" s="36">
        <f>IFERROR(CORREL(OFFSET($E$108:$E$387,1,0),OFFSET($E$108:$E$387,0,0)),"")</f>
        <v/>
      </c>
      <c r="D37" s="5" t="inlineStr"/>
      <c r="E37" s="16" t="inlineStr">
        <is>
          <t>Negative supports reversion at weekly frequency; near zero is normal for a spread.</t>
        </is>
      </c>
    </row>
    <row r="38">
      <c r="A38" s="22" t="inlineStr">
        <is>
          <t>Observations</t>
        </is>
      </c>
      <c r="B38" s="5" t="inlineStr">
        <is>
          <t>COUNT</t>
        </is>
      </c>
      <c r="C38" s="37">
        <f>COUNT($E$108:$E$387)</f>
        <v/>
      </c>
      <c r="D38" s="5" t="inlineStr">
        <is>
          <t>&gt; 150</t>
        </is>
      </c>
      <c r="E38" s="16" t="inlineStr">
        <is>
          <t>Below about 150 weekly points the tests above are not worth quoting.</t>
        </is>
      </c>
    </row>
    <row r="40">
      <c r="A40" s="8" t="inlineStr">
        <is>
          <t>The Dickey-Fuller critical values (-2.57 / -2.86 / -3.43 at 10 / 5 / 1%) and the variance-ratio z threshold are statistical constants, not market data — they are the only hardcoded numbers on this tab. Everything else recomputes on refresh.</t>
        </is>
      </c>
    </row>
    <row r="42">
      <c r="A42" s="8" t="inlineStr">
        <is>
          <t>Read the tests in this order: if the Dickey-Fuller statistic does not reject a unit root, stop. The entry and exit levels below are derived from mean reversion, and without it they are decoration. Say that in the room before anyone else does.</t>
        </is>
      </c>
    </row>
    <row r="45">
      <c r="A45" s="4" t="inlineStr">
        <is>
          <t>Entry and exit — derived from the tests, not chosen</t>
        </is>
      </c>
    </row>
    <row r="46" ht="18" customHeight="1">
      <c r="A46" s="9" t="inlineStr">
        <is>
          <t>Rule</t>
        </is>
      </c>
      <c r="B46" s="9" t="inlineStr">
        <is>
          <t>Level, bp</t>
        </is>
      </c>
      <c r="C46" s="9" t="inlineStr">
        <is>
          <t>Basis</t>
        </is>
      </c>
      <c r="D46" s="9" t="inlineStr">
        <is>
          <t>Note</t>
        </is>
      </c>
    </row>
    <row r="47">
      <c r="A47" s="22" t="inlineStr">
        <is>
          <t>Entry — value</t>
        </is>
      </c>
      <c r="B47" s="37">
        <f>IFERROR($C$24-$C$25,"")</f>
        <v/>
      </c>
      <c r="C47" s="5" t="inlineStr">
        <is>
          <t>mean less 1 SD</t>
        </is>
      </c>
      <c r="D47" s="16" t="inlineStr">
        <is>
          <t>Where the curve is flat against its own history. The z-score entry.</t>
        </is>
      </c>
    </row>
    <row r="48">
      <c r="A48" s="22" t="inlineStr">
        <is>
          <t>Entry — catalyst</t>
        </is>
      </c>
      <c r="B48" s="37">
        <f>IFERROR($C$18-8,"")</f>
        <v/>
      </c>
      <c r="C48" s="5" t="inlineStr">
        <is>
          <t>sell the hike</t>
        </is>
      </c>
      <c r="D48" s="16" t="inlineStr">
        <is>
          <t>The better entry is the session after a delivered BoJ hike, when the front end has sold off. A level without a catalyst is hoping.</t>
        </is>
      </c>
    </row>
    <row r="49">
      <c r="A49" s="22" t="inlineStr">
        <is>
          <t>Target</t>
        </is>
      </c>
      <c r="B49" s="37">
        <f>IFERROR($C$24+$C$25,"")</f>
        <v/>
      </c>
      <c r="C49" s="5" t="inlineStr">
        <is>
          <t>mean plus 1 SD</t>
        </is>
      </c>
      <c r="D49" s="16" t="inlineStr">
        <is>
          <t>Symmetric with the entry. Take it off; do not hold for the tail.</t>
        </is>
      </c>
    </row>
    <row r="50">
      <c r="A50" s="22" t="inlineStr">
        <is>
          <t>Stretch target</t>
        </is>
      </c>
      <c r="B50" s="37">
        <f>IFERROR(PERCENTILE.INC($D$108:$D$387,0.9),"")</f>
        <v/>
      </c>
      <c r="C50" s="5" t="inlineStr">
        <is>
          <t>90th percentile, 5y</t>
        </is>
      </c>
      <c r="D50" s="16" t="inlineStr">
        <is>
          <t>Only if the front end has started doing the work — check the decomposition.</t>
        </is>
      </c>
    </row>
    <row r="51">
      <c r="A51" s="22" t="inlineStr">
        <is>
          <t>Stop</t>
        </is>
      </c>
      <c r="B51" s="37">
        <f>IFERROR($C$24-2*$C$25,"")</f>
        <v/>
      </c>
      <c r="C51" s="5" t="inlineStr">
        <is>
          <t>mean less 2 SD</t>
        </is>
      </c>
      <c r="D51" s="16" t="inlineStr">
        <is>
          <t>Two standard deviations wrong means the mean-reversion premise has broken, not that the trade is early.</t>
        </is>
      </c>
    </row>
    <row r="52">
      <c r="A52" s="22" t="inlineStr">
        <is>
          <t>Risk / reward at current level</t>
        </is>
      </c>
      <c r="B52" s="23">
        <f>IFERROR((B49-$C$18)/($C$18-B51),"")</f>
        <v/>
      </c>
      <c r="C52" s="5" t="inlineStr">
        <is>
          <t>derived</t>
        </is>
      </c>
      <c r="D52" s="16" t="inlineStr">
        <is>
          <t>Target less spot, over spot less stop. Recompute on the morning.</t>
        </is>
      </c>
    </row>
    <row r="53">
      <c r="A53" s="22" t="inlineStr">
        <is>
          <t>Expected time to target, weeks</t>
        </is>
      </c>
      <c r="B53" s="35">
        <f>IFERROR(IF(AND($C$31&gt;0,$C$18&lt;$C$24),$C$31*LN(ABS(($C$18-$C$24)/(($C$24+$C$25)-$C$24)))/LN(0.5),""),"")</f>
        <v/>
      </c>
      <c r="C53" s="5" t="inlineStr">
        <is>
          <t>half-life</t>
        </is>
      </c>
      <c r="D53" s="16" t="inlineStr">
        <is>
          <t>How long an OU process with this half-life takes to close the gap. Sets the horizon rather than guessing 3-6 months.</t>
        </is>
      </c>
    </row>
    <row r="56">
      <c r="A56" s="4" t="inlineStr">
        <is>
          <t>Backtest of the entry rule — 26 weeks forward, on this same history</t>
        </is>
      </c>
    </row>
    <row r="57">
      <c r="A57" s="8" t="inlineStr">
        <is>
          <t>Column H holds the change in 2s10s over the 26 weeks AFTER each observation. Conditioning it on the z-score at the time is the whole test: if a low z-score has not historically been followed by steepening, the entry rule is a story.</t>
        </is>
      </c>
    </row>
    <row r="59" ht="18" customHeight="1">
      <c r="A59" s="9" t="inlineStr">
        <is>
          <t>Condition at entry</t>
        </is>
      </c>
      <c r="B59" s="9" t="inlineStr">
        <is>
          <t>Observations</t>
        </is>
      </c>
      <c r="C59" s="9" t="inlineStr">
        <is>
          <t>Mean 26w change, bp</t>
        </is>
      </c>
      <c r="D59" s="9" t="inlineStr">
        <is>
          <t>Hit rate</t>
        </is>
      </c>
      <c r="E59" s="9" t="inlineStr">
        <is>
          <t>Worst 26w, bp</t>
        </is>
      </c>
    </row>
    <row r="60">
      <c r="A60" s="22" t="inlineStr">
        <is>
          <t>z &lt;= -1.0  (the entry rule)</t>
        </is>
      </c>
      <c r="B60" s="22">
        <f>COUNTIFS($G$108:$G$387,"&lt;=-1",$H$108:$H$387,"&lt;&gt;")</f>
        <v/>
      </c>
      <c r="C60" s="29">
        <f>IFERROR(AVERAGEIFS($H$108:$H$387,$G$108:$G$387,"&lt;=-1"),"")</f>
        <v/>
      </c>
      <c r="D60" s="31">
        <f>IFERROR(COUNTIFS($G$108:$G$387,"&lt;=-1",$H$108:$H$387,"&gt;0")/COUNTIFS($G$108:$G$387,"&lt;=-1",$H$108:$H$387,"&lt;&gt;"),"")</f>
        <v/>
      </c>
      <c r="E60" s="30">
        <f>IFERROR(MINIFS($H$108:$H$387,$G$108:$G$387,"&lt;=-1"),"")</f>
        <v/>
      </c>
    </row>
    <row r="61">
      <c r="A61" s="22" t="inlineStr">
        <is>
          <t>-1.0 &lt; z &lt;= 0</t>
        </is>
      </c>
      <c r="B61" s="22">
        <f>COUNTIFS($G$108:$G$387,"&gt;-1",$G$108:$G$387,"&lt;=0",$H$108:$H$387,"&lt;&gt;")</f>
        <v/>
      </c>
      <c r="C61" s="29">
        <f>IFERROR(AVERAGEIFS($H$108:$H$387,$G$108:$G$387,"&gt;-1",$G$108:$G$387,"&lt;=0"),"")</f>
        <v/>
      </c>
      <c r="D61" s="31">
        <f>IFERROR(COUNTIFS($G$108:$G$387,"&gt;-1",$G$108:$G$387,"&lt;=0",$H$108:$H$387,"&gt;0")/COUNTIFS($G$108:$G$387,"&gt;-1",$G$108:$G$387,"&lt;=0",$H$108:$H$387,"&lt;&gt;"),"")</f>
        <v/>
      </c>
      <c r="E61" s="38" t="n"/>
    </row>
    <row r="62">
      <c r="A62" s="22" t="inlineStr">
        <is>
          <t>z &gt; 0</t>
        </is>
      </c>
      <c r="B62" s="22">
        <f>COUNTIFS($G$108:$G$387,"&gt;0",$H$108:$H$387,"&lt;&gt;")</f>
        <v/>
      </c>
      <c r="C62" s="29">
        <f>IFERROR(AVERAGEIFS($H$108:$H$387,$G$108:$G$387,"&gt;0"),"")</f>
        <v/>
      </c>
      <c r="D62" s="31">
        <f>IFERROR(COUNTIFS($G$108:$G$387,"&gt;0",$H$108:$H$387,"&gt;0")/COUNTIFS($G$108:$G$387,"&gt;0",$H$108:$H$387,"&lt;&gt;"),"")</f>
        <v/>
      </c>
      <c r="E62" s="30">
        <f>IFERROR(MINIFS($H$108:$H$387,$G$108:$G$387,"&gt;0"),"")</f>
        <v/>
      </c>
    </row>
    <row r="63">
      <c r="A63" s="22" t="inlineStr">
        <is>
          <t>z &gt;= +1.0  (the exit zone)</t>
        </is>
      </c>
      <c r="B63" s="22">
        <f>COUNTIFS($G$108:$G$387,"&gt;=1",$H$108:$H$387,"&lt;&gt;")</f>
        <v/>
      </c>
      <c r="C63" s="29">
        <f>IFERROR(AVERAGEIFS($H$108:$H$387,$G$108:$G$387,"&gt;=1"),"")</f>
        <v/>
      </c>
      <c r="D63" s="31">
        <f>IFERROR(COUNTIFS($G$108:$G$387,"&gt;=1",$H$108:$H$387,"&gt;0")/COUNTIFS($G$108:$G$387,"&gt;=1",$H$108:$H$387,"&lt;&gt;"),"")</f>
        <v/>
      </c>
      <c r="E63" s="30">
        <f>IFERROR(MINIFS($H$108:$H$387,$G$108:$G$387,"&gt;=1"),"")</f>
        <v/>
      </c>
    </row>
    <row r="64">
      <c r="A64" s="22" t="inlineStr">
        <is>
          <t>All observations</t>
        </is>
      </c>
      <c r="B64" s="22">
        <f>COUNT($H$108:$H$387)</f>
        <v/>
      </c>
      <c r="C64" s="29">
        <f>IFERROR(AVERAGE($H$108:$H$387),"")</f>
        <v/>
      </c>
      <c r="D64" s="31">
        <f>IFERROR(COUNTIF($H$108:$H$387,"&gt;0")/COUNT($H$108:$H$387),"")</f>
        <v/>
      </c>
      <c r="E64" s="30">
        <f>IFERROR(MIN($H$108:$H$387),"")</f>
        <v/>
      </c>
    </row>
    <row r="66">
      <c r="A66" s="8" t="inlineStr">
        <is>
          <t>What good looks like: the z &lt;= -1 row should show a materially higher mean 26-week change and hit rate than the all-observations row. If it does not, the entry rule adds nothing over just being long the steepener all the time — which is a legitimate finding, and a much better thing to say than to discover it in Q&amp;A.</t>
        </is>
      </c>
    </row>
    <row r="68">
      <c r="A68" s="8" t="inlineStr">
        <is>
          <t>Two caveats to volunteer. The windows overlap, so the observation count overstates independence — treat the hit rate as indicative, not as a t-test. And five years covers one regime: BoJ normalisation. There is no 2s10s history here of a BoJ that pauses, which is exactly the state the trade is underwriting.</t>
        </is>
      </c>
    </row>
    <row r="71">
      <c r="A71" s="4" t="inlineStr">
        <is>
          <t>Instruments — what to actually put on</t>
        </is>
      </c>
    </row>
    <row r="72" ht="18" customHeight="1">
      <c r="A72" s="9" t="inlineStr">
        <is>
          <t>Expression</t>
        </is>
      </c>
      <c r="B72" s="9" t="inlineStr">
        <is>
          <t>What it isolates</t>
        </is>
      </c>
      <c r="C72" s="9" t="inlineStr">
        <is>
          <t>Hedge ratio</t>
        </is>
      </c>
      <c r="D72" s="9" t="inlineStr">
        <is>
          <t>Carry</t>
        </is>
      </c>
      <c r="E72" s="9" t="inlineStr">
        <is>
          <t>Best when</t>
        </is>
      </c>
    </row>
    <row r="73" ht="26" customHeight="1">
      <c r="A73" s="10" t="inlineStr">
        <is>
          <t>Receive 2y / pay 10y JPY OIS</t>
        </is>
      </c>
      <c r="B73" s="22" t="inlineStr">
        <is>
          <t>The BoJ path, cleanly</t>
        </is>
      </c>
      <c r="C73" s="39">
        <f>IFERROR($C$81,"")</f>
        <v/>
      </c>
      <c r="D73" s="22" t="inlineStr">
        <is>
          <t>Positive — see below</t>
        </is>
      </c>
      <c r="E73" s="16" t="inlineStr">
        <is>
          <t>Default. No repo, no specialness, no balance sheet, and OIS is where the policy path is actually priced.</t>
        </is>
      </c>
    </row>
    <row r="74" ht="26" customHeight="1">
      <c r="A74" s="10" t="inlineStr">
        <is>
          <t>Cash JGB 2s10s, DV01-weighted</t>
        </is>
      </c>
      <c r="B74" s="22" t="inlineStr">
        <is>
          <t>Same, plus JGB-specific supply</t>
        </is>
      </c>
      <c r="C74" s="39" t="inlineStr">
        <is>
          <t>same ratio</t>
        </is>
      </c>
      <c r="D74" s="22" t="inlineStr">
        <is>
          <t>Repo-dependent</t>
        </is>
      </c>
      <c r="E74" s="16" t="inlineStr">
        <is>
          <t>If swap lines are the binding constraint. Carries specialness risk in the 10y on-the-run.</t>
        </is>
      </c>
    </row>
    <row r="75" ht="26" customHeight="1">
      <c r="A75" s="10" t="inlineStr">
        <is>
          <t>Receive 2y OIS vs short JB futures</t>
        </is>
      </c>
      <c r="B75" s="22" t="inlineStr">
        <is>
          <t>The path, hedged with the liquid instrument</t>
        </is>
      </c>
      <c r="C75" s="39" t="inlineStr">
        <is>
          <t>by futures DV01</t>
        </is>
      </c>
      <c r="D75" s="22" t="inlineStr">
        <is>
          <t>Negative roll on futures</t>
        </is>
      </c>
      <c r="E75" s="16" t="inlineStr">
        <is>
          <t>Fastest to put on intraday. Basis between CTD and the 10y point is a real cost over a 3-6 month hold.</t>
        </is>
      </c>
    </row>
    <row r="76" ht="26" customHeight="1">
      <c r="A76" s="10" t="inlineStr">
        <is>
          <t>6m2y receiver vs 6m10y receiver</t>
        </is>
      </c>
      <c r="B76" s="22" t="inlineStr">
        <is>
          <t>The BULL path only</t>
        </is>
      </c>
      <c r="C76" s="39" t="inlineStr">
        <is>
          <t>premium-weighted</t>
        </is>
      </c>
      <c r="D76" s="22" t="inlineStr">
        <is>
          <t>Premium at risk</t>
        </is>
      </c>
      <c r="E76" s="16" t="inlineStr">
        <is>
          <t>The purest expression of this specific thesis: it pays if the front end rallies and expires worthless if the curve bear-steepens. Defined risk, and it does not lose in the bear-flattener state.</t>
        </is>
      </c>
    </row>
    <row r="77" ht="26" customHeight="1">
      <c r="A77" s="10" t="inlineStr">
        <is>
          <t>2s30s instead of 2s10s</t>
        </is>
      </c>
      <c r="B77" s="22" t="inlineStr">
        <is>
          <t>Path plus term premium</t>
        </is>
      </c>
      <c r="C77" s="39" t="inlineStr">
        <is>
          <t>lower ratio</t>
        </is>
      </c>
      <c r="D77" s="22" t="inlineStr">
        <is>
          <t>Higher positive</t>
        </is>
      </c>
      <c r="E77" s="16" t="inlineStr">
        <is>
          <t>Higher beta and better carry, but it mixes the BoJ view with a fiscal supply view. Use it if you want both; do not use it to argue this one.</t>
        </is>
      </c>
    </row>
    <row r="78">
      <c r="A78" s="4" t="inlineStr">
        <is>
          <t>Hedge ratio and carry — computed off the live curve</t>
        </is>
      </c>
    </row>
    <row r="79">
      <c r="A79" s="22" t="inlineStr">
        <is>
          <t>Modified duration, 2y par swap</t>
        </is>
      </c>
      <c r="B79" s="18" t="n"/>
      <c r="C79" s="23">
        <f>IFERROR((1-(1+C15/100)^-2)/(C15/100),"")</f>
        <v/>
      </c>
      <c r="D79" s="16" t="inlineStr">
        <is>
          <t>Closed form for a par swap. Shown so the ratio is checkable.</t>
        </is>
      </c>
    </row>
    <row r="80">
      <c r="A80" s="22" t="inlineStr">
        <is>
          <t>Modified duration, 10y par swap</t>
        </is>
      </c>
      <c r="B80" s="18" t="n"/>
      <c r="C80" s="23">
        <f>IFERROR((1-(1+C17/100)^-10)/(C17/100),"")</f>
        <v/>
      </c>
      <c r="D80" s="16" t="inlineStr"/>
    </row>
    <row r="81">
      <c r="A81" s="22" t="inlineStr">
        <is>
          <t>DV01 hedge ratio, 2y per 1 of 10y</t>
        </is>
      </c>
      <c r="B81" s="18" t="n"/>
      <c r="C81" s="23">
        <f>IFERROR(C80/C79,"")</f>
        <v/>
      </c>
      <c r="D81" s="16" t="inlineStr">
        <is>
          <t>Receive this many units of 2y for every unit of 10y paid.</t>
        </is>
      </c>
    </row>
    <row r="82">
      <c r="A82" s="22" t="inlineStr">
        <is>
          <t>1.75y yield, interpolated</t>
        </is>
      </c>
      <c r="B82" s="18" t="n"/>
      <c r="C82" s="23">
        <f>IFERROR(C14+(C15-C14)*0.75,"")</f>
        <v/>
      </c>
      <c r="D82" s="16" t="inlineStr">
        <is>
          <t>Where the 2y leg sits in 3 months.</t>
        </is>
      </c>
    </row>
    <row r="83">
      <c r="A83" s="22" t="inlineStr">
        <is>
          <t>9.75y yield, interpolated</t>
        </is>
      </c>
      <c r="B83" s="18" t="n"/>
      <c r="C83" s="23">
        <f>IFERROR(C16+(C17-C16)*(4.75/5),"")</f>
        <v/>
      </c>
      <c r="D83" s="16" t="inlineStr">
        <is>
          <t>Where the 10y leg sits in 3 months.</t>
        </is>
      </c>
    </row>
    <row r="84">
      <c r="A84" s="22" t="inlineStr">
        <is>
          <t>Carry and roll, bp of 2s10s per quarter</t>
        </is>
      </c>
      <c r="B84" s="18" t="n"/>
      <c r="C84" s="23">
        <f>IFERROR(((C83-C82)-(C17-C15))*100,"")</f>
        <v/>
      </c>
      <c r="D84" s="16" t="inlineStr">
        <is>
          <t>The spread you earn in three months if the curve does not move. Positive means you are paid to wait, which matters when the catalyst is a data path rather than an event.</t>
        </is>
      </c>
    </row>
    <row r="85">
      <c r="A85" s="22" t="inlineStr">
        <is>
          <t>Quarters of carry to cover the stop</t>
        </is>
      </c>
      <c r="B85" s="18" t="n"/>
      <c r="C85" s="23">
        <f>IFERROR(($C$18-$B$51)/C84,"")</f>
        <v/>
      </c>
      <c r="D85" s="16" t="inlineStr">
        <is>
          <t>How long carry alone funds the distance to the stop.</t>
        </is>
      </c>
    </row>
    <row r="88">
      <c r="A88" s="4" t="inlineStr">
        <is>
          <t>How the curve got here — the exhibit that answers the objection</t>
        </is>
      </c>
    </row>
    <row r="89" ht="18" customHeight="1">
      <c r="A89" s="9" t="inlineStr">
        <is>
          <t>Window</t>
        </is>
      </c>
      <c r="B89" s="9" t="inlineStr">
        <is>
          <t>2y change, bp</t>
        </is>
      </c>
      <c r="C89" s="9" t="inlineStr">
        <is>
          <t>10y change, bp</t>
        </is>
      </c>
      <c r="D89" s="9" t="inlineStr">
        <is>
          <t>2s10s change, bp</t>
        </is>
      </c>
      <c r="E89" s="9" t="inlineStr">
        <is>
          <t>Read</t>
        </is>
      </c>
    </row>
    <row r="90">
      <c r="A90" s="22" t="inlineStr">
        <is>
          <t>1 month</t>
        </is>
      </c>
      <c r="B90" s="30">
        <f>IFERROR((INDEX($B$108:$B$387,COUNT($D$108:$D$387))-INDEX($B$108:$B$387,COUNT($D$108:$D$387)-4))*100,"")</f>
        <v/>
      </c>
      <c r="C90" s="30">
        <f>IFERROR((INDEX($C$108:$C$387,COUNT($D$108:$D$387))-INDEX($C$108:$C$387,COUNT($D$108:$D$387)-4))*100,"")</f>
        <v/>
      </c>
      <c r="D90" s="29">
        <f>IFERROR(INDEX($D$108:$D$387,COUNT($D$108:$D$387))-INDEX($D$108:$D$387,COUNT($D$108:$D$387)-4),"")</f>
        <v/>
      </c>
      <c r="E90" s="12">
        <f>IF(D90="","",IF(AND(B90&gt;0,C90&gt;0,D90&gt;0),"BEAR steepening — long end did the work",IF(AND(B90&lt;0,C90&lt;0,D90&gt;0),"BULL steepening — the front end rallied",IF(D90&lt;0,"Flattening","Mixed"))))</f>
        <v/>
      </c>
    </row>
    <row r="91">
      <c r="A91" s="22" t="inlineStr">
        <is>
          <t>3 months</t>
        </is>
      </c>
      <c r="B91" s="30">
        <f>IFERROR((INDEX($B$108:$B$387,COUNT($D$108:$D$387))-INDEX($B$108:$B$387,COUNT($D$108:$D$387)-13))*100,"")</f>
        <v/>
      </c>
      <c r="C91" s="30">
        <f>IFERROR((INDEX($C$108:$C$387,COUNT($D$108:$D$387))-INDEX($C$108:$C$387,COUNT($D$108:$D$387)-13))*100,"")</f>
        <v/>
      </c>
      <c r="D91" s="29">
        <f>IFERROR(INDEX($D$108:$D$387,COUNT($D$108:$D$387))-INDEX($D$108:$D$387,COUNT($D$108:$D$387)-13),"")</f>
        <v/>
      </c>
      <c r="E91" s="12">
        <f>IF(D91="","",IF(AND(B91&gt;0,C91&gt;0,D91&gt;0),"BEAR steepening — long end did the work",IF(AND(B91&lt;0,C91&lt;0,D91&gt;0),"BULL steepening — the front end rallied",IF(D91&lt;0,"Flattening","Mixed"))))</f>
        <v/>
      </c>
    </row>
    <row r="92">
      <c r="A92" s="22" t="inlineStr">
        <is>
          <t>6 months</t>
        </is>
      </c>
      <c r="B92" s="30">
        <f>IFERROR((INDEX($B$108:$B$387,COUNT($D$108:$D$387))-INDEX($B$108:$B$387,COUNT($D$108:$D$387)-26))*100,"")</f>
        <v/>
      </c>
      <c r="C92" s="30">
        <f>IFERROR((INDEX($C$108:$C$387,COUNT($D$108:$D$387))-INDEX($C$108:$C$387,COUNT($D$108:$D$387)-26))*100,"")</f>
        <v/>
      </c>
      <c r="D92" s="29">
        <f>IFERROR(INDEX($D$108:$D$387,COUNT($D$108:$D$387))-INDEX($D$108:$D$387,COUNT($D$108:$D$387)-26),"")</f>
        <v/>
      </c>
      <c r="E92" s="12">
        <f>IF(D92="","",IF(AND(B92&gt;0,C92&gt;0,D92&gt;0),"BEAR steepening — long end did the work",IF(AND(B92&lt;0,C92&lt;0,D92&gt;0),"BULL steepening — the front end rallied",IF(D92&lt;0,"Flattening","Mixed"))))</f>
        <v/>
      </c>
    </row>
    <row r="93">
      <c r="A93" s="22" t="inlineStr">
        <is>
          <t>12 months</t>
        </is>
      </c>
      <c r="B93" s="30">
        <f>IFERROR((INDEX($B$108:$B$387,COUNT($D$108:$D$387))-INDEX($B$108:$B$387,COUNT($D$108:$D$387)-52))*100,"")</f>
        <v/>
      </c>
      <c r="C93" s="30">
        <f>IFERROR((INDEX($C$108:$C$387,COUNT($D$108:$D$387))-INDEX($C$108:$C$387,COUNT($D$108:$D$387)-52))*100,"")</f>
        <v/>
      </c>
      <c r="D93" s="29">
        <f>IFERROR(INDEX($D$108:$D$387,COUNT($D$108:$D$387))-INDEX($D$108:$D$387,COUNT($D$108:$D$387)-52),"")</f>
        <v/>
      </c>
      <c r="E93" s="12">
        <f>IF(D93="","",IF(AND(B93&gt;0,C93&gt;0,D93&gt;0),"BEAR steepening — long end did the work",IF(AND(B93&lt;0,C93&lt;0,D93&gt;0),"BULL steepening — the front end rallied",IF(D93&lt;0,"Flattening","Mixed"))))</f>
        <v/>
      </c>
    </row>
    <row r="94">
      <c r="A94" s="22" t="inlineStr">
        <is>
          <t>24 months</t>
        </is>
      </c>
      <c r="B94" s="30">
        <f>IFERROR((INDEX($B$108:$B$387,COUNT($D$108:$D$387))-INDEX($B$108:$B$387,COUNT($D$108:$D$387)-104))*100,"")</f>
        <v/>
      </c>
      <c r="C94" s="30">
        <f>IFERROR((INDEX($C$108:$C$387,COUNT($D$108:$D$387))-INDEX($C$108:$C$387,COUNT($D$108:$D$387)-104))*100,"")</f>
        <v/>
      </c>
      <c r="D94" s="29">
        <f>IFERROR(INDEX($D$108:$D$387,COUNT($D$108:$D$387))-INDEX($D$108:$D$387,COUNT($D$108:$D$387)-104),"")</f>
        <v/>
      </c>
      <c r="E94" s="12">
        <f>IF(D94="","",IF(AND(B94&gt;0,C94&gt;0,D94&gt;0),"BEAR steepening — long end did the work",IF(AND(B94&lt;0,C94&lt;0,D94&gt;0),"BULL steepening — the front end rallied",IF(D94&lt;0,"Flattening","Mixed"))))</f>
        <v/>
      </c>
    </row>
    <row r="96">
      <c r="A96" s="8" t="inlineStr">
        <is>
          <t>This is the table behind the argument. If every window reads BEAR steepening, the pitch is intact: the level is high because the long end sold off, and the front end has not participated. The moment a window flips to BULL, the thesis is confirming and the entry window is closing — that is the signal to size up, not to wait.</t>
        </is>
      </c>
    </row>
    <row r="99">
      <c r="A99" s="4" t="inlineStr">
        <is>
          <t>The line to say, built from the refreshed numbers</t>
        </is>
      </c>
    </row>
    <row r="100" ht="46" customHeight="1">
      <c r="A100" s="28">
        <f>IF(COUNT($D$108:$D$387)=0,"Refresh first — this sentence writes itself.","2s10s is at "&amp;TEXT($C$18,"0")&amp;"bp, the "&amp;TEXT($C$21,"0%")&amp;" of its five years — and that is the objection. But the 2-year sits "&amp;TEXT($C$19,"0")&amp;"bp above the policy rate with "&amp;TEXT($C$20,"0.0")&amp;" hikes priced. The half-life on this spread is "&amp;TEXT($C$31,"0")&amp;" weeks, so a "&amp;TEXT($C$25,"0")&amp;"bp standard deviation closes inside the horizon. The front end has never rallied in this cycle. That is the leg I am buying.")</f>
        <v/>
      </c>
      <c r="R100" s="8" t="inlineStr">
        <is>
          <t>Staging — one BQL call per security. Each spills DATE and value; the working columns on the left look them up by date. Blocks: R = JPY OIS 2y, weekly · V = JPY OIS 10y, weekly.  If a block comes back with an extra ID column, shift that block's value column by one — nothing else needs to change.</t>
        </is>
      </c>
    </row>
    <row r="103">
      <c r="R103" s="7">
        <f>BQL("JYSO2 Curncy","px_last(frq=W, dates=range("&amp;TEXT(Start5Y,"yyyy-mm-dd")&amp;","&amp;TEXT(AsOf,"yyyy-mm-dd")&amp;"), fill=prev)")</f>
        <v/>
      </c>
      <c r="V103" s="7">
        <f>BQL("JYSO10 Curncy","px_last(frq=W, dates=range("&amp;TEXT(Start5Y,"yyyy-mm-dd")&amp;","&amp;TEXT(AsOf,"yyyy-mm-dd")&amp;"), fill=prev)")</f>
        <v/>
      </c>
    </row>
    <row r="104">
      <c r="A104" s="4" t="inlineStr">
        <is>
          <t>Weekly history — 5 years. Everything above reads from here.</t>
        </is>
      </c>
    </row>
    <row r="105">
      <c r="A105" s="4" t="inlineStr">
        <is>
          <t>Date alignment check</t>
        </is>
      </c>
      <c r="C105" s="4">
        <f>IFERROR(SUMPRODUCT(--($R$108:$R$388&lt;&gt;"")*($V$108:$V$388&lt;&gt;"")*($R$108:$R$388&lt;&gt;$V$108:$V$388)),"")</f>
        <v/>
      </c>
      <c r="D105" s="2">
        <f>IF(C105="","",IF(C105=0,"OK — blocks are row-aligned","MISALIGNED: "&amp;C105&amp;" rows differ. Do not use these numbers; switch the value columns to INDEX/MATCH on the date."))</f>
        <v/>
      </c>
    </row>
    <row r="107" ht="18" customHeight="1">
      <c r="A107" s="9" t="inlineStr">
        <is>
          <t>Date</t>
        </is>
      </c>
      <c r="B107" s="9" t="inlineStr">
        <is>
          <t>2y OIS, %</t>
        </is>
      </c>
      <c r="C107" s="9" t="inlineStr">
        <is>
          <t>10y OIS, %</t>
        </is>
      </c>
      <c r="D107" s="9" t="inlineStr">
        <is>
          <t>2s10s, bp</t>
        </is>
      </c>
      <c r="E107" s="9" t="inlineStr">
        <is>
          <t>Weekly chg</t>
        </is>
      </c>
      <c r="F107" s="9" t="inlineStr">
        <is>
          <t>Lag level</t>
        </is>
      </c>
      <c r="G107" s="9" t="inlineStr">
        <is>
          <t>z-score</t>
        </is>
      </c>
      <c r="H107" s="9" t="inlineStr">
        <is>
          <t>Fwd 26w chg</t>
        </is>
      </c>
      <c r="I107" s="9" t="inlineStr">
        <is>
          <t>4w chg</t>
        </is>
      </c>
      <c r="J107" s="9" t="inlineStr">
        <is>
          <t>13w chg</t>
        </is>
      </c>
    </row>
    <row r="108">
      <c r="A108" s="40">
        <f>IFERROR(INDEX($R$108:$R$388,ROW()-107),"")</f>
        <v/>
      </c>
      <c r="B108">
        <f>IFERROR(INDEX($S$108:$S$388,ROW()-107),"")</f>
        <v/>
      </c>
      <c r="C108">
        <f>IFERROR(INDEX($W$108:$W$388,ROW()-107),"")</f>
        <v/>
      </c>
      <c r="D108" s="32">
        <f>IFERROR((C108-B108)*100,"")</f>
        <v/>
      </c>
      <c r="E108" s="32" t="n"/>
      <c r="F108" s="32" t="n"/>
      <c r="G108" s="41">
        <f>IFERROR((D108-$C$24)/$C$25,"")</f>
        <v/>
      </c>
      <c r="H108" s="32">
        <f>IFERROR(D134-D108,"")</f>
        <v/>
      </c>
      <c r="I108" s="32" t="n"/>
      <c r="J108" s="32" t="n"/>
      <c r="K108">
        <f>IF(A108="","",$C$24)</f>
        <v/>
      </c>
      <c r="L108">
        <f>IF(A108="","",$C$24-$C$25)</f>
        <v/>
      </c>
      <c r="M108">
        <f>IF(A108="","",$C$24+$C$25)</f>
        <v/>
      </c>
    </row>
    <row r="109">
      <c r="A109" s="40">
        <f>IFERROR(INDEX($R$108:$R$388,ROW()-107),"")</f>
        <v/>
      </c>
      <c r="B109">
        <f>IFERROR(INDEX($S$108:$S$388,ROW()-107),"")</f>
        <v/>
      </c>
      <c r="C109">
        <f>IFERROR(INDEX($W$108:$W$388,ROW()-107),"")</f>
        <v/>
      </c>
      <c r="D109" s="32">
        <f>IFERROR((C109-B109)*100,"")</f>
        <v/>
      </c>
      <c r="E109" s="32">
        <f>IFERROR(D109-D108,"")</f>
        <v/>
      </c>
      <c r="F109" s="32">
        <f>IFERROR(D108,"")</f>
        <v/>
      </c>
      <c r="G109" s="41">
        <f>IFERROR((D109-$C$24)/$C$25,"")</f>
        <v/>
      </c>
      <c r="H109" s="32">
        <f>IFERROR(D135-D109,"")</f>
        <v/>
      </c>
      <c r="I109" s="32" t="n"/>
      <c r="J109" s="32" t="n"/>
      <c r="K109">
        <f>IF(A109="","",$C$24)</f>
        <v/>
      </c>
      <c r="L109">
        <f>IF(A109="","",$C$24-$C$25)</f>
        <v/>
      </c>
      <c r="M109">
        <f>IF(A109="","",$C$24+$C$25)</f>
        <v/>
      </c>
    </row>
    <row r="110">
      <c r="A110" s="40">
        <f>IFERROR(INDEX($R$108:$R$388,ROW()-107),"")</f>
        <v/>
      </c>
      <c r="B110">
        <f>IFERROR(INDEX($S$108:$S$388,ROW()-107),"")</f>
        <v/>
      </c>
      <c r="C110">
        <f>IFERROR(INDEX($W$108:$W$388,ROW()-107),"")</f>
        <v/>
      </c>
      <c r="D110" s="32">
        <f>IFERROR((C110-B110)*100,"")</f>
        <v/>
      </c>
      <c r="E110" s="32">
        <f>IFERROR(D110-D109,"")</f>
        <v/>
      </c>
      <c r="F110" s="32">
        <f>IFERROR(D109,"")</f>
        <v/>
      </c>
      <c r="G110" s="41">
        <f>IFERROR((D110-$C$24)/$C$25,"")</f>
        <v/>
      </c>
      <c r="H110" s="32">
        <f>IFERROR(D136-D110,"")</f>
        <v/>
      </c>
      <c r="I110" s="32" t="n"/>
      <c r="J110" s="32" t="n"/>
      <c r="K110">
        <f>IF(A110="","",$C$24)</f>
        <v/>
      </c>
      <c r="L110">
        <f>IF(A110="","",$C$24-$C$25)</f>
        <v/>
      </c>
      <c r="M110">
        <f>IF(A110="","",$C$24+$C$25)</f>
        <v/>
      </c>
    </row>
    <row r="111">
      <c r="A111" s="40">
        <f>IFERROR(INDEX($R$108:$R$388,ROW()-107),"")</f>
        <v/>
      </c>
      <c r="B111">
        <f>IFERROR(INDEX($S$108:$S$388,ROW()-107),"")</f>
        <v/>
      </c>
      <c r="C111">
        <f>IFERROR(INDEX($W$108:$W$388,ROW()-107),"")</f>
        <v/>
      </c>
      <c r="D111" s="32">
        <f>IFERROR((C111-B111)*100,"")</f>
        <v/>
      </c>
      <c r="E111" s="32">
        <f>IFERROR(D111-D110,"")</f>
        <v/>
      </c>
      <c r="F111" s="32">
        <f>IFERROR(D110,"")</f>
        <v/>
      </c>
      <c r="G111" s="41">
        <f>IFERROR((D111-$C$24)/$C$25,"")</f>
        <v/>
      </c>
      <c r="H111" s="32">
        <f>IFERROR(D137-D111,"")</f>
        <v/>
      </c>
      <c r="I111" s="32" t="n"/>
      <c r="J111" s="32" t="n"/>
      <c r="K111">
        <f>IF(A111="","",$C$24)</f>
        <v/>
      </c>
      <c r="L111">
        <f>IF(A111="","",$C$24-$C$25)</f>
        <v/>
      </c>
      <c r="M111">
        <f>IF(A111="","",$C$24+$C$25)</f>
        <v/>
      </c>
    </row>
    <row r="112">
      <c r="A112" s="40">
        <f>IFERROR(INDEX($R$108:$R$388,ROW()-107),"")</f>
        <v/>
      </c>
      <c r="B112">
        <f>IFERROR(INDEX($S$108:$S$388,ROW()-107),"")</f>
        <v/>
      </c>
      <c r="C112">
        <f>IFERROR(INDEX($W$108:$W$388,ROW()-107),"")</f>
        <v/>
      </c>
      <c r="D112" s="32">
        <f>IFERROR((C112-B112)*100,"")</f>
        <v/>
      </c>
      <c r="E112" s="32">
        <f>IFERROR(D112-D111,"")</f>
        <v/>
      </c>
      <c r="F112" s="32">
        <f>IFERROR(D111,"")</f>
        <v/>
      </c>
      <c r="G112" s="41">
        <f>IFERROR((D112-$C$24)/$C$25,"")</f>
        <v/>
      </c>
      <c r="H112" s="32">
        <f>IFERROR(D138-D112,"")</f>
        <v/>
      </c>
      <c r="I112" s="32">
        <f>IFERROR(D112-D108,"")</f>
        <v/>
      </c>
      <c r="J112" s="32" t="n"/>
      <c r="K112">
        <f>IF(A112="","",$C$24)</f>
        <v/>
      </c>
      <c r="L112">
        <f>IF(A112="","",$C$24-$C$25)</f>
        <v/>
      </c>
      <c r="M112">
        <f>IF(A112="","",$C$24+$C$25)</f>
        <v/>
      </c>
    </row>
    <row r="113">
      <c r="A113" s="40">
        <f>IFERROR(INDEX($R$108:$R$388,ROW()-107),"")</f>
        <v/>
      </c>
      <c r="B113">
        <f>IFERROR(INDEX($S$108:$S$388,ROW()-107),"")</f>
        <v/>
      </c>
      <c r="C113">
        <f>IFERROR(INDEX($W$108:$W$388,ROW()-107),"")</f>
        <v/>
      </c>
      <c r="D113" s="32">
        <f>IFERROR((C113-B113)*100,"")</f>
        <v/>
      </c>
      <c r="E113" s="32">
        <f>IFERROR(D113-D112,"")</f>
        <v/>
      </c>
      <c r="F113" s="32">
        <f>IFERROR(D112,"")</f>
        <v/>
      </c>
      <c r="G113" s="41">
        <f>IFERROR((D113-$C$24)/$C$25,"")</f>
        <v/>
      </c>
      <c r="H113" s="32">
        <f>IFERROR(D139-D113,"")</f>
        <v/>
      </c>
      <c r="I113" s="32">
        <f>IFERROR(D113-D109,"")</f>
        <v/>
      </c>
      <c r="J113" s="32" t="n"/>
      <c r="K113">
        <f>IF(A113="","",$C$24)</f>
        <v/>
      </c>
      <c r="L113">
        <f>IF(A113="","",$C$24-$C$25)</f>
        <v/>
      </c>
      <c r="M113">
        <f>IF(A113="","",$C$24+$C$25)</f>
        <v/>
      </c>
    </row>
    <row r="114">
      <c r="A114" s="40">
        <f>IFERROR(INDEX($R$108:$R$388,ROW()-107),"")</f>
        <v/>
      </c>
      <c r="B114">
        <f>IFERROR(INDEX($S$108:$S$388,ROW()-107),"")</f>
        <v/>
      </c>
      <c r="C114">
        <f>IFERROR(INDEX($W$108:$W$388,ROW()-107),"")</f>
        <v/>
      </c>
      <c r="D114" s="32">
        <f>IFERROR((C114-B114)*100,"")</f>
        <v/>
      </c>
      <c r="E114" s="32">
        <f>IFERROR(D114-D113,"")</f>
        <v/>
      </c>
      <c r="F114" s="32">
        <f>IFERROR(D113,"")</f>
        <v/>
      </c>
      <c r="G114" s="41">
        <f>IFERROR((D114-$C$24)/$C$25,"")</f>
        <v/>
      </c>
      <c r="H114" s="32">
        <f>IFERROR(D140-D114,"")</f>
        <v/>
      </c>
      <c r="I114" s="32">
        <f>IFERROR(D114-D110,"")</f>
        <v/>
      </c>
      <c r="J114" s="32" t="n"/>
      <c r="K114">
        <f>IF(A114="","",$C$24)</f>
        <v/>
      </c>
      <c r="L114">
        <f>IF(A114="","",$C$24-$C$25)</f>
        <v/>
      </c>
      <c r="M114">
        <f>IF(A114="","",$C$24+$C$25)</f>
        <v/>
      </c>
    </row>
    <row r="115">
      <c r="A115" s="40">
        <f>IFERROR(INDEX($R$108:$R$388,ROW()-107),"")</f>
        <v/>
      </c>
      <c r="B115">
        <f>IFERROR(INDEX($S$108:$S$388,ROW()-107),"")</f>
        <v/>
      </c>
      <c r="C115">
        <f>IFERROR(INDEX($W$108:$W$388,ROW()-107),"")</f>
        <v/>
      </c>
      <c r="D115" s="32">
        <f>IFERROR((C115-B115)*100,"")</f>
        <v/>
      </c>
      <c r="E115" s="32">
        <f>IFERROR(D115-D114,"")</f>
        <v/>
      </c>
      <c r="F115" s="32">
        <f>IFERROR(D114,"")</f>
        <v/>
      </c>
      <c r="G115" s="41">
        <f>IFERROR((D115-$C$24)/$C$25,"")</f>
        <v/>
      </c>
      <c r="H115" s="32">
        <f>IFERROR(D141-D115,"")</f>
        <v/>
      </c>
      <c r="I115" s="32">
        <f>IFERROR(D115-D111,"")</f>
        <v/>
      </c>
      <c r="J115" s="32" t="n"/>
      <c r="K115">
        <f>IF(A115="","",$C$24)</f>
        <v/>
      </c>
      <c r="L115">
        <f>IF(A115="","",$C$24-$C$25)</f>
        <v/>
      </c>
      <c r="M115">
        <f>IF(A115="","",$C$24+$C$25)</f>
        <v/>
      </c>
    </row>
    <row r="116">
      <c r="A116" s="40">
        <f>IFERROR(INDEX($R$108:$R$388,ROW()-107),"")</f>
        <v/>
      </c>
      <c r="B116">
        <f>IFERROR(INDEX($S$108:$S$388,ROW()-107),"")</f>
        <v/>
      </c>
      <c r="C116">
        <f>IFERROR(INDEX($W$108:$W$388,ROW()-107),"")</f>
        <v/>
      </c>
      <c r="D116" s="32">
        <f>IFERROR((C116-B116)*100,"")</f>
        <v/>
      </c>
      <c r="E116" s="32">
        <f>IFERROR(D116-D115,"")</f>
        <v/>
      </c>
      <c r="F116" s="32">
        <f>IFERROR(D115,"")</f>
        <v/>
      </c>
      <c r="G116" s="41">
        <f>IFERROR((D116-$C$24)/$C$25,"")</f>
        <v/>
      </c>
      <c r="H116" s="32">
        <f>IFERROR(D142-D116,"")</f>
        <v/>
      </c>
      <c r="I116" s="32">
        <f>IFERROR(D116-D112,"")</f>
        <v/>
      </c>
      <c r="J116" s="32" t="n"/>
      <c r="K116">
        <f>IF(A116="","",$C$24)</f>
        <v/>
      </c>
      <c r="L116">
        <f>IF(A116="","",$C$24-$C$25)</f>
        <v/>
      </c>
      <c r="M116">
        <f>IF(A116="","",$C$24+$C$25)</f>
        <v/>
      </c>
    </row>
    <row r="117">
      <c r="A117" s="40">
        <f>IFERROR(INDEX($R$108:$R$388,ROW()-107),"")</f>
        <v/>
      </c>
      <c r="B117">
        <f>IFERROR(INDEX($S$108:$S$388,ROW()-107),"")</f>
        <v/>
      </c>
      <c r="C117">
        <f>IFERROR(INDEX($W$108:$W$388,ROW()-107),"")</f>
        <v/>
      </c>
      <c r="D117" s="32">
        <f>IFERROR((C117-B117)*100,"")</f>
        <v/>
      </c>
      <c r="E117" s="32">
        <f>IFERROR(D117-D116,"")</f>
        <v/>
      </c>
      <c r="F117" s="32">
        <f>IFERROR(D116,"")</f>
        <v/>
      </c>
      <c r="G117" s="41">
        <f>IFERROR((D117-$C$24)/$C$25,"")</f>
        <v/>
      </c>
      <c r="H117" s="32">
        <f>IFERROR(D143-D117,"")</f>
        <v/>
      </c>
      <c r="I117" s="32">
        <f>IFERROR(D117-D113,"")</f>
        <v/>
      </c>
      <c r="J117" s="32" t="n"/>
      <c r="K117">
        <f>IF(A117="","",$C$24)</f>
        <v/>
      </c>
      <c r="L117">
        <f>IF(A117="","",$C$24-$C$25)</f>
        <v/>
      </c>
      <c r="M117">
        <f>IF(A117="","",$C$24+$C$25)</f>
        <v/>
      </c>
    </row>
    <row r="118">
      <c r="A118" s="40">
        <f>IFERROR(INDEX($R$108:$R$388,ROW()-107),"")</f>
        <v/>
      </c>
      <c r="B118">
        <f>IFERROR(INDEX($S$108:$S$388,ROW()-107),"")</f>
        <v/>
      </c>
      <c r="C118">
        <f>IFERROR(INDEX($W$108:$W$388,ROW()-107),"")</f>
        <v/>
      </c>
      <c r="D118" s="32">
        <f>IFERROR((C118-B118)*100,"")</f>
        <v/>
      </c>
      <c r="E118" s="32">
        <f>IFERROR(D118-D117,"")</f>
        <v/>
      </c>
      <c r="F118" s="32">
        <f>IFERROR(D117,"")</f>
        <v/>
      </c>
      <c r="G118" s="41">
        <f>IFERROR((D118-$C$24)/$C$25,"")</f>
        <v/>
      </c>
      <c r="H118" s="32">
        <f>IFERROR(D144-D118,"")</f>
        <v/>
      </c>
      <c r="I118" s="32">
        <f>IFERROR(D118-D114,"")</f>
        <v/>
      </c>
      <c r="J118" s="32" t="n"/>
      <c r="K118">
        <f>IF(A118="","",$C$24)</f>
        <v/>
      </c>
      <c r="L118">
        <f>IF(A118="","",$C$24-$C$25)</f>
        <v/>
      </c>
      <c r="M118">
        <f>IF(A118="","",$C$24+$C$25)</f>
        <v/>
      </c>
    </row>
    <row r="119">
      <c r="A119" s="40">
        <f>IFERROR(INDEX($R$108:$R$388,ROW()-107),"")</f>
        <v/>
      </c>
      <c r="B119">
        <f>IFERROR(INDEX($S$108:$S$388,ROW()-107),"")</f>
        <v/>
      </c>
      <c r="C119">
        <f>IFERROR(INDEX($W$108:$W$388,ROW()-107),"")</f>
        <v/>
      </c>
      <c r="D119" s="32">
        <f>IFERROR((C119-B119)*100,"")</f>
        <v/>
      </c>
      <c r="E119" s="32">
        <f>IFERROR(D119-D118,"")</f>
        <v/>
      </c>
      <c r="F119" s="32">
        <f>IFERROR(D118,"")</f>
        <v/>
      </c>
      <c r="G119" s="41">
        <f>IFERROR((D119-$C$24)/$C$25,"")</f>
        <v/>
      </c>
      <c r="H119" s="32">
        <f>IFERROR(D145-D119,"")</f>
        <v/>
      </c>
      <c r="I119" s="32">
        <f>IFERROR(D119-D115,"")</f>
        <v/>
      </c>
      <c r="J119" s="32" t="n"/>
      <c r="K119">
        <f>IF(A119="","",$C$24)</f>
        <v/>
      </c>
      <c r="L119">
        <f>IF(A119="","",$C$24-$C$25)</f>
        <v/>
      </c>
      <c r="M119">
        <f>IF(A119="","",$C$24+$C$25)</f>
        <v/>
      </c>
    </row>
    <row r="120">
      <c r="A120" s="40">
        <f>IFERROR(INDEX($R$108:$R$388,ROW()-107),"")</f>
        <v/>
      </c>
      <c r="B120">
        <f>IFERROR(INDEX($S$108:$S$388,ROW()-107),"")</f>
        <v/>
      </c>
      <c r="C120">
        <f>IFERROR(INDEX($W$108:$W$388,ROW()-107),"")</f>
        <v/>
      </c>
      <c r="D120" s="32">
        <f>IFERROR((C120-B120)*100,"")</f>
        <v/>
      </c>
      <c r="E120" s="32">
        <f>IFERROR(D120-D119,"")</f>
        <v/>
      </c>
      <c r="F120" s="32">
        <f>IFERROR(D119,"")</f>
        <v/>
      </c>
      <c r="G120" s="41">
        <f>IFERROR((D120-$C$24)/$C$25,"")</f>
        <v/>
      </c>
      <c r="H120" s="32">
        <f>IFERROR(D146-D120,"")</f>
        <v/>
      </c>
      <c r="I120" s="32">
        <f>IFERROR(D120-D116,"")</f>
        <v/>
      </c>
      <c r="J120" s="32" t="n"/>
      <c r="K120">
        <f>IF(A120="","",$C$24)</f>
        <v/>
      </c>
      <c r="L120">
        <f>IF(A120="","",$C$24-$C$25)</f>
        <v/>
      </c>
      <c r="M120">
        <f>IF(A120="","",$C$24+$C$25)</f>
        <v/>
      </c>
    </row>
    <row r="121">
      <c r="A121" s="40">
        <f>IFERROR(INDEX($R$108:$R$388,ROW()-107),"")</f>
        <v/>
      </c>
      <c r="B121">
        <f>IFERROR(INDEX($S$108:$S$388,ROW()-107),"")</f>
        <v/>
      </c>
      <c r="C121">
        <f>IFERROR(INDEX($W$108:$W$388,ROW()-107),"")</f>
        <v/>
      </c>
      <c r="D121" s="32">
        <f>IFERROR((C121-B121)*100,"")</f>
        <v/>
      </c>
      <c r="E121" s="32">
        <f>IFERROR(D121-D120,"")</f>
        <v/>
      </c>
      <c r="F121" s="32">
        <f>IFERROR(D120,"")</f>
        <v/>
      </c>
      <c r="G121" s="41">
        <f>IFERROR((D121-$C$24)/$C$25,"")</f>
        <v/>
      </c>
      <c r="H121" s="32">
        <f>IFERROR(D147-D121,"")</f>
        <v/>
      </c>
      <c r="I121" s="32">
        <f>IFERROR(D121-D117,"")</f>
        <v/>
      </c>
      <c r="J121" s="32">
        <f>IFERROR(D121-D108,"")</f>
        <v/>
      </c>
      <c r="K121">
        <f>IF(A121="","",$C$24)</f>
        <v/>
      </c>
      <c r="L121">
        <f>IF(A121="","",$C$24-$C$25)</f>
        <v/>
      </c>
      <c r="M121">
        <f>IF(A121="","",$C$24+$C$25)</f>
        <v/>
      </c>
    </row>
    <row r="122">
      <c r="A122" s="40">
        <f>IFERROR(INDEX($R$108:$R$388,ROW()-107),"")</f>
        <v/>
      </c>
      <c r="B122">
        <f>IFERROR(INDEX($S$108:$S$388,ROW()-107),"")</f>
        <v/>
      </c>
      <c r="C122">
        <f>IFERROR(INDEX($W$108:$W$388,ROW()-107),"")</f>
        <v/>
      </c>
      <c r="D122" s="32">
        <f>IFERROR((C122-B122)*100,"")</f>
        <v/>
      </c>
      <c r="E122" s="32">
        <f>IFERROR(D122-D121,"")</f>
        <v/>
      </c>
      <c r="F122" s="32">
        <f>IFERROR(D121,"")</f>
        <v/>
      </c>
      <c r="G122" s="41">
        <f>IFERROR((D122-$C$24)/$C$25,"")</f>
        <v/>
      </c>
      <c r="H122" s="32">
        <f>IFERROR(D148-D122,"")</f>
        <v/>
      </c>
      <c r="I122" s="32">
        <f>IFERROR(D122-D118,"")</f>
        <v/>
      </c>
      <c r="J122" s="32">
        <f>IFERROR(D122-D109,"")</f>
        <v/>
      </c>
      <c r="K122">
        <f>IF(A122="","",$C$24)</f>
        <v/>
      </c>
      <c r="L122">
        <f>IF(A122="","",$C$24-$C$25)</f>
        <v/>
      </c>
      <c r="M122">
        <f>IF(A122="","",$C$24+$C$25)</f>
        <v/>
      </c>
    </row>
    <row r="123">
      <c r="A123" s="40">
        <f>IFERROR(INDEX($R$108:$R$388,ROW()-107),"")</f>
        <v/>
      </c>
      <c r="B123">
        <f>IFERROR(INDEX($S$108:$S$388,ROW()-107),"")</f>
        <v/>
      </c>
      <c r="C123">
        <f>IFERROR(INDEX($W$108:$W$388,ROW()-107),"")</f>
        <v/>
      </c>
      <c r="D123" s="32">
        <f>IFERROR((C123-B123)*100,"")</f>
        <v/>
      </c>
      <c r="E123" s="32">
        <f>IFERROR(D123-D122,"")</f>
        <v/>
      </c>
      <c r="F123" s="32">
        <f>IFERROR(D122,"")</f>
        <v/>
      </c>
      <c r="G123" s="41">
        <f>IFERROR((D123-$C$24)/$C$25,"")</f>
        <v/>
      </c>
      <c r="H123" s="32">
        <f>IFERROR(D149-D123,"")</f>
        <v/>
      </c>
      <c r="I123" s="32">
        <f>IFERROR(D123-D119,"")</f>
        <v/>
      </c>
      <c r="J123" s="32">
        <f>IFERROR(D123-D110,"")</f>
        <v/>
      </c>
      <c r="K123">
        <f>IF(A123="","",$C$24)</f>
        <v/>
      </c>
      <c r="L123">
        <f>IF(A123="","",$C$24-$C$25)</f>
        <v/>
      </c>
      <c r="M123">
        <f>IF(A123="","",$C$24+$C$25)</f>
        <v/>
      </c>
    </row>
    <row r="124">
      <c r="A124" s="40">
        <f>IFERROR(INDEX($R$108:$R$388,ROW()-107),"")</f>
        <v/>
      </c>
      <c r="B124">
        <f>IFERROR(INDEX($S$108:$S$388,ROW()-107),"")</f>
        <v/>
      </c>
      <c r="C124">
        <f>IFERROR(INDEX($W$108:$W$388,ROW()-107),"")</f>
        <v/>
      </c>
      <c r="D124" s="32">
        <f>IFERROR((C124-B124)*100,"")</f>
        <v/>
      </c>
      <c r="E124" s="32">
        <f>IFERROR(D124-D123,"")</f>
        <v/>
      </c>
      <c r="F124" s="32">
        <f>IFERROR(D123,"")</f>
        <v/>
      </c>
      <c r="G124" s="41">
        <f>IFERROR((D124-$C$24)/$C$25,"")</f>
        <v/>
      </c>
      <c r="H124" s="32">
        <f>IFERROR(D150-D124,"")</f>
        <v/>
      </c>
      <c r="I124" s="32">
        <f>IFERROR(D124-D120,"")</f>
        <v/>
      </c>
      <c r="J124" s="32">
        <f>IFERROR(D124-D111,"")</f>
        <v/>
      </c>
      <c r="K124">
        <f>IF(A124="","",$C$24)</f>
        <v/>
      </c>
      <c r="L124">
        <f>IF(A124="","",$C$24-$C$25)</f>
        <v/>
      </c>
      <c r="M124">
        <f>IF(A124="","",$C$24+$C$25)</f>
        <v/>
      </c>
    </row>
    <row r="125">
      <c r="A125" s="40">
        <f>IFERROR(INDEX($R$108:$R$388,ROW()-107),"")</f>
        <v/>
      </c>
      <c r="B125">
        <f>IFERROR(INDEX($S$108:$S$388,ROW()-107),"")</f>
        <v/>
      </c>
      <c r="C125">
        <f>IFERROR(INDEX($W$108:$W$388,ROW()-107),"")</f>
        <v/>
      </c>
      <c r="D125" s="32">
        <f>IFERROR((C125-B125)*100,"")</f>
        <v/>
      </c>
      <c r="E125" s="32">
        <f>IFERROR(D125-D124,"")</f>
        <v/>
      </c>
      <c r="F125" s="32">
        <f>IFERROR(D124,"")</f>
        <v/>
      </c>
      <c r="G125" s="41">
        <f>IFERROR((D125-$C$24)/$C$25,"")</f>
        <v/>
      </c>
      <c r="H125" s="32">
        <f>IFERROR(D151-D125,"")</f>
        <v/>
      </c>
      <c r="I125" s="32">
        <f>IFERROR(D125-D121,"")</f>
        <v/>
      </c>
      <c r="J125" s="32">
        <f>IFERROR(D125-D112,"")</f>
        <v/>
      </c>
      <c r="K125">
        <f>IF(A125="","",$C$24)</f>
        <v/>
      </c>
      <c r="L125">
        <f>IF(A125="","",$C$24-$C$25)</f>
        <v/>
      </c>
      <c r="M125">
        <f>IF(A125="","",$C$24+$C$25)</f>
        <v/>
      </c>
    </row>
    <row r="126">
      <c r="A126" s="40">
        <f>IFERROR(INDEX($R$108:$R$388,ROW()-107),"")</f>
        <v/>
      </c>
      <c r="B126">
        <f>IFERROR(INDEX($S$108:$S$388,ROW()-107),"")</f>
        <v/>
      </c>
      <c r="C126">
        <f>IFERROR(INDEX($W$108:$W$388,ROW()-107),"")</f>
        <v/>
      </c>
      <c r="D126" s="32">
        <f>IFERROR((C126-B126)*100,"")</f>
        <v/>
      </c>
      <c r="E126" s="32">
        <f>IFERROR(D126-D125,"")</f>
        <v/>
      </c>
      <c r="F126" s="32">
        <f>IFERROR(D125,"")</f>
        <v/>
      </c>
      <c r="G126" s="41">
        <f>IFERROR((D126-$C$24)/$C$25,"")</f>
        <v/>
      </c>
      <c r="H126" s="32">
        <f>IFERROR(D152-D126,"")</f>
        <v/>
      </c>
      <c r="I126" s="32">
        <f>IFERROR(D126-D122,"")</f>
        <v/>
      </c>
      <c r="J126" s="32">
        <f>IFERROR(D126-D113,"")</f>
        <v/>
      </c>
      <c r="K126">
        <f>IF(A126="","",$C$24)</f>
        <v/>
      </c>
      <c r="L126">
        <f>IF(A126="","",$C$24-$C$25)</f>
        <v/>
      </c>
      <c r="M126">
        <f>IF(A126="","",$C$24+$C$25)</f>
        <v/>
      </c>
    </row>
    <row r="127">
      <c r="A127" s="40">
        <f>IFERROR(INDEX($R$108:$R$388,ROW()-107),"")</f>
        <v/>
      </c>
      <c r="B127">
        <f>IFERROR(INDEX($S$108:$S$388,ROW()-107),"")</f>
        <v/>
      </c>
      <c r="C127">
        <f>IFERROR(INDEX($W$108:$W$388,ROW()-107),"")</f>
        <v/>
      </c>
      <c r="D127" s="32">
        <f>IFERROR((C127-B127)*100,"")</f>
        <v/>
      </c>
      <c r="E127" s="32">
        <f>IFERROR(D127-D126,"")</f>
        <v/>
      </c>
      <c r="F127" s="32">
        <f>IFERROR(D126,"")</f>
        <v/>
      </c>
      <c r="G127" s="41">
        <f>IFERROR((D127-$C$24)/$C$25,"")</f>
        <v/>
      </c>
      <c r="H127" s="32">
        <f>IFERROR(D153-D127,"")</f>
        <v/>
      </c>
      <c r="I127" s="32">
        <f>IFERROR(D127-D123,"")</f>
        <v/>
      </c>
      <c r="J127" s="32">
        <f>IFERROR(D127-D114,"")</f>
        <v/>
      </c>
      <c r="K127">
        <f>IF(A127="","",$C$24)</f>
        <v/>
      </c>
      <c r="L127">
        <f>IF(A127="","",$C$24-$C$25)</f>
        <v/>
      </c>
      <c r="M127">
        <f>IF(A127="","",$C$24+$C$25)</f>
        <v/>
      </c>
    </row>
    <row r="128">
      <c r="A128" s="40">
        <f>IFERROR(INDEX($R$108:$R$388,ROW()-107),"")</f>
        <v/>
      </c>
      <c r="B128">
        <f>IFERROR(INDEX($S$108:$S$388,ROW()-107),"")</f>
        <v/>
      </c>
      <c r="C128">
        <f>IFERROR(INDEX($W$108:$W$388,ROW()-107),"")</f>
        <v/>
      </c>
      <c r="D128" s="32">
        <f>IFERROR((C128-B128)*100,"")</f>
        <v/>
      </c>
      <c r="E128" s="32">
        <f>IFERROR(D128-D127,"")</f>
        <v/>
      </c>
      <c r="F128" s="32">
        <f>IFERROR(D127,"")</f>
        <v/>
      </c>
      <c r="G128" s="41">
        <f>IFERROR((D128-$C$24)/$C$25,"")</f>
        <v/>
      </c>
      <c r="H128" s="32">
        <f>IFERROR(D154-D128,"")</f>
        <v/>
      </c>
      <c r="I128" s="32">
        <f>IFERROR(D128-D124,"")</f>
        <v/>
      </c>
      <c r="J128" s="32">
        <f>IFERROR(D128-D115,"")</f>
        <v/>
      </c>
      <c r="K128">
        <f>IF(A128="","",$C$24)</f>
        <v/>
      </c>
      <c r="L128">
        <f>IF(A128="","",$C$24-$C$25)</f>
        <v/>
      </c>
      <c r="M128">
        <f>IF(A128="","",$C$24+$C$25)</f>
        <v/>
      </c>
    </row>
    <row r="129">
      <c r="A129" s="40">
        <f>IFERROR(INDEX($R$108:$R$388,ROW()-107),"")</f>
        <v/>
      </c>
      <c r="B129">
        <f>IFERROR(INDEX($S$108:$S$388,ROW()-107),"")</f>
        <v/>
      </c>
      <c r="C129">
        <f>IFERROR(INDEX($W$108:$W$388,ROW()-107),"")</f>
        <v/>
      </c>
      <c r="D129" s="32">
        <f>IFERROR((C129-B129)*100,"")</f>
        <v/>
      </c>
      <c r="E129" s="32">
        <f>IFERROR(D129-D128,"")</f>
        <v/>
      </c>
      <c r="F129" s="32">
        <f>IFERROR(D128,"")</f>
        <v/>
      </c>
      <c r="G129" s="41">
        <f>IFERROR((D129-$C$24)/$C$25,"")</f>
        <v/>
      </c>
      <c r="H129" s="32">
        <f>IFERROR(D155-D129,"")</f>
        <v/>
      </c>
      <c r="I129" s="32">
        <f>IFERROR(D129-D125,"")</f>
        <v/>
      </c>
      <c r="J129" s="32">
        <f>IFERROR(D129-D116,"")</f>
        <v/>
      </c>
      <c r="K129">
        <f>IF(A129="","",$C$24)</f>
        <v/>
      </c>
      <c r="L129">
        <f>IF(A129="","",$C$24-$C$25)</f>
        <v/>
      </c>
      <c r="M129">
        <f>IF(A129="","",$C$24+$C$25)</f>
        <v/>
      </c>
    </row>
    <row r="130">
      <c r="A130" s="40">
        <f>IFERROR(INDEX($R$108:$R$388,ROW()-107),"")</f>
        <v/>
      </c>
      <c r="B130">
        <f>IFERROR(INDEX($S$108:$S$388,ROW()-107),"")</f>
        <v/>
      </c>
      <c r="C130">
        <f>IFERROR(INDEX($W$108:$W$388,ROW()-107),"")</f>
        <v/>
      </c>
      <c r="D130" s="32">
        <f>IFERROR((C130-B130)*100,"")</f>
        <v/>
      </c>
      <c r="E130" s="32">
        <f>IFERROR(D130-D129,"")</f>
        <v/>
      </c>
      <c r="F130" s="32">
        <f>IFERROR(D129,"")</f>
        <v/>
      </c>
      <c r="G130" s="41">
        <f>IFERROR((D130-$C$24)/$C$25,"")</f>
        <v/>
      </c>
      <c r="H130" s="32">
        <f>IFERROR(D156-D130,"")</f>
        <v/>
      </c>
      <c r="I130" s="32">
        <f>IFERROR(D130-D126,"")</f>
        <v/>
      </c>
      <c r="J130" s="32">
        <f>IFERROR(D130-D117,"")</f>
        <v/>
      </c>
      <c r="K130">
        <f>IF(A130="","",$C$24)</f>
        <v/>
      </c>
      <c r="L130">
        <f>IF(A130="","",$C$24-$C$25)</f>
        <v/>
      </c>
      <c r="M130">
        <f>IF(A130="","",$C$24+$C$25)</f>
        <v/>
      </c>
    </row>
    <row r="131">
      <c r="A131" s="40">
        <f>IFERROR(INDEX($R$108:$R$388,ROW()-107),"")</f>
        <v/>
      </c>
      <c r="B131">
        <f>IFERROR(INDEX($S$108:$S$388,ROW()-107),"")</f>
        <v/>
      </c>
      <c r="C131">
        <f>IFERROR(INDEX($W$108:$W$388,ROW()-107),"")</f>
        <v/>
      </c>
      <c r="D131" s="32">
        <f>IFERROR((C131-B131)*100,"")</f>
        <v/>
      </c>
      <c r="E131" s="32">
        <f>IFERROR(D131-D130,"")</f>
        <v/>
      </c>
      <c r="F131" s="32">
        <f>IFERROR(D130,"")</f>
        <v/>
      </c>
      <c r="G131" s="41">
        <f>IFERROR((D131-$C$24)/$C$25,"")</f>
        <v/>
      </c>
      <c r="H131" s="32">
        <f>IFERROR(D157-D131,"")</f>
        <v/>
      </c>
      <c r="I131" s="32">
        <f>IFERROR(D131-D127,"")</f>
        <v/>
      </c>
      <c r="J131" s="32">
        <f>IFERROR(D131-D118,"")</f>
        <v/>
      </c>
      <c r="K131">
        <f>IF(A131="","",$C$24)</f>
        <v/>
      </c>
      <c r="L131">
        <f>IF(A131="","",$C$24-$C$25)</f>
        <v/>
      </c>
      <c r="M131">
        <f>IF(A131="","",$C$24+$C$25)</f>
        <v/>
      </c>
    </row>
    <row r="132">
      <c r="A132" s="40">
        <f>IFERROR(INDEX($R$108:$R$388,ROW()-107),"")</f>
        <v/>
      </c>
      <c r="B132">
        <f>IFERROR(INDEX($S$108:$S$388,ROW()-107),"")</f>
        <v/>
      </c>
      <c r="C132">
        <f>IFERROR(INDEX($W$108:$W$388,ROW()-107),"")</f>
        <v/>
      </c>
      <c r="D132" s="32">
        <f>IFERROR((C132-B132)*100,"")</f>
        <v/>
      </c>
      <c r="E132" s="32">
        <f>IFERROR(D132-D131,"")</f>
        <v/>
      </c>
      <c r="F132" s="32">
        <f>IFERROR(D131,"")</f>
        <v/>
      </c>
      <c r="G132" s="41">
        <f>IFERROR((D132-$C$24)/$C$25,"")</f>
        <v/>
      </c>
      <c r="H132" s="32">
        <f>IFERROR(D158-D132,"")</f>
        <v/>
      </c>
      <c r="I132" s="32">
        <f>IFERROR(D132-D128,"")</f>
        <v/>
      </c>
      <c r="J132" s="32">
        <f>IFERROR(D132-D119,"")</f>
        <v/>
      </c>
      <c r="K132">
        <f>IF(A132="","",$C$24)</f>
        <v/>
      </c>
      <c r="L132">
        <f>IF(A132="","",$C$24-$C$25)</f>
        <v/>
      </c>
      <c r="M132">
        <f>IF(A132="","",$C$24+$C$25)</f>
        <v/>
      </c>
    </row>
    <row r="133">
      <c r="A133" s="40">
        <f>IFERROR(INDEX($R$108:$R$388,ROW()-107),"")</f>
        <v/>
      </c>
      <c r="B133">
        <f>IFERROR(INDEX($S$108:$S$388,ROW()-107),"")</f>
        <v/>
      </c>
      <c r="C133">
        <f>IFERROR(INDEX($W$108:$W$388,ROW()-107),"")</f>
        <v/>
      </c>
      <c r="D133" s="32">
        <f>IFERROR((C133-B133)*100,"")</f>
        <v/>
      </c>
      <c r="E133" s="32">
        <f>IFERROR(D133-D132,"")</f>
        <v/>
      </c>
      <c r="F133" s="32">
        <f>IFERROR(D132,"")</f>
        <v/>
      </c>
      <c r="G133" s="41">
        <f>IFERROR((D133-$C$24)/$C$25,"")</f>
        <v/>
      </c>
      <c r="H133" s="32">
        <f>IFERROR(D159-D133,"")</f>
        <v/>
      </c>
      <c r="I133" s="32">
        <f>IFERROR(D133-D129,"")</f>
        <v/>
      </c>
      <c r="J133" s="32">
        <f>IFERROR(D133-D120,"")</f>
        <v/>
      </c>
      <c r="K133">
        <f>IF(A133="","",$C$24)</f>
        <v/>
      </c>
      <c r="L133">
        <f>IF(A133="","",$C$24-$C$25)</f>
        <v/>
      </c>
      <c r="M133">
        <f>IF(A133="","",$C$24+$C$25)</f>
        <v/>
      </c>
    </row>
    <row r="134">
      <c r="A134" s="40">
        <f>IFERROR(INDEX($R$108:$R$388,ROW()-107),"")</f>
        <v/>
      </c>
      <c r="B134">
        <f>IFERROR(INDEX($S$108:$S$388,ROW()-107),"")</f>
        <v/>
      </c>
      <c r="C134">
        <f>IFERROR(INDEX($W$108:$W$388,ROW()-107),"")</f>
        <v/>
      </c>
      <c r="D134" s="32">
        <f>IFERROR((C134-B134)*100,"")</f>
        <v/>
      </c>
      <c r="E134" s="32">
        <f>IFERROR(D134-D133,"")</f>
        <v/>
      </c>
      <c r="F134" s="32">
        <f>IFERROR(D133,"")</f>
        <v/>
      </c>
      <c r="G134" s="41">
        <f>IFERROR((D134-$C$24)/$C$25,"")</f>
        <v/>
      </c>
      <c r="H134" s="32">
        <f>IFERROR(D160-D134,"")</f>
        <v/>
      </c>
      <c r="I134" s="32">
        <f>IFERROR(D134-D130,"")</f>
        <v/>
      </c>
      <c r="J134" s="32">
        <f>IFERROR(D134-D121,"")</f>
        <v/>
      </c>
      <c r="K134">
        <f>IF(A134="","",$C$24)</f>
        <v/>
      </c>
      <c r="L134">
        <f>IF(A134="","",$C$24-$C$25)</f>
        <v/>
      </c>
      <c r="M134">
        <f>IF(A134="","",$C$24+$C$25)</f>
        <v/>
      </c>
    </row>
    <row r="135">
      <c r="A135" s="40">
        <f>IFERROR(INDEX($R$108:$R$388,ROW()-107),"")</f>
        <v/>
      </c>
      <c r="B135">
        <f>IFERROR(INDEX($S$108:$S$388,ROW()-107),"")</f>
        <v/>
      </c>
      <c r="C135">
        <f>IFERROR(INDEX($W$108:$W$388,ROW()-107),"")</f>
        <v/>
      </c>
      <c r="D135" s="32">
        <f>IFERROR((C135-B135)*100,"")</f>
        <v/>
      </c>
      <c r="E135" s="32">
        <f>IFERROR(D135-D134,"")</f>
        <v/>
      </c>
      <c r="F135" s="32">
        <f>IFERROR(D134,"")</f>
        <v/>
      </c>
      <c r="G135" s="41">
        <f>IFERROR((D135-$C$24)/$C$25,"")</f>
        <v/>
      </c>
      <c r="H135" s="32">
        <f>IFERROR(D161-D135,"")</f>
        <v/>
      </c>
      <c r="I135" s="32">
        <f>IFERROR(D135-D131,"")</f>
        <v/>
      </c>
      <c r="J135" s="32">
        <f>IFERROR(D135-D122,"")</f>
        <v/>
      </c>
      <c r="K135">
        <f>IF(A135="","",$C$24)</f>
        <v/>
      </c>
      <c r="L135">
        <f>IF(A135="","",$C$24-$C$25)</f>
        <v/>
      </c>
      <c r="M135">
        <f>IF(A135="","",$C$24+$C$25)</f>
        <v/>
      </c>
    </row>
    <row r="136">
      <c r="A136" s="40">
        <f>IFERROR(INDEX($R$108:$R$388,ROW()-107),"")</f>
        <v/>
      </c>
      <c r="B136">
        <f>IFERROR(INDEX($S$108:$S$388,ROW()-107),"")</f>
        <v/>
      </c>
      <c r="C136">
        <f>IFERROR(INDEX($W$108:$W$388,ROW()-107),"")</f>
        <v/>
      </c>
      <c r="D136" s="32">
        <f>IFERROR((C136-B136)*100,"")</f>
        <v/>
      </c>
      <c r="E136" s="32">
        <f>IFERROR(D136-D135,"")</f>
        <v/>
      </c>
      <c r="F136" s="32">
        <f>IFERROR(D135,"")</f>
        <v/>
      </c>
      <c r="G136" s="41">
        <f>IFERROR((D136-$C$24)/$C$25,"")</f>
        <v/>
      </c>
      <c r="H136" s="32">
        <f>IFERROR(D162-D136,"")</f>
        <v/>
      </c>
      <c r="I136" s="32">
        <f>IFERROR(D136-D132,"")</f>
        <v/>
      </c>
      <c r="J136" s="32">
        <f>IFERROR(D136-D123,"")</f>
        <v/>
      </c>
      <c r="K136">
        <f>IF(A136="","",$C$24)</f>
        <v/>
      </c>
      <c r="L136">
        <f>IF(A136="","",$C$24-$C$25)</f>
        <v/>
      </c>
      <c r="M136">
        <f>IF(A136="","",$C$24+$C$25)</f>
        <v/>
      </c>
    </row>
    <row r="137">
      <c r="A137" s="40">
        <f>IFERROR(INDEX($R$108:$R$388,ROW()-107),"")</f>
        <v/>
      </c>
      <c r="B137">
        <f>IFERROR(INDEX($S$108:$S$388,ROW()-107),"")</f>
        <v/>
      </c>
      <c r="C137">
        <f>IFERROR(INDEX($W$108:$W$388,ROW()-107),"")</f>
        <v/>
      </c>
      <c r="D137" s="32">
        <f>IFERROR((C137-B137)*100,"")</f>
        <v/>
      </c>
      <c r="E137" s="32">
        <f>IFERROR(D137-D136,"")</f>
        <v/>
      </c>
      <c r="F137" s="32">
        <f>IFERROR(D136,"")</f>
        <v/>
      </c>
      <c r="G137" s="41">
        <f>IFERROR((D137-$C$24)/$C$25,"")</f>
        <v/>
      </c>
      <c r="H137" s="32">
        <f>IFERROR(D163-D137,"")</f>
        <v/>
      </c>
      <c r="I137" s="32">
        <f>IFERROR(D137-D133,"")</f>
        <v/>
      </c>
      <c r="J137" s="32">
        <f>IFERROR(D137-D124,"")</f>
        <v/>
      </c>
      <c r="K137">
        <f>IF(A137="","",$C$24)</f>
        <v/>
      </c>
      <c r="L137">
        <f>IF(A137="","",$C$24-$C$25)</f>
        <v/>
      </c>
      <c r="M137">
        <f>IF(A137="","",$C$24+$C$25)</f>
        <v/>
      </c>
    </row>
    <row r="138">
      <c r="A138" s="40">
        <f>IFERROR(INDEX($R$108:$R$388,ROW()-107),"")</f>
        <v/>
      </c>
      <c r="B138">
        <f>IFERROR(INDEX($S$108:$S$388,ROW()-107),"")</f>
        <v/>
      </c>
      <c r="C138">
        <f>IFERROR(INDEX($W$108:$W$388,ROW()-107),"")</f>
        <v/>
      </c>
      <c r="D138" s="32">
        <f>IFERROR((C138-B138)*100,"")</f>
        <v/>
      </c>
      <c r="E138" s="32">
        <f>IFERROR(D138-D137,"")</f>
        <v/>
      </c>
      <c r="F138" s="32">
        <f>IFERROR(D137,"")</f>
        <v/>
      </c>
      <c r="G138" s="41">
        <f>IFERROR((D138-$C$24)/$C$25,"")</f>
        <v/>
      </c>
      <c r="H138" s="32">
        <f>IFERROR(D164-D138,"")</f>
        <v/>
      </c>
      <c r="I138" s="32">
        <f>IFERROR(D138-D134,"")</f>
        <v/>
      </c>
      <c r="J138" s="32">
        <f>IFERROR(D138-D125,"")</f>
        <v/>
      </c>
      <c r="K138">
        <f>IF(A138="","",$C$24)</f>
        <v/>
      </c>
      <c r="L138">
        <f>IF(A138="","",$C$24-$C$25)</f>
        <v/>
      </c>
      <c r="M138">
        <f>IF(A138="","",$C$24+$C$25)</f>
        <v/>
      </c>
    </row>
    <row r="139">
      <c r="A139" s="40">
        <f>IFERROR(INDEX($R$108:$R$388,ROW()-107),"")</f>
        <v/>
      </c>
      <c r="B139">
        <f>IFERROR(INDEX($S$108:$S$388,ROW()-107),"")</f>
        <v/>
      </c>
      <c r="C139">
        <f>IFERROR(INDEX($W$108:$W$388,ROW()-107),"")</f>
        <v/>
      </c>
      <c r="D139" s="32">
        <f>IFERROR((C139-B139)*100,"")</f>
        <v/>
      </c>
      <c r="E139" s="32">
        <f>IFERROR(D139-D138,"")</f>
        <v/>
      </c>
      <c r="F139" s="32">
        <f>IFERROR(D138,"")</f>
        <v/>
      </c>
      <c r="G139" s="41">
        <f>IFERROR((D139-$C$24)/$C$25,"")</f>
        <v/>
      </c>
      <c r="H139" s="32">
        <f>IFERROR(D165-D139,"")</f>
        <v/>
      </c>
      <c r="I139" s="32">
        <f>IFERROR(D139-D135,"")</f>
        <v/>
      </c>
      <c r="J139" s="32">
        <f>IFERROR(D139-D126,"")</f>
        <v/>
      </c>
      <c r="K139">
        <f>IF(A139="","",$C$24)</f>
        <v/>
      </c>
      <c r="L139">
        <f>IF(A139="","",$C$24-$C$25)</f>
        <v/>
      </c>
      <c r="M139">
        <f>IF(A139="","",$C$24+$C$25)</f>
        <v/>
      </c>
    </row>
    <row r="140">
      <c r="A140" s="40">
        <f>IFERROR(INDEX($R$108:$R$388,ROW()-107),"")</f>
        <v/>
      </c>
      <c r="B140">
        <f>IFERROR(INDEX($S$108:$S$388,ROW()-107),"")</f>
        <v/>
      </c>
      <c r="C140">
        <f>IFERROR(INDEX($W$108:$W$388,ROW()-107),"")</f>
        <v/>
      </c>
      <c r="D140" s="32">
        <f>IFERROR((C140-B140)*100,"")</f>
        <v/>
      </c>
      <c r="E140" s="32">
        <f>IFERROR(D140-D139,"")</f>
        <v/>
      </c>
      <c r="F140" s="32">
        <f>IFERROR(D139,"")</f>
        <v/>
      </c>
      <c r="G140" s="41">
        <f>IFERROR((D140-$C$24)/$C$25,"")</f>
        <v/>
      </c>
      <c r="H140" s="32">
        <f>IFERROR(D166-D140,"")</f>
        <v/>
      </c>
      <c r="I140" s="32">
        <f>IFERROR(D140-D136,"")</f>
        <v/>
      </c>
      <c r="J140" s="32">
        <f>IFERROR(D140-D127,"")</f>
        <v/>
      </c>
      <c r="K140">
        <f>IF(A140="","",$C$24)</f>
        <v/>
      </c>
      <c r="L140">
        <f>IF(A140="","",$C$24-$C$25)</f>
        <v/>
      </c>
      <c r="M140">
        <f>IF(A140="","",$C$24+$C$25)</f>
        <v/>
      </c>
    </row>
    <row r="141">
      <c r="A141" s="40">
        <f>IFERROR(INDEX($R$108:$R$388,ROW()-107),"")</f>
        <v/>
      </c>
      <c r="B141">
        <f>IFERROR(INDEX($S$108:$S$388,ROW()-107),"")</f>
        <v/>
      </c>
      <c r="C141">
        <f>IFERROR(INDEX($W$108:$W$388,ROW()-107),"")</f>
        <v/>
      </c>
      <c r="D141" s="32">
        <f>IFERROR((C141-B141)*100,"")</f>
        <v/>
      </c>
      <c r="E141" s="32">
        <f>IFERROR(D141-D140,"")</f>
        <v/>
      </c>
      <c r="F141" s="32">
        <f>IFERROR(D140,"")</f>
        <v/>
      </c>
      <c r="G141" s="41">
        <f>IFERROR((D141-$C$24)/$C$25,"")</f>
        <v/>
      </c>
      <c r="H141" s="32">
        <f>IFERROR(D167-D141,"")</f>
        <v/>
      </c>
      <c r="I141" s="32">
        <f>IFERROR(D141-D137,"")</f>
        <v/>
      </c>
      <c r="J141" s="32">
        <f>IFERROR(D141-D128,"")</f>
        <v/>
      </c>
      <c r="K141">
        <f>IF(A141="","",$C$24)</f>
        <v/>
      </c>
      <c r="L141">
        <f>IF(A141="","",$C$24-$C$25)</f>
        <v/>
      </c>
      <c r="M141">
        <f>IF(A141="","",$C$24+$C$25)</f>
        <v/>
      </c>
    </row>
    <row r="142">
      <c r="A142" s="40">
        <f>IFERROR(INDEX($R$108:$R$388,ROW()-107),"")</f>
        <v/>
      </c>
      <c r="B142">
        <f>IFERROR(INDEX($S$108:$S$388,ROW()-107),"")</f>
        <v/>
      </c>
      <c r="C142">
        <f>IFERROR(INDEX($W$108:$W$388,ROW()-107),"")</f>
        <v/>
      </c>
      <c r="D142" s="32">
        <f>IFERROR((C142-B142)*100,"")</f>
        <v/>
      </c>
      <c r="E142" s="32">
        <f>IFERROR(D142-D141,"")</f>
        <v/>
      </c>
      <c r="F142" s="32">
        <f>IFERROR(D141,"")</f>
        <v/>
      </c>
      <c r="G142" s="41">
        <f>IFERROR((D142-$C$24)/$C$25,"")</f>
        <v/>
      </c>
      <c r="H142" s="32">
        <f>IFERROR(D168-D142,"")</f>
        <v/>
      </c>
      <c r="I142" s="32">
        <f>IFERROR(D142-D138,"")</f>
        <v/>
      </c>
      <c r="J142" s="32">
        <f>IFERROR(D142-D129,"")</f>
        <v/>
      </c>
      <c r="K142">
        <f>IF(A142="","",$C$24)</f>
        <v/>
      </c>
      <c r="L142">
        <f>IF(A142="","",$C$24-$C$25)</f>
        <v/>
      </c>
      <c r="M142">
        <f>IF(A142="","",$C$24+$C$25)</f>
        <v/>
      </c>
    </row>
    <row r="143">
      <c r="A143" s="40">
        <f>IFERROR(INDEX($R$108:$R$388,ROW()-107),"")</f>
        <v/>
      </c>
      <c r="B143">
        <f>IFERROR(INDEX($S$108:$S$388,ROW()-107),"")</f>
        <v/>
      </c>
      <c r="C143">
        <f>IFERROR(INDEX($W$108:$W$388,ROW()-107),"")</f>
        <v/>
      </c>
      <c r="D143" s="32">
        <f>IFERROR((C143-B143)*100,"")</f>
        <v/>
      </c>
      <c r="E143" s="32">
        <f>IFERROR(D143-D142,"")</f>
        <v/>
      </c>
      <c r="F143" s="32">
        <f>IFERROR(D142,"")</f>
        <v/>
      </c>
      <c r="G143" s="41">
        <f>IFERROR((D143-$C$24)/$C$25,"")</f>
        <v/>
      </c>
      <c r="H143" s="32">
        <f>IFERROR(D169-D143,"")</f>
        <v/>
      </c>
      <c r="I143" s="32">
        <f>IFERROR(D143-D139,"")</f>
        <v/>
      </c>
      <c r="J143" s="32">
        <f>IFERROR(D143-D130,"")</f>
        <v/>
      </c>
      <c r="K143">
        <f>IF(A143="","",$C$24)</f>
        <v/>
      </c>
      <c r="L143">
        <f>IF(A143="","",$C$24-$C$25)</f>
        <v/>
      </c>
      <c r="M143">
        <f>IF(A143="","",$C$24+$C$25)</f>
        <v/>
      </c>
    </row>
    <row r="144">
      <c r="A144" s="40">
        <f>IFERROR(INDEX($R$108:$R$388,ROW()-107),"")</f>
        <v/>
      </c>
      <c r="B144">
        <f>IFERROR(INDEX($S$108:$S$388,ROW()-107),"")</f>
        <v/>
      </c>
      <c r="C144">
        <f>IFERROR(INDEX($W$108:$W$388,ROW()-107),"")</f>
        <v/>
      </c>
      <c r="D144" s="32">
        <f>IFERROR((C144-B144)*100,"")</f>
        <v/>
      </c>
      <c r="E144" s="32">
        <f>IFERROR(D144-D143,"")</f>
        <v/>
      </c>
      <c r="F144" s="32">
        <f>IFERROR(D143,"")</f>
        <v/>
      </c>
      <c r="G144" s="41">
        <f>IFERROR((D144-$C$24)/$C$25,"")</f>
        <v/>
      </c>
      <c r="H144" s="32">
        <f>IFERROR(D170-D144,"")</f>
        <v/>
      </c>
      <c r="I144" s="32">
        <f>IFERROR(D144-D140,"")</f>
        <v/>
      </c>
      <c r="J144" s="32">
        <f>IFERROR(D144-D131,"")</f>
        <v/>
      </c>
      <c r="K144">
        <f>IF(A144="","",$C$24)</f>
        <v/>
      </c>
      <c r="L144">
        <f>IF(A144="","",$C$24-$C$25)</f>
        <v/>
      </c>
      <c r="M144">
        <f>IF(A144="","",$C$24+$C$25)</f>
        <v/>
      </c>
    </row>
    <row r="145">
      <c r="A145" s="40">
        <f>IFERROR(INDEX($R$108:$R$388,ROW()-107),"")</f>
        <v/>
      </c>
      <c r="B145">
        <f>IFERROR(INDEX($S$108:$S$388,ROW()-107),"")</f>
        <v/>
      </c>
      <c r="C145">
        <f>IFERROR(INDEX($W$108:$W$388,ROW()-107),"")</f>
        <v/>
      </c>
      <c r="D145" s="32">
        <f>IFERROR((C145-B145)*100,"")</f>
        <v/>
      </c>
      <c r="E145" s="32">
        <f>IFERROR(D145-D144,"")</f>
        <v/>
      </c>
      <c r="F145" s="32">
        <f>IFERROR(D144,"")</f>
        <v/>
      </c>
      <c r="G145" s="41">
        <f>IFERROR((D145-$C$24)/$C$25,"")</f>
        <v/>
      </c>
      <c r="H145" s="32">
        <f>IFERROR(D171-D145,"")</f>
        <v/>
      </c>
      <c r="I145" s="32">
        <f>IFERROR(D145-D141,"")</f>
        <v/>
      </c>
      <c r="J145" s="32">
        <f>IFERROR(D145-D132,"")</f>
        <v/>
      </c>
      <c r="K145">
        <f>IF(A145="","",$C$24)</f>
        <v/>
      </c>
      <c r="L145">
        <f>IF(A145="","",$C$24-$C$25)</f>
        <v/>
      </c>
      <c r="M145">
        <f>IF(A145="","",$C$24+$C$25)</f>
        <v/>
      </c>
    </row>
    <row r="146">
      <c r="A146" s="40">
        <f>IFERROR(INDEX($R$108:$R$388,ROW()-107),"")</f>
        <v/>
      </c>
      <c r="B146">
        <f>IFERROR(INDEX($S$108:$S$388,ROW()-107),"")</f>
        <v/>
      </c>
      <c r="C146">
        <f>IFERROR(INDEX($W$108:$W$388,ROW()-107),"")</f>
        <v/>
      </c>
      <c r="D146" s="32">
        <f>IFERROR((C146-B146)*100,"")</f>
        <v/>
      </c>
      <c r="E146" s="32">
        <f>IFERROR(D146-D145,"")</f>
        <v/>
      </c>
      <c r="F146" s="32">
        <f>IFERROR(D145,"")</f>
        <v/>
      </c>
      <c r="G146" s="41">
        <f>IFERROR((D146-$C$24)/$C$25,"")</f>
        <v/>
      </c>
      <c r="H146" s="32">
        <f>IFERROR(D172-D146,"")</f>
        <v/>
      </c>
      <c r="I146" s="32">
        <f>IFERROR(D146-D142,"")</f>
        <v/>
      </c>
      <c r="J146" s="32">
        <f>IFERROR(D146-D133,"")</f>
        <v/>
      </c>
      <c r="K146">
        <f>IF(A146="","",$C$24)</f>
        <v/>
      </c>
      <c r="L146">
        <f>IF(A146="","",$C$24-$C$25)</f>
        <v/>
      </c>
      <c r="M146">
        <f>IF(A146="","",$C$24+$C$25)</f>
        <v/>
      </c>
    </row>
    <row r="147">
      <c r="A147" s="40">
        <f>IFERROR(INDEX($R$108:$R$388,ROW()-107),"")</f>
        <v/>
      </c>
      <c r="B147">
        <f>IFERROR(INDEX($S$108:$S$388,ROW()-107),"")</f>
        <v/>
      </c>
      <c r="C147">
        <f>IFERROR(INDEX($W$108:$W$388,ROW()-107),"")</f>
        <v/>
      </c>
      <c r="D147" s="32">
        <f>IFERROR((C147-B147)*100,"")</f>
        <v/>
      </c>
      <c r="E147" s="32">
        <f>IFERROR(D147-D146,"")</f>
        <v/>
      </c>
      <c r="F147" s="32">
        <f>IFERROR(D146,"")</f>
        <v/>
      </c>
      <c r="G147" s="41">
        <f>IFERROR((D147-$C$24)/$C$25,"")</f>
        <v/>
      </c>
      <c r="H147" s="32">
        <f>IFERROR(D173-D147,"")</f>
        <v/>
      </c>
      <c r="I147" s="32">
        <f>IFERROR(D147-D143,"")</f>
        <v/>
      </c>
      <c r="J147" s="32">
        <f>IFERROR(D147-D134,"")</f>
        <v/>
      </c>
      <c r="K147">
        <f>IF(A147="","",$C$24)</f>
        <v/>
      </c>
      <c r="L147">
        <f>IF(A147="","",$C$24-$C$25)</f>
        <v/>
      </c>
      <c r="M147">
        <f>IF(A147="","",$C$24+$C$25)</f>
        <v/>
      </c>
    </row>
    <row r="148">
      <c r="A148" s="40">
        <f>IFERROR(INDEX($R$108:$R$388,ROW()-107),"")</f>
        <v/>
      </c>
      <c r="B148">
        <f>IFERROR(INDEX($S$108:$S$388,ROW()-107),"")</f>
        <v/>
      </c>
      <c r="C148">
        <f>IFERROR(INDEX($W$108:$W$388,ROW()-107),"")</f>
        <v/>
      </c>
      <c r="D148" s="32">
        <f>IFERROR((C148-B148)*100,"")</f>
        <v/>
      </c>
      <c r="E148" s="32">
        <f>IFERROR(D148-D147,"")</f>
        <v/>
      </c>
      <c r="F148" s="32">
        <f>IFERROR(D147,"")</f>
        <v/>
      </c>
      <c r="G148" s="41">
        <f>IFERROR((D148-$C$24)/$C$25,"")</f>
        <v/>
      </c>
      <c r="H148" s="32">
        <f>IFERROR(D174-D148,"")</f>
        <v/>
      </c>
      <c r="I148" s="32">
        <f>IFERROR(D148-D144,"")</f>
        <v/>
      </c>
      <c r="J148" s="32">
        <f>IFERROR(D148-D135,"")</f>
        <v/>
      </c>
      <c r="K148">
        <f>IF(A148="","",$C$24)</f>
        <v/>
      </c>
      <c r="L148">
        <f>IF(A148="","",$C$24-$C$25)</f>
        <v/>
      </c>
      <c r="M148">
        <f>IF(A148="","",$C$24+$C$25)</f>
        <v/>
      </c>
    </row>
    <row r="149">
      <c r="A149" s="40">
        <f>IFERROR(INDEX($R$108:$R$388,ROW()-107),"")</f>
        <v/>
      </c>
      <c r="B149">
        <f>IFERROR(INDEX($S$108:$S$388,ROW()-107),"")</f>
        <v/>
      </c>
      <c r="C149">
        <f>IFERROR(INDEX($W$108:$W$388,ROW()-107),"")</f>
        <v/>
      </c>
      <c r="D149" s="32">
        <f>IFERROR((C149-B149)*100,"")</f>
        <v/>
      </c>
      <c r="E149" s="32">
        <f>IFERROR(D149-D148,"")</f>
        <v/>
      </c>
      <c r="F149" s="32">
        <f>IFERROR(D148,"")</f>
        <v/>
      </c>
      <c r="G149" s="41">
        <f>IFERROR((D149-$C$24)/$C$25,"")</f>
        <v/>
      </c>
      <c r="H149" s="32">
        <f>IFERROR(D175-D149,"")</f>
        <v/>
      </c>
      <c r="I149" s="32">
        <f>IFERROR(D149-D145,"")</f>
        <v/>
      </c>
      <c r="J149" s="32">
        <f>IFERROR(D149-D136,"")</f>
        <v/>
      </c>
      <c r="K149">
        <f>IF(A149="","",$C$24)</f>
        <v/>
      </c>
      <c r="L149">
        <f>IF(A149="","",$C$24-$C$25)</f>
        <v/>
      </c>
      <c r="M149">
        <f>IF(A149="","",$C$24+$C$25)</f>
        <v/>
      </c>
    </row>
    <row r="150">
      <c r="A150" s="40">
        <f>IFERROR(INDEX($R$108:$R$388,ROW()-107),"")</f>
        <v/>
      </c>
      <c r="B150">
        <f>IFERROR(INDEX($S$108:$S$388,ROW()-107),"")</f>
        <v/>
      </c>
      <c r="C150">
        <f>IFERROR(INDEX($W$108:$W$388,ROW()-107),"")</f>
        <v/>
      </c>
      <c r="D150" s="32">
        <f>IFERROR((C150-B150)*100,"")</f>
        <v/>
      </c>
      <c r="E150" s="32">
        <f>IFERROR(D150-D149,"")</f>
        <v/>
      </c>
      <c r="F150" s="32">
        <f>IFERROR(D149,"")</f>
        <v/>
      </c>
      <c r="G150" s="41">
        <f>IFERROR((D150-$C$24)/$C$25,"")</f>
        <v/>
      </c>
      <c r="H150" s="32">
        <f>IFERROR(D176-D150,"")</f>
        <v/>
      </c>
      <c r="I150" s="32">
        <f>IFERROR(D150-D146,"")</f>
        <v/>
      </c>
      <c r="J150" s="32">
        <f>IFERROR(D150-D137,"")</f>
        <v/>
      </c>
      <c r="K150">
        <f>IF(A150="","",$C$24)</f>
        <v/>
      </c>
      <c r="L150">
        <f>IF(A150="","",$C$24-$C$25)</f>
        <v/>
      </c>
      <c r="M150">
        <f>IF(A150="","",$C$24+$C$25)</f>
        <v/>
      </c>
    </row>
    <row r="151">
      <c r="A151" s="40">
        <f>IFERROR(INDEX($R$108:$R$388,ROW()-107),"")</f>
        <v/>
      </c>
      <c r="B151">
        <f>IFERROR(INDEX($S$108:$S$388,ROW()-107),"")</f>
        <v/>
      </c>
      <c r="C151">
        <f>IFERROR(INDEX($W$108:$W$388,ROW()-107),"")</f>
        <v/>
      </c>
      <c r="D151" s="32">
        <f>IFERROR((C151-B151)*100,"")</f>
        <v/>
      </c>
      <c r="E151" s="32">
        <f>IFERROR(D151-D150,"")</f>
        <v/>
      </c>
      <c r="F151" s="32">
        <f>IFERROR(D150,"")</f>
        <v/>
      </c>
      <c r="G151" s="41">
        <f>IFERROR((D151-$C$24)/$C$25,"")</f>
        <v/>
      </c>
      <c r="H151" s="32">
        <f>IFERROR(D177-D151,"")</f>
        <v/>
      </c>
      <c r="I151" s="32">
        <f>IFERROR(D151-D147,"")</f>
        <v/>
      </c>
      <c r="J151" s="32">
        <f>IFERROR(D151-D138,"")</f>
        <v/>
      </c>
      <c r="K151">
        <f>IF(A151="","",$C$24)</f>
        <v/>
      </c>
      <c r="L151">
        <f>IF(A151="","",$C$24-$C$25)</f>
        <v/>
      </c>
      <c r="M151">
        <f>IF(A151="","",$C$24+$C$25)</f>
        <v/>
      </c>
    </row>
    <row r="152">
      <c r="A152" s="40">
        <f>IFERROR(INDEX($R$108:$R$388,ROW()-107),"")</f>
        <v/>
      </c>
      <c r="B152">
        <f>IFERROR(INDEX($S$108:$S$388,ROW()-107),"")</f>
        <v/>
      </c>
      <c r="C152">
        <f>IFERROR(INDEX($W$108:$W$388,ROW()-107),"")</f>
        <v/>
      </c>
      <c r="D152" s="32">
        <f>IFERROR((C152-B152)*100,"")</f>
        <v/>
      </c>
      <c r="E152" s="32">
        <f>IFERROR(D152-D151,"")</f>
        <v/>
      </c>
      <c r="F152" s="32">
        <f>IFERROR(D151,"")</f>
        <v/>
      </c>
      <c r="G152" s="41">
        <f>IFERROR((D152-$C$24)/$C$25,"")</f>
        <v/>
      </c>
      <c r="H152" s="32">
        <f>IFERROR(D178-D152,"")</f>
        <v/>
      </c>
      <c r="I152" s="32">
        <f>IFERROR(D152-D148,"")</f>
        <v/>
      </c>
      <c r="J152" s="32">
        <f>IFERROR(D152-D139,"")</f>
        <v/>
      </c>
      <c r="K152">
        <f>IF(A152="","",$C$24)</f>
        <v/>
      </c>
      <c r="L152">
        <f>IF(A152="","",$C$24-$C$25)</f>
        <v/>
      </c>
      <c r="M152">
        <f>IF(A152="","",$C$24+$C$25)</f>
        <v/>
      </c>
    </row>
    <row r="153">
      <c r="A153" s="40">
        <f>IFERROR(INDEX($R$108:$R$388,ROW()-107),"")</f>
        <v/>
      </c>
      <c r="B153">
        <f>IFERROR(INDEX($S$108:$S$388,ROW()-107),"")</f>
        <v/>
      </c>
      <c r="C153">
        <f>IFERROR(INDEX($W$108:$W$388,ROW()-107),"")</f>
        <v/>
      </c>
      <c r="D153" s="32">
        <f>IFERROR((C153-B153)*100,"")</f>
        <v/>
      </c>
      <c r="E153" s="32">
        <f>IFERROR(D153-D152,"")</f>
        <v/>
      </c>
      <c r="F153" s="32">
        <f>IFERROR(D152,"")</f>
        <v/>
      </c>
      <c r="G153" s="41">
        <f>IFERROR((D153-$C$24)/$C$25,"")</f>
        <v/>
      </c>
      <c r="H153" s="32">
        <f>IFERROR(D179-D153,"")</f>
        <v/>
      </c>
      <c r="I153" s="32">
        <f>IFERROR(D153-D149,"")</f>
        <v/>
      </c>
      <c r="J153" s="32">
        <f>IFERROR(D153-D140,"")</f>
        <v/>
      </c>
      <c r="K153">
        <f>IF(A153="","",$C$24)</f>
        <v/>
      </c>
      <c r="L153">
        <f>IF(A153="","",$C$24-$C$25)</f>
        <v/>
      </c>
      <c r="M153">
        <f>IF(A153="","",$C$24+$C$25)</f>
        <v/>
      </c>
    </row>
    <row r="154">
      <c r="A154" s="40">
        <f>IFERROR(INDEX($R$108:$R$388,ROW()-107),"")</f>
        <v/>
      </c>
      <c r="B154">
        <f>IFERROR(INDEX($S$108:$S$388,ROW()-107),"")</f>
        <v/>
      </c>
      <c r="C154">
        <f>IFERROR(INDEX($W$108:$W$388,ROW()-107),"")</f>
        <v/>
      </c>
      <c r="D154" s="32">
        <f>IFERROR((C154-B154)*100,"")</f>
        <v/>
      </c>
      <c r="E154" s="32">
        <f>IFERROR(D154-D153,"")</f>
        <v/>
      </c>
      <c r="F154" s="32">
        <f>IFERROR(D153,"")</f>
        <v/>
      </c>
      <c r="G154" s="41">
        <f>IFERROR((D154-$C$24)/$C$25,"")</f>
        <v/>
      </c>
      <c r="H154" s="32">
        <f>IFERROR(D180-D154,"")</f>
        <v/>
      </c>
      <c r="I154" s="32">
        <f>IFERROR(D154-D150,"")</f>
        <v/>
      </c>
      <c r="J154" s="32">
        <f>IFERROR(D154-D141,"")</f>
        <v/>
      </c>
      <c r="K154">
        <f>IF(A154="","",$C$24)</f>
        <v/>
      </c>
      <c r="L154">
        <f>IF(A154="","",$C$24-$C$25)</f>
        <v/>
      </c>
      <c r="M154">
        <f>IF(A154="","",$C$24+$C$25)</f>
        <v/>
      </c>
    </row>
    <row r="155">
      <c r="A155" s="40">
        <f>IFERROR(INDEX($R$108:$R$388,ROW()-107),"")</f>
        <v/>
      </c>
      <c r="B155">
        <f>IFERROR(INDEX($S$108:$S$388,ROW()-107),"")</f>
        <v/>
      </c>
      <c r="C155">
        <f>IFERROR(INDEX($W$108:$W$388,ROW()-107),"")</f>
        <v/>
      </c>
      <c r="D155" s="32">
        <f>IFERROR((C155-B155)*100,"")</f>
        <v/>
      </c>
      <c r="E155" s="32">
        <f>IFERROR(D155-D154,"")</f>
        <v/>
      </c>
      <c r="F155" s="32">
        <f>IFERROR(D154,"")</f>
        <v/>
      </c>
      <c r="G155" s="41">
        <f>IFERROR((D155-$C$24)/$C$25,"")</f>
        <v/>
      </c>
      <c r="H155" s="32">
        <f>IFERROR(D181-D155,"")</f>
        <v/>
      </c>
      <c r="I155" s="32">
        <f>IFERROR(D155-D151,"")</f>
        <v/>
      </c>
      <c r="J155" s="32">
        <f>IFERROR(D155-D142,"")</f>
        <v/>
      </c>
      <c r="K155">
        <f>IF(A155="","",$C$24)</f>
        <v/>
      </c>
      <c r="L155">
        <f>IF(A155="","",$C$24-$C$25)</f>
        <v/>
      </c>
      <c r="M155">
        <f>IF(A155="","",$C$24+$C$25)</f>
        <v/>
      </c>
    </row>
    <row r="156">
      <c r="A156" s="40">
        <f>IFERROR(INDEX($R$108:$R$388,ROW()-107),"")</f>
        <v/>
      </c>
      <c r="B156">
        <f>IFERROR(INDEX($S$108:$S$388,ROW()-107),"")</f>
        <v/>
      </c>
      <c r="C156">
        <f>IFERROR(INDEX($W$108:$W$388,ROW()-107),"")</f>
        <v/>
      </c>
      <c r="D156" s="32">
        <f>IFERROR((C156-B156)*100,"")</f>
        <v/>
      </c>
      <c r="E156" s="32">
        <f>IFERROR(D156-D155,"")</f>
        <v/>
      </c>
      <c r="F156" s="32">
        <f>IFERROR(D155,"")</f>
        <v/>
      </c>
      <c r="G156" s="41">
        <f>IFERROR((D156-$C$24)/$C$25,"")</f>
        <v/>
      </c>
      <c r="H156" s="32">
        <f>IFERROR(D182-D156,"")</f>
        <v/>
      </c>
      <c r="I156" s="32">
        <f>IFERROR(D156-D152,"")</f>
        <v/>
      </c>
      <c r="J156" s="32">
        <f>IFERROR(D156-D143,"")</f>
        <v/>
      </c>
      <c r="K156">
        <f>IF(A156="","",$C$24)</f>
        <v/>
      </c>
      <c r="L156">
        <f>IF(A156="","",$C$24-$C$25)</f>
        <v/>
      </c>
      <c r="M156">
        <f>IF(A156="","",$C$24+$C$25)</f>
        <v/>
      </c>
    </row>
    <row r="157">
      <c r="A157" s="40">
        <f>IFERROR(INDEX($R$108:$R$388,ROW()-107),"")</f>
        <v/>
      </c>
      <c r="B157">
        <f>IFERROR(INDEX($S$108:$S$388,ROW()-107),"")</f>
        <v/>
      </c>
      <c r="C157">
        <f>IFERROR(INDEX($W$108:$W$388,ROW()-107),"")</f>
        <v/>
      </c>
      <c r="D157" s="32">
        <f>IFERROR((C157-B157)*100,"")</f>
        <v/>
      </c>
      <c r="E157" s="32">
        <f>IFERROR(D157-D156,"")</f>
        <v/>
      </c>
      <c r="F157" s="32">
        <f>IFERROR(D156,"")</f>
        <v/>
      </c>
      <c r="G157" s="41">
        <f>IFERROR((D157-$C$24)/$C$25,"")</f>
        <v/>
      </c>
      <c r="H157" s="32">
        <f>IFERROR(D183-D157,"")</f>
        <v/>
      </c>
      <c r="I157" s="32">
        <f>IFERROR(D157-D153,"")</f>
        <v/>
      </c>
      <c r="J157" s="32">
        <f>IFERROR(D157-D144,"")</f>
        <v/>
      </c>
      <c r="K157">
        <f>IF(A157="","",$C$24)</f>
        <v/>
      </c>
      <c r="L157">
        <f>IF(A157="","",$C$24-$C$25)</f>
        <v/>
      </c>
      <c r="M157">
        <f>IF(A157="","",$C$24+$C$25)</f>
        <v/>
      </c>
    </row>
    <row r="158">
      <c r="A158" s="40">
        <f>IFERROR(INDEX($R$108:$R$388,ROW()-107),"")</f>
        <v/>
      </c>
      <c r="B158">
        <f>IFERROR(INDEX($S$108:$S$388,ROW()-107),"")</f>
        <v/>
      </c>
      <c r="C158">
        <f>IFERROR(INDEX($W$108:$W$388,ROW()-107),"")</f>
        <v/>
      </c>
      <c r="D158" s="32">
        <f>IFERROR((C158-B158)*100,"")</f>
        <v/>
      </c>
      <c r="E158" s="32">
        <f>IFERROR(D158-D157,"")</f>
        <v/>
      </c>
      <c r="F158" s="32">
        <f>IFERROR(D157,"")</f>
        <v/>
      </c>
      <c r="G158" s="41">
        <f>IFERROR((D158-$C$24)/$C$25,"")</f>
        <v/>
      </c>
      <c r="H158" s="32">
        <f>IFERROR(D184-D158,"")</f>
        <v/>
      </c>
      <c r="I158" s="32">
        <f>IFERROR(D158-D154,"")</f>
        <v/>
      </c>
      <c r="J158" s="32">
        <f>IFERROR(D158-D145,"")</f>
        <v/>
      </c>
      <c r="K158">
        <f>IF(A158="","",$C$24)</f>
        <v/>
      </c>
      <c r="L158">
        <f>IF(A158="","",$C$24-$C$25)</f>
        <v/>
      </c>
      <c r="M158">
        <f>IF(A158="","",$C$24+$C$25)</f>
        <v/>
      </c>
    </row>
    <row r="159">
      <c r="A159" s="40">
        <f>IFERROR(INDEX($R$108:$R$388,ROW()-107),"")</f>
        <v/>
      </c>
      <c r="B159">
        <f>IFERROR(INDEX($S$108:$S$388,ROW()-107),"")</f>
        <v/>
      </c>
      <c r="C159">
        <f>IFERROR(INDEX($W$108:$W$388,ROW()-107),"")</f>
        <v/>
      </c>
      <c r="D159" s="32">
        <f>IFERROR((C159-B159)*100,"")</f>
        <v/>
      </c>
      <c r="E159" s="32">
        <f>IFERROR(D159-D158,"")</f>
        <v/>
      </c>
      <c r="F159" s="32">
        <f>IFERROR(D158,"")</f>
        <v/>
      </c>
      <c r="G159" s="41">
        <f>IFERROR((D159-$C$24)/$C$25,"")</f>
        <v/>
      </c>
      <c r="H159" s="32">
        <f>IFERROR(D185-D159,"")</f>
        <v/>
      </c>
      <c r="I159" s="32">
        <f>IFERROR(D159-D155,"")</f>
        <v/>
      </c>
      <c r="J159" s="32">
        <f>IFERROR(D159-D146,"")</f>
        <v/>
      </c>
      <c r="K159">
        <f>IF(A159="","",$C$24)</f>
        <v/>
      </c>
      <c r="L159">
        <f>IF(A159="","",$C$24-$C$25)</f>
        <v/>
      </c>
      <c r="M159">
        <f>IF(A159="","",$C$24+$C$25)</f>
        <v/>
      </c>
    </row>
    <row r="160">
      <c r="A160" s="40">
        <f>IFERROR(INDEX($R$108:$R$388,ROW()-107),"")</f>
        <v/>
      </c>
      <c r="B160">
        <f>IFERROR(INDEX($S$108:$S$388,ROW()-107),"")</f>
        <v/>
      </c>
      <c r="C160">
        <f>IFERROR(INDEX($W$108:$W$388,ROW()-107),"")</f>
        <v/>
      </c>
      <c r="D160" s="32">
        <f>IFERROR((C160-B160)*100,"")</f>
        <v/>
      </c>
      <c r="E160" s="32">
        <f>IFERROR(D160-D159,"")</f>
        <v/>
      </c>
      <c r="F160" s="32">
        <f>IFERROR(D159,"")</f>
        <v/>
      </c>
      <c r="G160" s="41">
        <f>IFERROR((D160-$C$24)/$C$25,"")</f>
        <v/>
      </c>
      <c r="H160" s="32">
        <f>IFERROR(D186-D160,"")</f>
        <v/>
      </c>
      <c r="I160" s="32">
        <f>IFERROR(D160-D156,"")</f>
        <v/>
      </c>
      <c r="J160" s="32">
        <f>IFERROR(D160-D147,"")</f>
        <v/>
      </c>
      <c r="K160">
        <f>IF(A160="","",$C$24)</f>
        <v/>
      </c>
      <c r="L160">
        <f>IF(A160="","",$C$24-$C$25)</f>
        <v/>
      </c>
      <c r="M160">
        <f>IF(A160="","",$C$24+$C$25)</f>
        <v/>
      </c>
    </row>
    <row r="161">
      <c r="A161" s="40">
        <f>IFERROR(INDEX($R$108:$R$388,ROW()-107),"")</f>
        <v/>
      </c>
      <c r="B161">
        <f>IFERROR(INDEX($S$108:$S$388,ROW()-107),"")</f>
        <v/>
      </c>
      <c r="C161">
        <f>IFERROR(INDEX($W$108:$W$388,ROW()-107),"")</f>
        <v/>
      </c>
      <c r="D161" s="32">
        <f>IFERROR((C161-B161)*100,"")</f>
        <v/>
      </c>
      <c r="E161" s="32">
        <f>IFERROR(D161-D160,"")</f>
        <v/>
      </c>
      <c r="F161" s="32">
        <f>IFERROR(D160,"")</f>
        <v/>
      </c>
      <c r="G161" s="41">
        <f>IFERROR((D161-$C$24)/$C$25,"")</f>
        <v/>
      </c>
      <c r="H161" s="32">
        <f>IFERROR(D187-D161,"")</f>
        <v/>
      </c>
      <c r="I161" s="32">
        <f>IFERROR(D161-D157,"")</f>
        <v/>
      </c>
      <c r="J161" s="32">
        <f>IFERROR(D161-D148,"")</f>
        <v/>
      </c>
      <c r="K161">
        <f>IF(A161="","",$C$24)</f>
        <v/>
      </c>
      <c r="L161">
        <f>IF(A161="","",$C$24-$C$25)</f>
        <v/>
      </c>
      <c r="M161">
        <f>IF(A161="","",$C$24+$C$25)</f>
        <v/>
      </c>
    </row>
    <row r="162">
      <c r="A162" s="40">
        <f>IFERROR(INDEX($R$108:$R$388,ROW()-107),"")</f>
        <v/>
      </c>
      <c r="B162">
        <f>IFERROR(INDEX($S$108:$S$388,ROW()-107),"")</f>
        <v/>
      </c>
      <c r="C162">
        <f>IFERROR(INDEX($W$108:$W$388,ROW()-107),"")</f>
        <v/>
      </c>
      <c r="D162" s="32">
        <f>IFERROR((C162-B162)*100,"")</f>
        <v/>
      </c>
      <c r="E162" s="32">
        <f>IFERROR(D162-D161,"")</f>
        <v/>
      </c>
      <c r="F162" s="32">
        <f>IFERROR(D161,"")</f>
        <v/>
      </c>
      <c r="G162" s="41">
        <f>IFERROR((D162-$C$24)/$C$25,"")</f>
        <v/>
      </c>
      <c r="H162" s="32">
        <f>IFERROR(D188-D162,"")</f>
        <v/>
      </c>
      <c r="I162" s="32">
        <f>IFERROR(D162-D158,"")</f>
        <v/>
      </c>
      <c r="J162" s="32">
        <f>IFERROR(D162-D149,"")</f>
        <v/>
      </c>
      <c r="K162">
        <f>IF(A162="","",$C$24)</f>
        <v/>
      </c>
      <c r="L162">
        <f>IF(A162="","",$C$24-$C$25)</f>
        <v/>
      </c>
      <c r="M162">
        <f>IF(A162="","",$C$24+$C$25)</f>
        <v/>
      </c>
    </row>
    <row r="163">
      <c r="A163" s="40">
        <f>IFERROR(INDEX($R$108:$R$388,ROW()-107),"")</f>
        <v/>
      </c>
      <c r="B163">
        <f>IFERROR(INDEX($S$108:$S$388,ROW()-107),"")</f>
        <v/>
      </c>
      <c r="C163">
        <f>IFERROR(INDEX($W$108:$W$388,ROW()-107),"")</f>
        <v/>
      </c>
      <c r="D163" s="32">
        <f>IFERROR((C163-B163)*100,"")</f>
        <v/>
      </c>
      <c r="E163" s="32">
        <f>IFERROR(D163-D162,"")</f>
        <v/>
      </c>
      <c r="F163" s="32">
        <f>IFERROR(D162,"")</f>
        <v/>
      </c>
      <c r="G163" s="41">
        <f>IFERROR((D163-$C$24)/$C$25,"")</f>
        <v/>
      </c>
      <c r="H163" s="32">
        <f>IFERROR(D189-D163,"")</f>
        <v/>
      </c>
      <c r="I163" s="32">
        <f>IFERROR(D163-D159,"")</f>
        <v/>
      </c>
      <c r="J163" s="32">
        <f>IFERROR(D163-D150,"")</f>
        <v/>
      </c>
      <c r="K163">
        <f>IF(A163="","",$C$24)</f>
        <v/>
      </c>
      <c r="L163">
        <f>IF(A163="","",$C$24-$C$25)</f>
        <v/>
      </c>
      <c r="M163">
        <f>IF(A163="","",$C$24+$C$25)</f>
        <v/>
      </c>
    </row>
    <row r="164">
      <c r="A164" s="40">
        <f>IFERROR(INDEX($R$108:$R$388,ROW()-107),"")</f>
        <v/>
      </c>
      <c r="B164">
        <f>IFERROR(INDEX($S$108:$S$388,ROW()-107),"")</f>
        <v/>
      </c>
      <c r="C164">
        <f>IFERROR(INDEX($W$108:$W$388,ROW()-107),"")</f>
        <v/>
      </c>
      <c r="D164" s="32">
        <f>IFERROR((C164-B164)*100,"")</f>
        <v/>
      </c>
      <c r="E164" s="32">
        <f>IFERROR(D164-D163,"")</f>
        <v/>
      </c>
      <c r="F164" s="32">
        <f>IFERROR(D163,"")</f>
        <v/>
      </c>
      <c r="G164" s="41">
        <f>IFERROR((D164-$C$24)/$C$25,"")</f>
        <v/>
      </c>
      <c r="H164" s="32">
        <f>IFERROR(D190-D164,"")</f>
        <v/>
      </c>
      <c r="I164" s="32">
        <f>IFERROR(D164-D160,"")</f>
        <v/>
      </c>
      <c r="J164" s="32">
        <f>IFERROR(D164-D151,"")</f>
        <v/>
      </c>
      <c r="K164">
        <f>IF(A164="","",$C$24)</f>
        <v/>
      </c>
      <c r="L164">
        <f>IF(A164="","",$C$24-$C$25)</f>
        <v/>
      </c>
      <c r="M164">
        <f>IF(A164="","",$C$24+$C$25)</f>
        <v/>
      </c>
    </row>
    <row r="165">
      <c r="A165" s="40">
        <f>IFERROR(INDEX($R$108:$R$388,ROW()-107),"")</f>
        <v/>
      </c>
      <c r="B165">
        <f>IFERROR(INDEX($S$108:$S$388,ROW()-107),"")</f>
        <v/>
      </c>
      <c r="C165">
        <f>IFERROR(INDEX($W$108:$W$388,ROW()-107),"")</f>
        <v/>
      </c>
      <c r="D165" s="32">
        <f>IFERROR((C165-B165)*100,"")</f>
        <v/>
      </c>
      <c r="E165" s="32">
        <f>IFERROR(D165-D164,"")</f>
        <v/>
      </c>
      <c r="F165" s="32">
        <f>IFERROR(D164,"")</f>
        <v/>
      </c>
      <c r="G165" s="41">
        <f>IFERROR((D165-$C$24)/$C$25,"")</f>
        <v/>
      </c>
      <c r="H165" s="32">
        <f>IFERROR(D191-D165,"")</f>
        <v/>
      </c>
      <c r="I165" s="32">
        <f>IFERROR(D165-D161,"")</f>
        <v/>
      </c>
      <c r="J165" s="32">
        <f>IFERROR(D165-D152,"")</f>
        <v/>
      </c>
      <c r="K165">
        <f>IF(A165="","",$C$24)</f>
        <v/>
      </c>
      <c r="L165">
        <f>IF(A165="","",$C$24-$C$25)</f>
        <v/>
      </c>
      <c r="M165">
        <f>IF(A165="","",$C$24+$C$25)</f>
        <v/>
      </c>
    </row>
    <row r="166">
      <c r="A166" s="40">
        <f>IFERROR(INDEX($R$108:$R$388,ROW()-107),"")</f>
        <v/>
      </c>
      <c r="B166">
        <f>IFERROR(INDEX($S$108:$S$388,ROW()-107),"")</f>
        <v/>
      </c>
      <c r="C166">
        <f>IFERROR(INDEX($W$108:$W$388,ROW()-107),"")</f>
        <v/>
      </c>
      <c r="D166" s="32">
        <f>IFERROR((C166-B166)*100,"")</f>
        <v/>
      </c>
      <c r="E166" s="32">
        <f>IFERROR(D166-D165,"")</f>
        <v/>
      </c>
      <c r="F166" s="32">
        <f>IFERROR(D165,"")</f>
        <v/>
      </c>
      <c r="G166" s="41">
        <f>IFERROR((D166-$C$24)/$C$25,"")</f>
        <v/>
      </c>
      <c r="H166" s="32">
        <f>IFERROR(D192-D166,"")</f>
        <v/>
      </c>
      <c r="I166" s="32">
        <f>IFERROR(D166-D162,"")</f>
        <v/>
      </c>
      <c r="J166" s="32">
        <f>IFERROR(D166-D153,"")</f>
        <v/>
      </c>
      <c r="K166">
        <f>IF(A166="","",$C$24)</f>
        <v/>
      </c>
      <c r="L166">
        <f>IF(A166="","",$C$24-$C$25)</f>
        <v/>
      </c>
      <c r="M166">
        <f>IF(A166="","",$C$24+$C$25)</f>
        <v/>
      </c>
    </row>
    <row r="167">
      <c r="A167" s="40">
        <f>IFERROR(INDEX($R$108:$R$388,ROW()-107),"")</f>
        <v/>
      </c>
      <c r="B167">
        <f>IFERROR(INDEX($S$108:$S$388,ROW()-107),"")</f>
        <v/>
      </c>
      <c r="C167">
        <f>IFERROR(INDEX($W$108:$W$388,ROW()-107),"")</f>
        <v/>
      </c>
      <c r="D167" s="32">
        <f>IFERROR((C167-B167)*100,"")</f>
        <v/>
      </c>
      <c r="E167" s="32">
        <f>IFERROR(D167-D166,"")</f>
        <v/>
      </c>
      <c r="F167" s="32">
        <f>IFERROR(D166,"")</f>
        <v/>
      </c>
      <c r="G167" s="41">
        <f>IFERROR((D167-$C$24)/$C$25,"")</f>
        <v/>
      </c>
      <c r="H167" s="32">
        <f>IFERROR(D193-D167,"")</f>
        <v/>
      </c>
      <c r="I167" s="32">
        <f>IFERROR(D167-D163,"")</f>
        <v/>
      </c>
      <c r="J167" s="32">
        <f>IFERROR(D167-D154,"")</f>
        <v/>
      </c>
      <c r="K167">
        <f>IF(A167="","",$C$24)</f>
        <v/>
      </c>
      <c r="L167">
        <f>IF(A167="","",$C$24-$C$25)</f>
        <v/>
      </c>
      <c r="M167">
        <f>IF(A167="","",$C$24+$C$25)</f>
        <v/>
      </c>
    </row>
    <row r="168">
      <c r="A168" s="40">
        <f>IFERROR(INDEX($R$108:$R$388,ROW()-107),"")</f>
        <v/>
      </c>
      <c r="B168">
        <f>IFERROR(INDEX($S$108:$S$388,ROW()-107),"")</f>
        <v/>
      </c>
      <c r="C168">
        <f>IFERROR(INDEX($W$108:$W$388,ROW()-107),"")</f>
        <v/>
      </c>
      <c r="D168" s="32">
        <f>IFERROR((C168-B168)*100,"")</f>
        <v/>
      </c>
      <c r="E168" s="32">
        <f>IFERROR(D168-D167,"")</f>
        <v/>
      </c>
      <c r="F168" s="32">
        <f>IFERROR(D167,"")</f>
        <v/>
      </c>
      <c r="G168" s="41">
        <f>IFERROR((D168-$C$24)/$C$25,"")</f>
        <v/>
      </c>
      <c r="H168" s="32">
        <f>IFERROR(D194-D168,"")</f>
        <v/>
      </c>
      <c r="I168" s="32">
        <f>IFERROR(D168-D164,"")</f>
        <v/>
      </c>
      <c r="J168" s="32">
        <f>IFERROR(D168-D155,"")</f>
        <v/>
      </c>
      <c r="K168">
        <f>IF(A168="","",$C$24)</f>
        <v/>
      </c>
      <c r="L168">
        <f>IF(A168="","",$C$24-$C$25)</f>
        <v/>
      </c>
      <c r="M168">
        <f>IF(A168="","",$C$24+$C$25)</f>
        <v/>
      </c>
    </row>
    <row r="169">
      <c r="A169" s="40">
        <f>IFERROR(INDEX($R$108:$R$388,ROW()-107),"")</f>
        <v/>
      </c>
      <c r="B169">
        <f>IFERROR(INDEX($S$108:$S$388,ROW()-107),"")</f>
        <v/>
      </c>
      <c r="C169">
        <f>IFERROR(INDEX($W$108:$W$388,ROW()-107),"")</f>
        <v/>
      </c>
      <c r="D169" s="32">
        <f>IFERROR((C169-B169)*100,"")</f>
        <v/>
      </c>
      <c r="E169" s="32">
        <f>IFERROR(D169-D168,"")</f>
        <v/>
      </c>
      <c r="F169" s="32">
        <f>IFERROR(D168,"")</f>
        <v/>
      </c>
      <c r="G169" s="41">
        <f>IFERROR((D169-$C$24)/$C$25,"")</f>
        <v/>
      </c>
      <c r="H169" s="32">
        <f>IFERROR(D195-D169,"")</f>
        <v/>
      </c>
      <c r="I169" s="32">
        <f>IFERROR(D169-D165,"")</f>
        <v/>
      </c>
      <c r="J169" s="32">
        <f>IFERROR(D169-D156,"")</f>
        <v/>
      </c>
      <c r="K169">
        <f>IF(A169="","",$C$24)</f>
        <v/>
      </c>
      <c r="L169">
        <f>IF(A169="","",$C$24-$C$25)</f>
        <v/>
      </c>
      <c r="M169">
        <f>IF(A169="","",$C$24+$C$25)</f>
        <v/>
      </c>
    </row>
    <row r="170">
      <c r="A170" s="40">
        <f>IFERROR(INDEX($R$108:$R$388,ROW()-107),"")</f>
        <v/>
      </c>
      <c r="B170">
        <f>IFERROR(INDEX($S$108:$S$388,ROW()-107),"")</f>
        <v/>
      </c>
      <c r="C170">
        <f>IFERROR(INDEX($W$108:$W$388,ROW()-107),"")</f>
        <v/>
      </c>
      <c r="D170" s="32">
        <f>IFERROR((C170-B170)*100,"")</f>
        <v/>
      </c>
      <c r="E170" s="32">
        <f>IFERROR(D170-D169,"")</f>
        <v/>
      </c>
      <c r="F170" s="32">
        <f>IFERROR(D169,"")</f>
        <v/>
      </c>
      <c r="G170" s="41">
        <f>IFERROR((D170-$C$24)/$C$25,"")</f>
        <v/>
      </c>
      <c r="H170" s="32">
        <f>IFERROR(D196-D170,"")</f>
        <v/>
      </c>
      <c r="I170" s="32">
        <f>IFERROR(D170-D166,"")</f>
        <v/>
      </c>
      <c r="J170" s="32">
        <f>IFERROR(D170-D157,"")</f>
        <v/>
      </c>
      <c r="K170">
        <f>IF(A170="","",$C$24)</f>
        <v/>
      </c>
      <c r="L170">
        <f>IF(A170="","",$C$24-$C$25)</f>
        <v/>
      </c>
      <c r="M170">
        <f>IF(A170="","",$C$24+$C$25)</f>
        <v/>
      </c>
    </row>
    <row r="171">
      <c r="A171" s="40">
        <f>IFERROR(INDEX($R$108:$R$388,ROW()-107),"")</f>
        <v/>
      </c>
      <c r="B171">
        <f>IFERROR(INDEX($S$108:$S$388,ROW()-107),"")</f>
        <v/>
      </c>
      <c r="C171">
        <f>IFERROR(INDEX($W$108:$W$388,ROW()-107),"")</f>
        <v/>
      </c>
      <c r="D171" s="32">
        <f>IFERROR((C171-B171)*100,"")</f>
        <v/>
      </c>
      <c r="E171" s="32">
        <f>IFERROR(D171-D170,"")</f>
        <v/>
      </c>
      <c r="F171" s="32">
        <f>IFERROR(D170,"")</f>
        <v/>
      </c>
      <c r="G171" s="41">
        <f>IFERROR((D171-$C$24)/$C$25,"")</f>
        <v/>
      </c>
      <c r="H171" s="32">
        <f>IFERROR(D197-D171,"")</f>
        <v/>
      </c>
      <c r="I171" s="32">
        <f>IFERROR(D171-D167,"")</f>
        <v/>
      </c>
      <c r="J171" s="32">
        <f>IFERROR(D171-D158,"")</f>
        <v/>
      </c>
      <c r="K171">
        <f>IF(A171="","",$C$24)</f>
        <v/>
      </c>
      <c r="L171">
        <f>IF(A171="","",$C$24-$C$25)</f>
        <v/>
      </c>
      <c r="M171">
        <f>IF(A171="","",$C$24+$C$25)</f>
        <v/>
      </c>
    </row>
    <row r="172">
      <c r="A172" s="40">
        <f>IFERROR(INDEX($R$108:$R$388,ROW()-107),"")</f>
        <v/>
      </c>
      <c r="B172">
        <f>IFERROR(INDEX($S$108:$S$388,ROW()-107),"")</f>
        <v/>
      </c>
      <c r="C172">
        <f>IFERROR(INDEX($W$108:$W$388,ROW()-107),"")</f>
        <v/>
      </c>
      <c r="D172" s="32">
        <f>IFERROR((C172-B172)*100,"")</f>
        <v/>
      </c>
      <c r="E172" s="32">
        <f>IFERROR(D172-D171,"")</f>
        <v/>
      </c>
      <c r="F172" s="32">
        <f>IFERROR(D171,"")</f>
        <v/>
      </c>
      <c r="G172" s="41">
        <f>IFERROR((D172-$C$24)/$C$25,"")</f>
        <v/>
      </c>
      <c r="H172" s="32">
        <f>IFERROR(D198-D172,"")</f>
        <v/>
      </c>
      <c r="I172" s="32">
        <f>IFERROR(D172-D168,"")</f>
        <v/>
      </c>
      <c r="J172" s="32">
        <f>IFERROR(D172-D159,"")</f>
        <v/>
      </c>
      <c r="K172">
        <f>IF(A172="","",$C$24)</f>
        <v/>
      </c>
      <c r="L172">
        <f>IF(A172="","",$C$24-$C$25)</f>
        <v/>
      </c>
      <c r="M172">
        <f>IF(A172="","",$C$24+$C$25)</f>
        <v/>
      </c>
    </row>
    <row r="173">
      <c r="A173" s="40">
        <f>IFERROR(INDEX($R$108:$R$388,ROW()-107),"")</f>
        <v/>
      </c>
      <c r="B173">
        <f>IFERROR(INDEX($S$108:$S$388,ROW()-107),"")</f>
        <v/>
      </c>
      <c r="C173">
        <f>IFERROR(INDEX($W$108:$W$388,ROW()-107),"")</f>
        <v/>
      </c>
      <c r="D173" s="32">
        <f>IFERROR((C173-B173)*100,"")</f>
        <v/>
      </c>
      <c r="E173" s="32">
        <f>IFERROR(D173-D172,"")</f>
        <v/>
      </c>
      <c r="F173" s="32">
        <f>IFERROR(D172,"")</f>
        <v/>
      </c>
      <c r="G173" s="41">
        <f>IFERROR((D173-$C$24)/$C$25,"")</f>
        <v/>
      </c>
      <c r="H173" s="32">
        <f>IFERROR(D199-D173,"")</f>
        <v/>
      </c>
      <c r="I173" s="32">
        <f>IFERROR(D173-D169,"")</f>
        <v/>
      </c>
      <c r="J173" s="32">
        <f>IFERROR(D173-D160,"")</f>
        <v/>
      </c>
      <c r="K173">
        <f>IF(A173="","",$C$24)</f>
        <v/>
      </c>
      <c r="L173">
        <f>IF(A173="","",$C$24-$C$25)</f>
        <v/>
      </c>
      <c r="M173">
        <f>IF(A173="","",$C$24+$C$25)</f>
        <v/>
      </c>
    </row>
    <row r="174">
      <c r="A174" s="40">
        <f>IFERROR(INDEX($R$108:$R$388,ROW()-107),"")</f>
        <v/>
      </c>
      <c r="B174">
        <f>IFERROR(INDEX($S$108:$S$388,ROW()-107),"")</f>
        <v/>
      </c>
      <c r="C174">
        <f>IFERROR(INDEX($W$108:$W$388,ROW()-107),"")</f>
        <v/>
      </c>
      <c r="D174" s="32">
        <f>IFERROR((C174-B174)*100,"")</f>
        <v/>
      </c>
      <c r="E174" s="32">
        <f>IFERROR(D174-D173,"")</f>
        <v/>
      </c>
      <c r="F174" s="32">
        <f>IFERROR(D173,"")</f>
        <v/>
      </c>
      <c r="G174" s="41">
        <f>IFERROR((D174-$C$24)/$C$25,"")</f>
        <v/>
      </c>
      <c r="H174" s="32">
        <f>IFERROR(D200-D174,"")</f>
        <v/>
      </c>
      <c r="I174" s="32">
        <f>IFERROR(D174-D170,"")</f>
        <v/>
      </c>
      <c r="J174" s="32">
        <f>IFERROR(D174-D161,"")</f>
        <v/>
      </c>
      <c r="K174">
        <f>IF(A174="","",$C$24)</f>
        <v/>
      </c>
      <c r="L174">
        <f>IF(A174="","",$C$24-$C$25)</f>
        <v/>
      </c>
      <c r="M174">
        <f>IF(A174="","",$C$24+$C$25)</f>
        <v/>
      </c>
    </row>
    <row r="175">
      <c r="A175" s="40">
        <f>IFERROR(INDEX($R$108:$R$388,ROW()-107),"")</f>
        <v/>
      </c>
      <c r="B175">
        <f>IFERROR(INDEX($S$108:$S$388,ROW()-107),"")</f>
        <v/>
      </c>
      <c r="C175">
        <f>IFERROR(INDEX($W$108:$W$388,ROW()-107),"")</f>
        <v/>
      </c>
      <c r="D175" s="32">
        <f>IFERROR((C175-B175)*100,"")</f>
        <v/>
      </c>
      <c r="E175" s="32">
        <f>IFERROR(D175-D174,"")</f>
        <v/>
      </c>
      <c r="F175" s="32">
        <f>IFERROR(D174,"")</f>
        <v/>
      </c>
      <c r="G175" s="41">
        <f>IFERROR((D175-$C$24)/$C$25,"")</f>
        <v/>
      </c>
      <c r="H175" s="32">
        <f>IFERROR(D201-D175,"")</f>
        <v/>
      </c>
      <c r="I175" s="32">
        <f>IFERROR(D175-D171,"")</f>
        <v/>
      </c>
      <c r="J175" s="32">
        <f>IFERROR(D175-D162,"")</f>
        <v/>
      </c>
      <c r="K175">
        <f>IF(A175="","",$C$24)</f>
        <v/>
      </c>
      <c r="L175">
        <f>IF(A175="","",$C$24-$C$25)</f>
        <v/>
      </c>
      <c r="M175">
        <f>IF(A175="","",$C$24+$C$25)</f>
        <v/>
      </c>
    </row>
    <row r="176">
      <c r="A176" s="40">
        <f>IFERROR(INDEX($R$108:$R$388,ROW()-107),"")</f>
        <v/>
      </c>
      <c r="B176">
        <f>IFERROR(INDEX($S$108:$S$388,ROW()-107),"")</f>
        <v/>
      </c>
      <c r="C176">
        <f>IFERROR(INDEX($W$108:$W$388,ROW()-107),"")</f>
        <v/>
      </c>
      <c r="D176" s="32">
        <f>IFERROR((C176-B176)*100,"")</f>
        <v/>
      </c>
      <c r="E176" s="32">
        <f>IFERROR(D176-D175,"")</f>
        <v/>
      </c>
      <c r="F176" s="32">
        <f>IFERROR(D175,"")</f>
        <v/>
      </c>
      <c r="G176" s="41">
        <f>IFERROR((D176-$C$24)/$C$25,"")</f>
        <v/>
      </c>
      <c r="H176" s="32">
        <f>IFERROR(D202-D176,"")</f>
        <v/>
      </c>
      <c r="I176" s="32">
        <f>IFERROR(D176-D172,"")</f>
        <v/>
      </c>
      <c r="J176" s="32">
        <f>IFERROR(D176-D163,"")</f>
        <v/>
      </c>
      <c r="K176">
        <f>IF(A176="","",$C$24)</f>
        <v/>
      </c>
      <c r="L176">
        <f>IF(A176="","",$C$24-$C$25)</f>
        <v/>
      </c>
      <c r="M176">
        <f>IF(A176="","",$C$24+$C$25)</f>
        <v/>
      </c>
    </row>
    <row r="177">
      <c r="A177" s="40">
        <f>IFERROR(INDEX($R$108:$R$388,ROW()-107),"")</f>
        <v/>
      </c>
      <c r="B177">
        <f>IFERROR(INDEX($S$108:$S$388,ROW()-107),"")</f>
        <v/>
      </c>
      <c r="C177">
        <f>IFERROR(INDEX($W$108:$W$388,ROW()-107),"")</f>
        <v/>
      </c>
      <c r="D177" s="32">
        <f>IFERROR((C177-B177)*100,"")</f>
        <v/>
      </c>
      <c r="E177" s="32">
        <f>IFERROR(D177-D176,"")</f>
        <v/>
      </c>
      <c r="F177" s="32">
        <f>IFERROR(D176,"")</f>
        <v/>
      </c>
      <c r="G177" s="41">
        <f>IFERROR((D177-$C$24)/$C$25,"")</f>
        <v/>
      </c>
      <c r="H177" s="32">
        <f>IFERROR(D203-D177,"")</f>
        <v/>
      </c>
      <c r="I177" s="32">
        <f>IFERROR(D177-D173,"")</f>
        <v/>
      </c>
      <c r="J177" s="32">
        <f>IFERROR(D177-D164,"")</f>
        <v/>
      </c>
      <c r="K177">
        <f>IF(A177="","",$C$24)</f>
        <v/>
      </c>
      <c r="L177">
        <f>IF(A177="","",$C$24-$C$25)</f>
        <v/>
      </c>
      <c r="M177">
        <f>IF(A177="","",$C$24+$C$25)</f>
        <v/>
      </c>
    </row>
    <row r="178">
      <c r="A178" s="40">
        <f>IFERROR(INDEX($R$108:$R$388,ROW()-107),"")</f>
        <v/>
      </c>
      <c r="B178">
        <f>IFERROR(INDEX($S$108:$S$388,ROW()-107),"")</f>
        <v/>
      </c>
      <c r="C178">
        <f>IFERROR(INDEX($W$108:$W$388,ROW()-107),"")</f>
        <v/>
      </c>
      <c r="D178" s="32">
        <f>IFERROR((C178-B178)*100,"")</f>
        <v/>
      </c>
      <c r="E178" s="32">
        <f>IFERROR(D178-D177,"")</f>
        <v/>
      </c>
      <c r="F178" s="32">
        <f>IFERROR(D177,"")</f>
        <v/>
      </c>
      <c r="G178" s="41">
        <f>IFERROR((D178-$C$24)/$C$25,"")</f>
        <v/>
      </c>
      <c r="H178" s="32">
        <f>IFERROR(D204-D178,"")</f>
        <v/>
      </c>
      <c r="I178" s="32">
        <f>IFERROR(D178-D174,"")</f>
        <v/>
      </c>
      <c r="J178" s="32">
        <f>IFERROR(D178-D165,"")</f>
        <v/>
      </c>
      <c r="K178">
        <f>IF(A178="","",$C$24)</f>
        <v/>
      </c>
      <c r="L178">
        <f>IF(A178="","",$C$24-$C$25)</f>
        <v/>
      </c>
      <c r="M178">
        <f>IF(A178="","",$C$24+$C$25)</f>
        <v/>
      </c>
    </row>
    <row r="179">
      <c r="A179" s="40">
        <f>IFERROR(INDEX($R$108:$R$388,ROW()-107),"")</f>
        <v/>
      </c>
      <c r="B179">
        <f>IFERROR(INDEX($S$108:$S$388,ROW()-107),"")</f>
        <v/>
      </c>
      <c r="C179">
        <f>IFERROR(INDEX($W$108:$W$388,ROW()-107),"")</f>
        <v/>
      </c>
      <c r="D179" s="32">
        <f>IFERROR((C179-B179)*100,"")</f>
        <v/>
      </c>
      <c r="E179" s="32">
        <f>IFERROR(D179-D178,"")</f>
        <v/>
      </c>
      <c r="F179" s="32">
        <f>IFERROR(D178,"")</f>
        <v/>
      </c>
      <c r="G179" s="41">
        <f>IFERROR((D179-$C$24)/$C$25,"")</f>
        <v/>
      </c>
      <c r="H179" s="32">
        <f>IFERROR(D205-D179,"")</f>
        <v/>
      </c>
      <c r="I179" s="32">
        <f>IFERROR(D179-D175,"")</f>
        <v/>
      </c>
      <c r="J179" s="32">
        <f>IFERROR(D179-D166,"")</f>
        <v/>
      </c>
      <c r="K179">
        <f>IF(A179="","",$C$24)</f>
        <v/>
      </c>
      <c r="L179">
        <f>IF(A179="","",$C$24-$C$25)</f>
        <v/>
      </c>
      <c r="M179">
        <f>IF(A179="","",$C$24+$C$25)</f>
        <v/>
      </c>
    </row>
    <row r="180">
      <c r="A180" s="40">
        <f>IFERROR(INDEX($R$108:$R$388,ROW()-107),"")</f>
        <v/>
      </c>
      <c r="B180">
        <f>IFERROR(INDEX($S$108:$S$388,ROW()-107),"")</f>
        <v/>
      </c>
      <c r="C180">
        <f>IFERROR(INDEX($W$108:$W$388,ROW()-107),"")</f>
        <v/>
      </c>
      <c r="D180" s="32">
        <f>IFERROR((C180-B180)*100,"")</f>
        <v/>
      </c>
      <c r="E180" s="32">
        <f>IFERROR(D180-D179,"")</f>
        <v/>
      </c>
      <c r="F180" s="32">
        <f>IFERROR(D179,"")</f>
        <v/>
      </c>
      <c r="G180" s="41">
        <f>IFERROR((D180-$C$24)/$C$25,"")</f>
        <v/>
      </c>
      <c r="H180" s="32">
        <f>IFERROR(D206-D180,"")</f>
        <v/>
      </c>
      <c r="I180" s="32">
        <f>IFERROR(D180-D176,"")</f>
        <v/>
      </c>
      <c r="J180" s="32">
        <f>IFERROR(D180-D167,"")</f>
        <v/>
      </c>
      <c r="K180">
        <f>IF(A180="","",$C$24)</f>
        <v/>
      </c>
      <c r="L180">
        <f>IF(A180="","",$C$24-$C$25)</f>
        <v/>
      </c>
      <c r="M180">
        <f>IF(A180="","",$C$24+$C$25)</f>
        <v/>
      </c>
    </row>
    <row r="181">
      <c r="A181" s="40">
        <f>IFERROR(INDEX($R$108:$R$388,ROW()-107),"")</f>
        <v/>
      </c>
      <c r="B181">
        <f>IFERROR(INDEX($S$108:$S$388,ROW()-107),"")</f>
        <v/>
      </c>
      <c r="C181">
        <f>IFERROR(INDEX($W$108:$W$388,ROW()-107),"")</f>
        <v/>
      </c>
      <c r="D181" s="32">
        <f>IFERROR((C181-B181)*100,"")</f>
        <v/>
      </c>
      <c r="E181" s="32">
        <f>IFERROR(D181-D180,"")</f>
        <v/>
      </c>
      <c r="F181" s="32">
        <f>IFERROR(D180,"")</f>
        <v/>
      </c>
      <c r="G181" s="41">
        <f>IFERROR((D181-$C$24)/$C$25,"")</f>
        <v/>
      </c>
      <c r="H181" s="32">
        <f>IFERROR(D207-D181,"")</f>
        <v/>
      </c>
      <c r="I181" s="32">
        <f>IFERROR(D181-D177,"")</f>
        <v/>
      </c>
      <c r="J181" s="32">
        <f>IFERROR(D181-D168,"")</f>
        <v/>
      </c>
      <c r="K181">
        <f>IF(A181="","",$C$24)</f>
        <v/>
      </c>
      <c r="L181">
        <f>IF(A181="","",$C$24-$C$25)</f>
        <v/>
      </c>
      <c r="M181">
        <f>IF(A181="","",$C$24+$C$25)</f>
        <v/>
      </c>
    </row>
    <row r="182">
      <c r="A182" s="40">
        <f>IFERROR(INDEX($R$108:$R$388,ROW()-107),"")</f>
        <v/>
      </c>
      <c r="B182">
        <f>IFERROR(INDEX($S$108:$S$388,ROW()-107),"")</f>
        <v/>
      </c>
      <c r="C182">
        <f>IFERROR(INDEX($W$108:$W$388,ROW()-107),"")</f>
        <v/>
      </c>
      <c r="D182" s="32">
        <f>IFERROR((C182-B182)*100,"")</f>
        <v/>
      </c>
      <c r="E182" s="32">
        <f>IFERROR(D182-D181,"")</f>
        <v/>
      </c>
      <c r="F182" s="32">
        <f>IFERROR(D181,"")</f>
        <v/>
      </c>
      <c r="G182" s="41">
        <f>IFERROR((D182-$C$24)/$C$25,"")</f>
        <v/>
      </c>
      <c r="H182" s="32">
        <f>IFERROR(D208-D182,"")</f>
        <v/>
      </c>
      <c r="I182" s="32">
        <f>IFERROR(D182-D178,"")</f>
        <v/>
      </c>
      <c r="J182" s="32">
        <f>IFERROR(D182-D169,"")</f>
        <v/>
      </c>
      <c r="K182">
        <f>IF(A182="","",$C$24)</f>
        <v/>
      </c>
      <c r="L182">
        <f>IF(A182="","",$C$24-$C$25)</f>
        <v/>
      </c>
      <c r="M182">
        <f>IF(A182="","",$C$24+$C$25)</f>
        <v/>
      </c>
    </row>
    <row r="183">
      <c r="A183" s="40">
        <f>IFERROR(INDEX($R$108:$R$388,ROW()-107),"")</f>
        <v/>
      </c>
      <c r="B183">
        <f>IFERROR(INDEX($S$108:$S$388,ROW()-107),"")</f>
        <v/>
      </c>
      <c r="C183">
        <f>IFERROR(INDEX($W$108:$W$388,ROW()-107),"")</f>
        <v/>
      </c>
      <c r="D183" s="32">
        <f>IFERROR((C183-B183)*100,"")</f>
        <v/>
      </c>
      <c r="E183" s="32">
        <f>IFERROR(D183-D182,"")</f>
        <v/>
      </c>
      <c r="F183" s="32">
        <f>IFERROR(D182,"")</f>
        <v/>
      </c>
      <c r="G183" s="41">
        <f>IFERROR((D183-$C$24)/$C$25,"")</f>
        <v/>
      </c>
      <c r="H183" s="32">
        <f>IFERROR(D209-D183,"")</f>
        <v/>
      </c>
      <c r="I183" s="32">
        <f>IFERROR(D183-D179,"")</f>
        <v/>
      </c>
      <c r="J183" s="32">
        <f>IFERROR(D183-D170,"")</f>
        <v/>
      </c>
      <c r="K183">
        <f>IF(A183="","",$C$24)</f>
        <v/>
      </c>
      <c r="L183">
        <f>IF(A183="","",$C$24-$C$25)</f>
        <v/>
      </c>
      <c r="M183">
        <f>IF(A183="","",$C$24+$C$25)</f>
        <v/>
      </c>
    </row>
    <row r="184">
      <c r="A184" s="40">
        <f>IFERROR(INDEX($R$108:$R$388,ROW()-107),"")</f>
        <v/>
      </c>
      <c r="B184">
        <f>IFERROR(INDEX($S$108:$S$388,ROW()-107),"")</f>
        <v/>
      </c>
      <c r="C184">
        <f>IFERROR(INDEX($W$108:$W$388,ROW()-107),"")</f>
        <v/>
      </c>
      <c r="D184" s="32">
        <f>IFERROR((C184-B184)*100,"")</f>
        <v/>
      </c>
      <c r="E184" s="32">
        <f>IFERROR(D184-D183,"")</f>
        <v/>
      </c>
      <c r="F184" s="32">
        <f>IFERROR(D183,"")</f>
        <v/>
      </c>
      <c r="G184" s="41">
        <f>IFERROR((D184-$C$24)/$C$25,"")</f>
        <v/>
      </c>
      <c r="H184" s="32">
        <f>IFERROR(D210-D184,"")</f>
        <v/>
      </c>
      <c r="I184" s="32">
        <f>IFERROR(D184-D180,"")</f>
        <v/>
      </c>
      <c r="J184" s="32">
        <f>IFERROR(D184-D171,"")</f>
        <v/>
      </c>
      <c r="K184">
        <f>IF(A184="","",$C$24)</f>
        <v/>
      </c>
      <c r="L184">
        <f>IF(A184="","",$C$24-$C$25)</f>
        <v/>
      </c>
      <c r="M184">
        <f>IF(A184="","",$C$24+$C$25)</f>
        <v/>
      </c>
    </row>
    <row r="185">
      <c r="A185" s="40">
        <f>IFERROR(INDEX($R$108:$R$388,ROW()-107),"")</f>
        <v/>
      </c>
      <c r="B185">
        <f>IFERROR(INDEX($S$108:$S$388,ROW()-107),"")</f>
        <v/>
      </c>
      <c r="C185">
        <f>IFERROR(INDEX($W$108:$W$388,ROW()-107),"")</f>
        <v/>
      </c>
      <c r="D185" s="32">
        <f>IFERROR((C185-B185)*100,"")</f>
        <v/>
      </c>
      <c r="E185" s="32">
        <f>IFERROR(D185-D184,"")</f>
        <v/>
      </c>
      <c r="F185" s="32">
        <f>IFERROR(D184,"")</f>
        <v/>
      </c>
      <c r="G185" s="41">
        <f>IFERROR((D185-$C$24)/$C$25,"")</f>
        <v/>
      </c>
      <c r="H185" s="32">
        <f>IFERROR(D211-D185,"")</f>
        <v/>
      </c>
      <c r="I185" s="32">
        <f>IFERROR(D185-D181,"")</f>
        <v/>
      </c>
      <c r="J185" s="32">
        <f>IFERROR(D185-D172,"")</f>
        <v/>
      </c>
      <c r="K185">
        <f>IF(A185="","",$C$24)</f>
        <v/>
      </c>
      <c r="L185">
        <f>IF(A185="","",$C$24-$C$25)</f>
        <v/>
      </c>
      <c r="M185">
        <f>IF(A185="","",$C$24+$C$25)</f>
        <v/>
      </c>
    </row>
    <row r="186">
      <c r="A186" s="40">
        <f>IFERROR(INDEX($R$108:$R$388,ROW()-107),"")</f>
        <v/>
      </c>
      <c r="B186">
        <f>IFERROR(INDEX($S$108:$S$388,ROW()-107),"")</f>
        <v/>
      </c>
      <c r="C186">
        <f>IFERROR(INDEX($W$108:$W$388,ROW()-107),"")</f>
        <v/>
      </c>
      <c r="D186" s="32">
        <f>IFERROR((C186-B186)*100,"")</f>
        <v/>
      </c>
      <c r="E186" s="32">
        <f>IFERROR(D186-D185,"")</f>
        <v/>
      </c>
      <c r="F186" s="32">
        <f>IFERROR(D185,"")</f>
        <v/>
      </c>
      <c r="G186" s="41">
        <f>IFERROR((D186-$C$24)/$C$25,"")</f>
        <v/>
      </c>
      <c r="H186" s="32">
        <f>IFERROR(D212-D186,"")</f>
        <v/>
      </c>
      <c r="I186" s="32">
        <f>IFERROR(D186-D182,"")</f>
        <v/>
      </c>
      <c r="J186" s="32">
        <f>IFERROR(D186-D173,"")</f>
        <v/>
      </c>
      <c r="K186">
        <f>IF(A186="","",$C$24)</f>
        <v/>
      </c>
      <c r="L186">
        <f>IF(A186="","",$C$24-$C$25)</f>
        <v/>
      </c>
      <c r="M186">
        <f>IF(A186="","",$C$24+$C$25)</f>
        <v/>
      </c>
    </row>
    <row r="187">
      <c r="A187" s="40">
        <f>IFERROR(INDEX($R$108:$R$388,ROW()-107),"")</f>
        <v/>
      </c>
      <c r="B187">
        <f>IFERROR(INDEX($S$108:$S$388,ROW()-107),"")</f>
        <v/>
      </c>
      <c r="C187">
        <f>IFERROR(INDEX($W$108:$W$388,ROW()-107),"")</f>
        <v/>
      </c>
      <c r="D187" s="32">
        <f>IFERROR((C187-B187)*100,"")</f>
        <v/>
      </c>
      <c r="E187" s="32">
        <f>IFERROR(D187-D186,"")</f>
        <v/>
      </c>
      <c r="F187" s="32">
        <f>IFERROR(D186,"")</f>
        <v/>
      </c>
      <c r="G187" s="41">
        <f>IFERROR((D187-$C$24)/$C$25,"")</f>
        <v/>
      </c>
      <c r="H187" s="32">
        <f>IFERROR(D213-D187,"")</f>
        <v/>
      </c>
      <c r="I187" s="32">
        <f>IFERROR(D187-D183,"")</f>
        <v/>
      </c>
      <c r="J187" s="32">
        <f>IFERROR(D187-D174,"")</f>
        <v/>
      </c>
      <c r="K187">
        <f>IF(A187="","",$C$24)</f>
        <v/>
      </c>
      <c r="L187">
        <f>IF(A187="","",$C$24-$C$25)</f>
        <v/>
      </c>
      <c r="M187">
        <f>IF(A187="","",$C$24+$C$25)</f>
        <v/>
      </c>
    </row>
    <row r="188">
      <c r="A188" s="40">
        <f>IFERROR(INDEX($R$108:$R$388,ROW()-107),"")</f>
        <v/>
      </c>
      <c r="B188">
        <f>IFERROR(INDEX($S$108:$S$388,ROW()-107),"")</f>
        <v/>
      </c>
      <c r="C188">
        <f>IFERROR(INDEX($W$108:$W$388,ROW()-107),"")</f>
        <v/>
      </c>
      <c r="D188" s="32">
        <f>IFERROR((C188-B188)*100,"")</f>
        <v/>
      </c>
      <c r="E188" s="32">
        <f>IFERROR(D188-D187,"")</f>
        <v/>
      </c>
      <c r="F188" s="32">
        <f>IFERROR(D187,"")</f>
        <v/>
      </c>
      <c r="G188" s="41">
        <f>IFERROR((D188-$C$24)/$C$25,"")</f>
        <v/>
      </c>
      <c r="H188" s="32">
        <f>IFERROR(D214-D188,"")</f>
        <v/>
      </c>
      <c r="I188" s="32">
        <f>IFERROR(D188-D184,"")</f>
        <v/>
      </c>
      <c r="J188" s="32">
        <f>IFERROR(D188-D175,"")</f>
        <v/>
      </c>
      <c r="K188">
        <f>IF(A188="","",$C$24)</f>
        <v/>
      </c>
      <c r="L188">
        <f>IF(A188="","",$C$24-$C$25)</f>
        <v/>
      </c>
      <c r="M188">
        <f>IF(A188="","",$C$24+$C$25)</f>
        <v/>
      </c>
    </row>
    <row r="189">
      <c r="A189" s="40">
        <f>IFERROR(INDEX($R$108:$R$388,ROW()-107),"")</f>
        <v/>
      </c>
      <c r="B189">
        <f>IFERROR(INDEX($S$108:$S$388,ROW()-107),"")</f>
        <v/>
      </c>
      <c r="C189">
        <f>IFERROR(INDEX($W$108:$W$388,ROW()-107),"")</f>
        <v/>
      </c>
      <c r="D189" s="32">
        <f>IFERROR((C189-B189)*100,"")</f>
        <v/>
      </c>
      <c r="E189" s="32">
        <f>IFERROR(D189-D188,"")</f>
        <v/>
      </c>
      <c r="F189" s="32">
        <f>IFERROR(D188,"")</f>
        <v/>
      </c>
      <c r="G189" s="41">
        <f>IFERROR((D189-$C$24)/$C$25,"")</f>
        <v/>
      </c>
      <c r="H189" s="32">
        <f>IFERROR(D215-D189,"")</f>
        <v/>
      </c>
      <c r="I189" s="32">
        <f>IFERROR(D189-D185,"")</f>
        <v/>
      </c>
      <c r="J189" s="32">
        <f>IFERROR(D189-D176,"")</f>
        <v/>
      </c>
      <c r="K189">
        <f>IF(A189="","",$C$24)</f>
        <v/>
      </c>
      <c r="L189">
        <f>IF(A189="","",$C$24-$C$25)</f>
        <v/>
      </c>
      <c r="M189">
        <f>IF(A189="","",$C$24+$C$25)</f>
        <v/>
      </c>
    </row>
    <row r="190">
      <c r="A190" s="40">
        <f>IFERROR(INDEX($R$108:$R$388,ROW()-107),"")</f>
        <v/>
      </c>
      <c r="B190">
        <f>IFERROR(INDEX($S$108:$S$388,ROW()-107),"")</f>
        <v/>
      </c>
      <c r="C190">
        <f>IFERROR(INDEX($W$108:$W$388,ROW()-107),"")</f>
        <v/>
      </c>
      <c r="D190" s="32">
        <f>IFERROR((C190-B190)*100,"")</f>
        <v/>
      </c>
      <c r="E190" s="32">
        <f>IFERROR(D190-D189,"")</f>
        <v/>
      </c>
      <c r="F190" s="32">
        <f>IFERROR(D189,"")</f>
        <v/>
      </c>
      <c r="G190" s="41">
        <f>IFERROR((D190-$C$24)/$C$25,"")</f>
        <v/>
      </c>
      <c r="H190" s="32">
        <f>IFERROR(D216-D190,"")</f>
        <v/>
      </c>
      <c r="I190" s="32">
        <f>IFERROR(D190-D186,"")</f>
        <v/>
      </c>
      <c r="J190" s="32">
        <f>IFERROR(D190-D177,"")</f>
        <v/>
      </c>
      <c r="K190">
        <f>IF(A190="","",$C$24)</f>
        <v/>
      </c>
      <c r="L190">
        <f>IF(A190="","",$C$24-$C$25)</f>
        <v/>
      </c>
      <c r="M190">
        <f>IF(A190="","",$C$24+$C$25)</f>
        <v/>
      </c>
    </row>
    <row r="191">
      <c r="A191" s="40">
        <f>IFERROR(INDEX($R$108:$R$388,ROW()-107),"")</f>
        <v/>
      </c>
      <c r="B191">
        <f>IFERROR(INDEX($S$108:$S$388,ROW()-107),"")</f>
        <v/>
      </c>
      <c r="C191">
        <f>IFERROR(INDEX($W$108:$W$388,ROW()-107),"")</f>
        <v/>
      </c>
      <c r="D191" s="32">
        <f>IFERROR((C191-B191)*100,"")</f>
        <v/>
      </c>
      <c r="E191" s="32">
        <f>IFERROR(D191-D190,"")</f>
        <v/>
      </c>
      <c r="F191" s="32">
        <f>IFERROR(D190,"")</f>
        <v/>
      </c>
      <c r="G191" s="41">
        <f>IFERROR((D191-$C$24)/$C$25,"")</f>
        <v/>
      </c>
      <c r="H191" s="32">
        <f>IFERROR(D217-D191,"")</f>
        <v/>
      </c>
      <c r="I191" s="32">
        <f>IFERROR(D191-D187,"")</f>
        <v/>
      </c>
      <c r="J191" s="32">
        <f>IFERROR(D191-D178,"")</f>
        <v/>
      </c>
      <c r="K191">
        <f>IF(A191="","",$C$24)</f>
        <v/>
      </c>
      <c r="L191">
        <f>IF(A191="","",$C$24-$C$25)</f>
        <v/>
      </c>
      <c r="M191">
        <f>IF(A191="","",$C$24+$C$25)</f>
        <v/>
      </c>
    </row>
    <row r="192">
      <c r="A192" s="40">
        <f>IFERROR(INDEX($R$108:$R$388,ROW()-107),"")</f>
        <v/>
      </c>
      <c r="B192">
        <f>IFERROR(INDEX($S$108:$S$388,ROW()-107),"")</f>
        <v/>
      </c>
      <c r="C192">
        <f>IFERROR(INDEX($W$108:$W$388,ROW()-107),"")</f>
        <v/>
      </c>
      <c r="D192" s="32">
        <f>IFERROR((C192-B192)*100,"")</f>
        <v/>
      </c>
      <c r="E192" s="32">
        <f>IFERROR(D192-D191,"")</f>
        <v/>
      </c>
      <c r="F192" s="32">
        <f>IFERROR(D191,"")</f>
        <v/>
      </c>
      <c r="G192" s="41">
        <f>IFERROR((D192-$C$24)/$C$25,"")</f>
        <v/>
      </c>
      <c r="H192" s="32">
        <f>IFERROR(D218-D192,"")</f>
        <v/>
      </c>
      <c r="I192" s="32">
        <f>IFERROR(D192-D188,"")</f>
        <v/>
      </c>
      <c r="J192" s="32">
        <f>IFERROR(D192-D179,"")</f>
        <v/>
      </c>
      <c r="K192">
        <f>IF(A192="","",$C$24)</f>
        <v/>
      </c>
      <c r="L192">
        <f>IF(A192="","",$C$24-$C$25)</f>
        <v/>
      </c>
      <c r="M192">
        <f>IF(A192="","",$C$24+$C$25)</f>
        <v/>
      </c>
    </row>
    <row r="193">
      <c r="A193" s="40">
        <f>IFERROR(INDEX($R$108:$R$388,ROW()-107),"")</f>
        <v/>
      </c>
      <c r="B193">
        <f>IFERROR(INDEX($S$108:$S$388,ROW()-107),"")</f>
        <v/>
      </c>
      <c r="C193">
        <f>IFERROR(INDEX($W$108:$W$388,ROW()-107),"")</f>
        <v/>
      </c>
      <c r="D193" s="32">
        <f>IFERROR((C193-B193)*100,"")</f>
        <v/>
      </c>
      <c r="E193" s="32">
        <f>IFERROR(D193-D192,"")</f>
        <v/>
      </c>
      <c r="F193" s="32">
        <f>IFERROR(D192,"")</f>
        <v/>
      </c>
      <c r="G193" s="41">
        <f>IFERROR((D193-$C$24)/$C$25,"")</f>
        <v/>
      </c>
      <c r="H193" s="32">
        <f>IFERROR(D219-D193,"")</f>
        <v/>
      </c>
      <c r="I193" s="32">
        <f>IFERROR(D193-D189,"")</f>
        <v/>
      </c>
      <c r="J193" s="32">
        <f>IFERROR(D193-D180,"")</f>
        <v/>
      </c>
      <c r="K193">
        <f>IF(A193="","",$C$24)</f>
        <v/>
      </c>
      <c r="L193">
        <f>IF(A193="","",$C$24-$C$25)</f>
        <v/>
      </c>
      <c r="M193">
        <f>IF(A193="","",$C$24+$C$25)</f>
        <v/>
      </c>
    </row>
    <row r="194">
      <c r="A194" s="40">
        <f>IFERROR(INDEX($R$108:$R$388,ROW()-107),"")</f>
        <v/>
      </c>
      <c r="B194">
        <f>IFERROR(INDEX($S$108:$S$388,ROW()-107),"")</f>
        <v/>
      </c>
      <c r="C194">
        <f>IFERROR(INDEX($W$108:$W$388,ROW()-107),"")</f>
        <v/>
      </c>
      <c r="D194" s="32">
        <f>IFERROR((C194-B194)*100,"")</f>
        <v/>
      </c>
      <c r="E194" s="32">
        <f>IFERROR(D194-D193,"")</f>
        <v/>
      </c>
      <c r="F194" s="32">
        <f>IFERROR(D193,"")</f>
        <v/>
      </c>
      <c r="G194" s="41">
        <f>IFERROR((D194-$C$24)/$C$25,"")</f>
        <v/>
      </c>
      <c r="H194" s="32">
        <f>IFERROR(D220-D194,"")</f>
        <v/>
      </c>
      <c r="I194" s="32">
        <f>IFERROR(D194-D190,"")</f>
        <v/>
      </c>
      <c r="J194" s="32">
        <f>IFERROR(D194-D181,"")</f>
        <v/>
      </c>
      <c r="K194">
        <f>IF(A194="","",$C$24)</f>
        <v/>
      </c>
      <c r="L194">
        <f>IF(A194="","",$C$24-$C$25)</f>
        <v/>
      </c>
      <c r="M194">
        <f>IF(A194="","",$C$24+$C$25)</f>
        <v/>
      </c>
    </row>
    <row r="195">
      <c r="A195" s="40">
        <f>IFERROR(INDEX($R$108:$R$388,ROW()-107),"")</f>
        <v/>
      </c>
      <c r="B195">
        <f>IFERROR(INDEX($S$108:$S$388,ROW()-107),"")</f>
        <v/>
      </c>
      <c r="C195">
        <f>IFERROR(INDEX($W$108:$W$388,ROW()-107),"")</f>
        <v/>
      </c>
      <c r="D195" s="32">
        <f>IFERROR((C195-B195)*100,"")</f>
        <v/>
      </c>
      <c r="E195" s="32">
        <f>IFERROR(D195-D194,"")</f>
        <v/>
      </c>
      <c r="F195" s="32">
        <f>IFERROR(D194,"")</f>
        <v/>
      </c>
      <c r="G195" s="41">
        <f>IFERROR((D195-$C$24)/$C$25,"")</f>
        <v/>
      </c>
      <c r="H195" s="32">
        <f>IFERROR(D221-D195,"")</f>
        <v/>
      </c>
      <c r="I195" s="32">
        <f>IFERROR(D195-D191,"")</f>
        <v/>
      </c>
      <c r="J195" s="32">
        <f>IFERROR(D195-D182,"")</f>
        <v/>
      </c>
      <c r="K195">
        <f>IF(A195="","",$C$24)</f>
        <v/>
      </c>
      <c r="L195">
        <f>IF(A195="","",$C$24-$C$25)</f>
        <v/>
      </c>
      <c r="M195">
        <f>IF(A195="","",$C$24+$C$25)</f>
        <v/>
      </c>
    </row>
    <row r="196">
      <c r="A196" s="40">
        <f>IFERROR(INDEX($R$108:$R$388,ROW()-107),"")</f>
        <v/>
      </c>
      <c r="B196">
        <f>IFERROR(INDEX($S$108:$S$388,ROW()-107),"")</f>
        <v/>
      </c>
      <c r="C196">
        <f>IFERROR(INDEX($W$108:$W$388,ROW()-107),"")</f>
        <v/>
      </c>
      <c r="D196" s="32">
        <f>IFERROR((C196-B196)*100,"")</f>
        <v/>
      </c>
      <c r="E196" s="32">
        <f>IFERROR(D196-D195,"")</f>
        <v/>
      </c>
      <c r="F196" s="32">
        <f>IFERROR(D195,"")</f>
        <v/>
      </c>
      <c r="G196" s="41">
        <f>IFERROR((D196-$C$24)/$C$25,"")</f>
        <v/>
      </c>
      <c r="H196" s="32">
        <f>IFERROR(D222-D196,"")</f>
        <v/>
      </c>
      <c r="I196" s="32">
        <f>IFERROR(D196-D192,"")</f>
        <v/>
      </c>
      <c r="J196" s="32">
        <f>IFERROR(D196-D183,"")</f>
        <v/>
      </c>
      <c r="K196">
        <f>IF(A196="","",$C$24)</f>
        <v/>
      </c>
      <c r="L196">
        <f>IF(A196="","",$C$24-$C$25)</f>
        <v/>
      </c>
      <c r="M196">
        <f>IF(A196="","",$C$24+$C$25)</f>
        <v/>
      </c>
    </row>
    <row r="197">
      <c r="A197" s="40">
        <f>IFERROR(INDEX($R$108:$R$388,ROW()-107),"")</f>
        <v/>
      </c>
      <c r="B197">
        <f>IFERROR(INDEX($S$108:$S$388,ROW()-107),"")</f>
        <v/>
      </c>
      <c r="C197">
        <f>IFERROR(INDEX($W$108:$W$388,ROW()-107),"")</f>
        <v/>
      </c>
      <c r="D197" s="32">
        <f>IFERROR((C197-B197)*100,"")</f>
        <v/>
      </c>
      <c r="E197" s="32">
        <f>IFERROR(D197-D196,"")</f>
        <v/>
      </c>
      <c r="F197" s="32">
        <f>IFERROR(D196,"")</f>
        <v/>
      </c>
      <c r="G197" s="41">
        <f>IFERROR((D197-$C$24)/$C$25,"")</f>
        <v/>
      </c>
      <c r="H197" s="32">
        <f>IFERROR(D223-D197,"")</f>
        <v/>
      </c>
      <c r="I197" s="32">
        <f>IFERROR(D197-D193,"")</f>
        <v/>
      </c>
      <c r="J197" s="32">
        <f>IFERROR(D197-D184,"")</f>
        <v/>
      </c>
      <c r="K197">
        <f>IF(A197="","",$C$24)</f>
        <v/>
      </c>
      <c r="L197">
        <f>IF(A197="","",$C$24-$C$25)</f>
        <v/>
      </c>
      <c r="M197">
        <f>IF(A197="","",$C$24+$C$25)</f>
        <v/>
      </c>
    </row>
    <row r="198">
      <c r="A198" s="40">
        <f>IFERROR(INDEX($R$108:$R$388,ROW()-107),"")</f>
        <v/>
      </c>
      <c r="B198">
        <f>IFERROR(INDEX($S$108:$S$388,ROW()-107),"")</f>
        <v/>
      </c>
      <c r="C198">
        <f>IFERROR(INDEX($W$108:$W$388,ROW()-107),"")</f>
        <v/>
      </c>
      <c r="D198" s="32">
        <f>IFERROR((C198-B198)*100,"")</f>
        <v/>
      </c>
      <c r="E198" s="32">
        <f>IFERROR(D198-D197,"")</f>
        <v/>
      </c>
      <c r="F198" s="32">
        <f>IFERROR(D197,"")</f>
        <v/>
      </c>
      <c r="G198" s="41">
        <f>IFERROR((D198-$C$24)/$C$25,"")</f>
        <v/>
      </c>
      <c r="H198" s="32">
        <f>IFERROR(D224-D198,"")</f>
        <v/>
      </c>
      <c r="I198" s="32">
        <f>IFERROR(D198-D194,"")</f>
        <v/>
      </c>
      <c r="J198" s="32">
        <f>IFERROR(D198-D185,"")</f>
        <v/>
      </c>
      <c r="K198">
        <f>IF(A198="","",$C$24)</f>
        <v/>
      </c>
      <c r="L198">
        <f>IF(A198="","",$C$24-$C$25)</f>
        <v/>
      </c>
      <c r="M198">
        <f>IF(A198="","",$C$24+$C$25)</f>
        <v/>
      </c>
    </row>
    <row r="199">
      <c r="A199" s="40">
        <f>IFERROR(INDEX($R$108:$R$388,ROW()-107),"")</f>
        <v/>
      </c>
      <c r="B199">
        <f>IFERROR(INDEX($S$108:$S$388,ROW()-107),"")</f>
        <v/>
      </c>
      <c r="C199">
        <f>IFERROR(INDEX($W$108:$W$388,ROW()-107),"")</f>
        <v/>
      </c>
      <c r="D199" s="32">
        <f>IFERROR((C199-B199)*100,"")</f>
        <v/>
      </c>
      <c r="E199" s="32">
        <f>IFERROR(D199-D198,"")</f>
        <v/>
      </c>
      <c r="F199" s="32">
        <f>IFERROR(D198,"")</f>
        <v/>
      </c>
      <c r="G199" s="41">
        <f>IFERROR((D199-$C$24)/$C$25,"")</f>
        <v/>
      </c>
      <c r="H199" s="32">
        <f>IFERROR(D225-D199,"")</f>
        <v/>
      </c>
      <c r="I199" s="32">
        <f>IFERROR(D199-D195,"")</f>
        <v/>
      </c>
      <c r="J199" s="32">
        <f>IFERROR(D199-D186,"")</f>
        <v/>
      </c>
      <c r="K199">
        <f>IF(A199="","",$C$24)</f>
        <v/>
      </c>
      <c r="L199">
        <f>IF(A199="","",$C$24-$C$25)</f>
        <v/>
      </c>
      <c r="M199">
        <f>IF(A199="","",$C$24+$C$25)</f>
        <v/>
      </c>
    </row>
    <row r="200">
      <c r="A200" s="40">
        <f>IFERROR(INDEX($R$108:$R$388,ROW()-107),"")</f>
        <v/>
      </c>
      <c r="B200">
        <f>IFERROR(INDEX($S$108:$S$388,ROW()-107),"")</f>
        <v/>
      </c>
      <c r="C200">
        <f>IFERROR(INDEX($W$108:$W$388,ROW()-107),"")</f>
        <v/>
      </c>
      <c r="D200" s="32">
        <f>IFERROR((C200-B200)*100,"")</f>
        <v/>
      </c>
      <c r="E200" s="32">
        <f>IFERROR(D200-D199,"")</f>
        <v/>
      </c>
      <c r="F200" s="32">
        <f>IFERROR(D199,"")</f>
        <v/>
      </c>
      <c r="G200" s="41">
        <f>IFERROR((D200-$C$24)/$C$25,"")</f>
        <v/>
      </c>
      <c r="H200" s="32">
        <f>IFERROR(D226-D200,"")</f>
        <v/>
      </c>
      <c r="I200" s="32">
        <f>IFERROR(D200-D196,"")</f>
        <v/>
      </c>
      <c r="J200" s="32">
        <f>IFERROR(D200-D187,"")</f>
        <v/>
      </c>
      <c r="K200">
        <f>IF(A200="","",$C$24)</f>
        <v/>
      </c>
      <c r="L200">
        <f>IF(A200="","",$C$24-$C$25)</f>
        <v/>
      </c>
      <c r="M200">
        <f>IF(A200="","",$C$24+$C$25)</f>
        <v/>
      </c>
    </row>
    <row r="201">
      <c r="A201" s="40">
        <f>IFERROR(INDEX($R$108:$R$388,ROW()-107),"")</f>
        <v/>
      </c>
      <c r="B201">
        <f>IFERROR(INDEX($S$108:$S$388,ROW()-107),"")</f>
        <v/>
      </c>
      <c r="C201">
        <f>IFERROR(INDEX($W$108:$W$388,ROW()-107),"")</f>
        <v/>
      </c>
      <c r="D201" s="32">
        <f>IFERROR((C201-B201)*100,"")</f>
        <v/>
      </c>
      <c r="E201" s="32">
        <f>IFERROR(D201-D200,"")</f>
        <v/>
      </c>
      <c r="F201" s="32">
        <f>IFERROR(D200,"")</f>
        <v/>
      </c>
      <c r="G201" s="41">
        <f>IFERROR((D201-$C$24)/$C$25,"")</f>
        <v/>
      </c>
      <c r="H201" s="32">
        <f>IFERROR(D227-D201,"")</f>
        <v/>
      </c>
      <c r="I201" s="32">
        <f>IFERROR(D201-D197,"")</f>
        <v/>
      </c>
      <c r="J201" s="32">
        <f>IFERROR(D201-D188,"")</f>
        <v/>
      </c>
      <c r="K201">
        <f>IF(A201="","",$C$24)</f>
        <v/>
      </c>
      <c r="L201">
        <f>IF(A201="","",$C$24-$C$25)</f>
        <v/>
      </c>
      <c r="M201">
        <f>IF(A201="","",$C$24+$C$25)</f>
        <v/>
      </c>
    </row>
    <row r="202">
      <c r="A202" s="40">
        <f>IFERROR(INDEX($R$108:$R$388,ROW()-107),"")</f>
        <v/>
      </c>
      <c r="B202">
        <f>IFERROR(INDEX($S$108:$S$388,ROW()-107),"")</f>
        <v/>
      </c>
      <c r="C202">
        <f>IFERROR(INDEX($W$108:$W$388,ROW()-107),"")</f>
        <v/>
      </c>
      <c r="D202" s="32">
        <f>IFERROR((C202-B202)*100,"")</f>
        <v/>
      </c>
      <c r="E202" s="32">
        <f>IFERROR(D202-D201,"")</f>
        <v/>
      </c>
      <c r="F202" s="32">
        <f>IFERROR(D201,"")</f>
        <v/>
      </c>
      <c r="G202" s="41">
        <f>IFERROR((D202-$C$24)/$C$25,"")</f>
        <v/>
      </c>
      <c r="H202" s="32">
        <f>IFERROR(D228-D202,"")</f>
        <v/>
      </c>
      <c r="I202" s="32">
        <f>IFERROR(D202-D198,"")</f>
        <v/>
      </c>
      <c r="J202" s="32">
        <f>IFERROR(D202-D189,"")</f>
        <v/>
      </c>
      <c r="K202">
        <f>IF(A202="","",$C$24)</f>
        <v/>
      </c>
      <c r="L202">
        <f>IF(A202="","",$C$24-$C$25)</f>
        <v/>
      </c>
      <c r="M202">
        <f>IF(A202="","",$C$24+$C$25)</f>
        <v/>
      </c>
    </row>
    <row r="203">
      <c r="A203" s="40">
        <f>IFERROR(INDEX($R$108:$R$388,ROW()-107),"")</f>
        <v/>
      </c>
      <c r="B203">
        <f>IFERROR(INDEX($S$108:$S$388,ROW()-107),"")</f>
        <v/>
      </c>
      <c r="C203">
        <f>IFERROR(INDEX($W$108:$W$388,ROW()-107),"")</f>
        <v/>
      </c>
      <c r="D203" s="32">
        <f>IFERROR((C203-B203)*100,"")</f>
        <v/>
      </c>
      <c r="E203" s="32">
        <f>IFERROR(D203-D202,"")</f>
        <v/>
      </c>
      <c r="F203" s="32">
        <f>IFERROR(D202,"")</f>
        <v/>
      </c>
      <c r="G203" s="41">
        <f>IFERROR((D203-$C$24)/$C$25,"")</f>
        <v/>
      </c>
      <c r="H203" s="32">
        <f>IFERROR(D229-D203,"")</f>
        <v/>
      </c>
      <c r="I203" s="32">
        <f>IFERROR(D203-D199,"")</f>
        <v/>
      </c>
      <c r="J203" s="32">
        <f>IFERROR(D203-D190,"")</f>
        <v/>
      </c>
      <c r="K203">
        <f>IF(A203="","",$C$24)</f>
        <v/>
      </c>
      <c r="L203">
        <f>IF(A203="","",$C$24-$C$25)</f>
        <v/>
      </c>
      <c r="M203">
        <f>IF(A203="","",$C$24+$C$25)</f>
        <v/>
      </c>
    </row>
    <row r="204">
      <c r="A204" s="40">
        <f>IFERROR(INDEX($R$108:$R$388,ROW()-107),"")</f>
        <v/>
      </c>
      <c r="B204">
        <f>IFERROR(INDEX($S$108:$S$388,ROW()-107),"")</f>
        <v/>
      </c>
      <c r="C204">
        <f>IFERROR(INDEX($W$108:$W$388,ROW()-107),"")</f>
        <v/>
      </c>
      <c r="D204" s="32">
        <f>IFERROR((C204-B204)*100,"")</f>
        <v/>
      </c>
      <c r="E204" s="32">
        <f>IFERROR(D204-D203,"")</f>
        <v/>
      </c>
      <c r="F204" s="32">
        <f>IFERROR(D203,"")</f>
        <v/>
      </c>
      <c r="G204" s="41">
        <f>IFERROR((D204-$C$24)/$C$25,"")</f>
        <v/>
      </c>
      <c r="H204" s="32">
        <f>IFERROR(D230-D204,"")</f>
        <v/>
      </c>
      <c r="I204" s="32">
        <f>IFERROR(D204-D200,"")</f>
        <v/>
      </c>
      <c r="J204" s="32">
        <f>IFERROR(D204-D191,"")</f>
        <v/>
      </c>
      <c r="K204">
        <f>IF(A204="","",$C$24)</f>
        <v/>
      </c>
      <c r="L204">
        <f>IF(A204="","",$C$24-$C$25)</f>
        <v/>
      </c>
      <c r="M204">
        <f>IF(A204="","",$C$24+$C$25)</f>
        <v/>
      </c>
    </row>
    <row r="205">
      <c r="A205" s="40">
        <f>IFERROR(INDEX($R$108:$R$388,ROW()-107),"")</f>
        <v/>
      </c>
      <c r="B205">
        <f>IFERROR(INDEX($S$108:$S$388,ROW()-107),"")</f>
        <v/>
      </c>
      <c r="C205">
        <f>IFERROR(INDEX($W$108:$W$388,ROW()-107),"")</f>
        <v/>
      </c>
      <c r="D205" s="32">
        <f>IFERROR((C205-B205)*100,"")</f>
        <v/>
      </c>
      <c r="E205" s="32">
        <f>IFERROR(D205-D204,"")</f>
        <v/>
      </c>
      <c r="F205" s="32">
        <f>IFERROR(D204,"")</f>
        <v/>
      </c>
      <c r="G205" s="41">
        <f>IFERROR((D205-$C$24)/$C$25,"")</f>
        <v/>
      </c>
      <c r="H205" s="32">
        <f>IFERROR(D231-D205,"")</f>
        <v/>
      </c>
      <c r="I205" s="32">
        <f>IFERROR(D205-D201,"")</f>
        <v/>
      </c>
      <c r="J205" s="32">
        <f>IFERROR(D205-D192,"")</f>
        <v/>
      </c>
      <c r="K205">
        <f>IF(A205="","",$C$24)</f>
        <v/>
      </c>
      <c r="L205">
        <f>IF(A205="","",$C$24-$C$25)</f>
        <v/>
      </c>
      <c r="M205">
        <f>IF(A205="","",$C$24+$C$25)</f>
        <v/>
      </c>
    </row>
    <row r="206">
      <c r="A206" s="40">
        <f>IFERROR(INDEX($R$108:$R$388,ROW()-107),"")</f>
        <v/>
      </c>
      <c r="B206">
        <f>IFERROR(INDEX($S$108:$S$388,ROW()-107),"")</f>
        <v/>
      </c>
      <c r="C206">
        <f>IFERROR(INDEX($W$108:$W$388,ROW()-107),"")</f>
        <v/>
      </c>
      <c r="D206" s="32">
        <f>IFERROR((C206-B206)*100,"")</f>
        <v/>
      </c>
      <c r="E206" s="32">
        <f>IFERROR(D206-D205,"")</f>
        <v/>
      </c>
      <c r="F206" s="32">
        <f>IFERROR(D205,"")</f>
        <v/>
      </c>
      <c r="G206" s="41">
        <f>IFERROR((D206-$C$24)/$C$25,"")</f>
        <v/>
      </c>
      <c r="H206" s="32">
        <f>IFERROR(D232-D206,"")</f>
        <v/>
      </c>
      <c r="I206" s="32">
        <f>IFERROR(D206-D202,"")</f>
        <v/>
      </c>
      <c r="J206" s="32">
        <f>IFERROR(D206-D193,"")</f>
        <v/>
      </c>
      <c r="K206">
        <f>IF(A206="","",$C$24)</f>
        <v/>
      </c>
      <c r="L206">
        <f>IF(A206="","",$C$24-$C$25)</f>
        <v/>
      </c>
      <c r="M206">
        <f>IF(A206="","",$C$24+$C$25)</f>
        <v/>
      </c>
    </row>
    <row r="207">
      <c r="A207" s="40">
        <f>IFERROR(INDEX($R$108:$R$388,ROW()-107),"")</f>
        <v/>
      </c>
      <c r="B207">
        <f>IFERROR(INDEX($S$108:$S$388,ROW()-107),"")</f>
        <v/>
      </c>
      <c r="C207">
        <f>IFERROR(INDEX($W$108:$W$388,ROW()-107),"")</f>
        <v/>
      </c>
      <c r="D207" s="32">
        <f>IFERROR((C207-B207)*100,"")</f>
        <v/>
      </c>
      <c r="E207" s="32">
        <f>IFERROR(D207-D206,"")</f>
        <v/>
      </c>
      <c r="F207" s="32">
        <f>IFERROR(D206,"")</f>
        <v/>
      </c>
      <c r="G207" s="41">
        <f>IFERROR((D207-$C$24)/$C$25,"")</f>
        <v/>
      </c>
      <c r="H207" s="32">
        <f>IFERROR(D233-D207,"")</f>
        <v/>
      </c>
      <c r="I207" s="32">
        <f>IFERROR(D207-D203,"")</f>
        <v/>
      </c>
      <c r="J207" s="32">
        <f>IFERROR(D207-D194,"")</f>
        <v/>
      </c>
      <c r="K207">
        <f>IF(A207="","",$C$24)</f>
        <v/>
      </c>
      <c r="L207">
        <f>IF(A207="","",$C$24-$C$25)</f>
        <v/>
      </c>
      <c r="M207">
        <f>IF(A207="","",$C$24+$C$25)</f>
        <v/>
      </c>
    </row>
    <row r="208">
      <c r="A208" s="40">
        <f>IFERROR(INDEX($R$108:$R$388,ROW()-107),"")</f>
        <v/>
      </c>
      <c r="B208">
        <f>IFERROR(INDEX($S$108:$S$388,ROW()-107),"")</f>
        <v/>
      </c>
      <c r="C208">
        <f>IFERROR(INDEX($W$108:$W$388,ROW()-107),"")</f>
        <v/>
      </c>
      <c r="D208" s="32">
        <f>IFERROR((C208-B208)*100,"")</f>
        <v/>
      </c>
      <c r="E208" s="32">
        <f>IFERROR(D208-D207,"")</f>
        <v/>
      </c>
      <c r="F208" s="32">
        <f>IFERROR(D207,"")</f>
        <v/>
      </c>
      <c r="G208" s="41">
        <f>IFERROR((D208-$C$24)/$C$25,"")</f>
        <v/>
      </c>
      <c r="H208" s="32">
        <f>IFERROR(D234-D208,"")</f>
        <v/>
      </c>
      <c r="I208" s="32">
        <f>IFERROR(D208-D204,"")</f>
        <v/>
      </c>
      <c r="J208" s="32">
        <f>IFERROR(D208-D195,"")</f>
        <v/>
      </c>
      <c r="K208">
        <f>IF(A208="","",$C$24)</f>
        <v/>
      </c>
      <c r="L208">
        <f>IF(A208="","",$C$24-$C$25)</f>
        <v/>
      </c>
      <c r="M208">
        <f>IF(A208="","",$C$24+$C$25)</f>
        <v/>
      </c>
    </row>
    <row r="209">
      <c r="A209" s="40">
        <f>IFERROR(INDEX($R$108:$R$388,ROW()-107),"")</f>
        <v/>
      </c>
      <c r="B209">
        <f>IFERROR(INDEX($S$108:$S$388,ROW()-107),"")</f>
        <v/>
      </c>
      <c r="C209">
        <f>IFERROR(INDEX($W$108:$W$388,ROW()-107),"")</f>
        <v/>
      </c>
      <c r="D209" s="32">
        <f>IFERROR((C209-B209)*100,"")</f>
        <v/>
      </c>
      <c r="E209" s="32">
        <f>IFERROR(D209-D208,"")</f>
        <v/>
      </c>
      <c r="F209" s="32">
        <f>IFERROR(D208,"")</f>
        <v/>
      </c>
      <c r="G209" s="41">
        <f>IFERROR((D209-$C$24)/$C$25,"")</f>
        <v/>
      </c>
      <c r="H209" s="32">
        <f>IFERROR(D235-D209,"")</f>
        <v/>
      </c>
      <c r="I209" s="32">
        <f>IFERROR(D209-D205,"")</f>
        <v/>
      </c>
      <c r="J209" s="32">
        <f>IFERROR(D209-D196,"")</f>
        <v/>
      </c>
      <c r="K209">
        <f>IF(A209="","",$C$24)</f>
        <v/>
      </c>
      <c r="L209">
        <f>IF(A209="","",$C$24-$C$25)</f>
        <v/>
      </c>
      <c r="M209">
        <f>IF(A209="","",$C$24+$C$25)</f>
        <v/>
      </c>
    </row>
    <row r="210">
      <c r="A210" s="40">
        <f>IFERROR(INDEX($R$108:$R$388,ROW()-107),"")</f>
        <v/>
      </c>
      <c r="B210">
        <f>IFERROR(INDEX($S$108:$S$388,ROW()-107),"")</f>
        <v/>
      </c>
      <c r="C210">
        <f>IFERROR(INDEX($W$108:$W$388,ROW()-107),"")</f>
        <v/>
      </c>
      <c r="D210" s="32">
        <f>IFERROR((C210-B210)*100,"")</f>
        <v/>
      </c>
      <c r="E210" s="32">
        <f>IFERROR(D210-D209,"")</f>
        <v/>
      </c>
      <c r="F210" s="32">
        <f>IFERROR(D209,"")</f>
        <v/>
      </c>
      <c r="G210" s="41">
        <f>IFERROR((D210-$C$24)/$C$25,"")</f>
        <v/>
      </c>
      <c r="H210" s="32">
        <f>IFERROR(D236-D210,"")</f>
        <v/>
      </c>
      <c r="I210" s="32">
        <f>IFERROR(D210-D206,"")</f>
        <v/>
      </c>
      <c r="J210" s="32">
        <f>IFERROR(D210-D197,"")</f>
        <v/>
      </c>
      <c r="K210">
        <f>IF(A210="","",$C$24)</f>
        <v/>
      </c>
      <c r="L210">
        <f>IF(A210="","",$C$24-$C$25)</f>
        <v/>
      </c>
      <c r="M210">
        <f>IF(A210="","",$C$24+$C$25)</f>
        <v/>
      </c>
    </row>
    <row r="211">
      <c r="A211" s="40">
        <f>IFERROR(INDEX($R$108:$R$388,ROW()-107),"")</f>
        <v/>
      </c>
      <c r="B211">
        <f>IFERROR(INDEX($S$108:$S$388,ROW()-107),"")</f>
        <v/>
      </c>
      <c r="C211">
        <f>IFERROR(INDEX($W$108:$W$388,ROW()-107),"")</f>
        <v/>
      </c>
      <c r="D211" s="32">
        <f>IFERROR((C211-B211)*100,"")</f>
        <v/>
      </c>
      <c r="E211" s="32">
        <f>IFERROR(D211-D210,"")</f>
        <v/>
      </c>
      <c r="F211" s="32">
        <f>IFERROR(D210,"")</f>
        <v/>
      </c>
      <c r="G211" s="41">
        <f>IFERROR((D211-$C$24)/$C$25,"")</f>
        <v/>
      </c>
      <c r="H211" s="32">
        <f>IFERROR(D237-D211,"")</f>
        <v/>
      </c>
      <c r="I211" s="32">
        <f>IFERROR(D211-D207,"")</f>
        <v/>
      </c>
      <c r="J211" s="32">
        <f>IFERROR(D211-D198,"")</f>
        <v/>
      </c>
      <c r="K211">
        <f>IF(A211="","",$C$24)</f>
        <v/>
      </c>
      <c r="L211">
        <f>IF(A211="","",$C$24-$C$25)</f>
        <v/>
      </c>
      <c r="M211">
        <f>IF(A211="","",$C$24+$C$25)</f>
        <v/>
      </c>
    </row>
    <row r="212">
      <c r="A212" s="40">
        <f>IFERROR(INDEX($R$108:$R$388,ROW()-107),"")</f>
        <v/>
      </c>
      <c r="B212">
        <f>IFERROR(INDEX($S$108:$S$388,ROW()-107),"")</f>
        <v/>
      </c>
      <c r="C212">
        <f>IFERROR(INDEX($W$108:$W$388,ROW()-107),"")</f>
        <v/>
      </c>
      <c r="D212" s="32">
        <f>IFERROR((C212-B212)*100,"")</f>
        <v/>
      </c>
      <c r="E212" s="32">
        <f>IFERROR(D212-D211,"")</f>
        <v/>
      </c>
      <c r="F212" s="32">
        <f>IFERROR(D211,"")</f>
        <v/>
      </c>
      <c r="G212" s="41">
        <f>IFERROR((D212-$C$24)/$C$25,"")</f>
        <v/>
      </c>
      <c r="H212" s="32">
        <f>IFERROR(D238-D212,"")</f>
        <v/>
      </c>
      <c r="I212" s="32">
        <f>IFERROR(D212-D208,"")</f>
        <v/>
      </c>
      <c r="J212" s="32">
        <f>IFERROR(D212-D199,"")</f>
        <v/>
      </c>
      <c r="K212">
        <f>IF(A212="","",$C$24)</f>
        <v/>
      </c>
      <c r="L212">
        <f>IF(A212="","",$C$24-$C$25)</f>
        <v/>
      </c>
      <c r="M212">
        <f>IF(A212="","",$C$24+$C$25)</f>
        <v/>
      </c>
    </row>
    <row r="213">
      <c r="A213" s="40">
        <f>IFERROR(INDEX($R$108:$R$388,ROW()-107),"")</f>
        <v/>
      </c>
      <c r="B213">
        <f>IFERROR(INDEX($S$108:$S$388,ROW()-107),"")</f>
        <v/>
      </c>
      <c r="C213">
        <f>IFERROR(INDEX($W$108:$W$388,ROW()-107),"")</f>
        <v/>
      </c>
      <c r="D213" s="32">
        <f>IFERROR((C213-B213)*100,"")</f>
        <v/>
      </c>
      <c r="E213" s="32">
        <f>IFERROR(D213-D212,"")</f>
        <v/>
      </c>
      <c r="F213" s="32">
        <f>IFERROR(D212,"")</f>
        <v/>
      </c>
      <c r="G213" s="41">
        <f>IFERROR((D213-$C$24)/$C$25,"")</f>
        <v/>
      </c>
      <c r="H213" s="32">
        <f>IFERROR(D239-D213,"")</f>
        <v/>
      </c>
      <c r="I213" s="32">
        <f>IFERROR(D213-D209,"")</f>
        <v/>
      </c>
      <c r="J213" s="32">
        <f>IFERROR(D213-D200,"")</f>
        <v/>
      </c>
      <c r="K213">
        <f>IF(A213="","",$C$24)</f>
        <v/>
      </c>
      <c r="L213">
        <f>IF(A213="","",$C$24-$C$25)</f>
        <v/>
      </c>
      <c r="M213">
        <f>IF(A213="","",$C$24+$C$25)</f>
        <v/>
      </c>
    </row>
    <row r="214">
      <c r="A214" s="40">
        <f>IFERROR(INDEX($R$108:$R$388,ROW()-107),"")</f>
        <v/>
      </c>
      <c r="B214">
        <f>IFERROR(INDEX($S$108:$S$388,ROW()-107),"")</f>
        <v/>
      </c>
      <c r="C214">
        <f>IFERROR(INDEX($W$108:$W$388,ROW()-107),"")</f>
        <v/>
      </c>
      <c r="D214" s="32">
        <f>IFERROR((C214-B214)*100,"")</f>
        <v/>
      </c>
      <c r="E214" s="32">
        <f>IFERROR(D214-D213,"")</f>
        <v/>
      </c>
      <c r="F214" s="32">
        <f>IFERROR(D213,"")</f>
        <v/>
      </c>
      <c r="G214" s="41">
        <f>IFERROR((D214-$C$24)/$C$25,"")</f>
        <v/>
      </c>
      <c r="H214" s="32">
        <f>IFERROR(D240-D214,"")</f>
        <v/>
      </c>
      <c r="I214" s="32">
        <f>IFERROR(D214-D210,"")</f>
        <v/>
      </c>
      <c r="J214" s="32">
        <f>IFERROR(D214-D201,"")</f>
        <v/>
      </c>
      <c r="K214">
        <f>IF(A214="","",$C$24)</f>
        <v/>
      </c>
      <c r="L214">
        <f>IF(A214="","",$C$24-$C$25)</f>
        <v/>
      </c>
      <c r="M214">
        <f>IF(A214="","",$C$24+$C$25)</f>
        <v/>
      </c>
    </row>
    <row r="215">
      <c r="A215" s="40">
        <f>IFERROR(INDEX($R$108:$R$388,ROW()-107),"")</f>
        <v/>
      </c>
      <c r="B215">
        <f>IFERROR(INDEX($S$108:$S$388,ROW()-107),"")</f>
        <v/>
      </c>
      <c r="C215">
        <f>IFERROR(INDEX($W$108:$W$388,ROW()-107),"")</f>
        <v/>
      </c>
      <c r="D215" s="32">
        <f>IFERROR((C215-B215)*100,"")</f>
        <v/>
      </c>
      <c r="E215" s="32">
        <f>IFERROR(D215-D214,"")</f>
        <v/>
      </c>
      <c r="F215" s="32">
        <f>IFERROR(D214,"")</f>
        <v/>
      </c>
      <c r="G215" s="41">
        <f>IFERROR((D215-$C$24)/$C$25,"")</f>
        <v/>
      </c>
      <c r="H215" s="32">
        <f>IFERROR(D241-D215,"")</f>
        <v/>
      </c>
      <c r="I215" s="32">
        <f>IFERROR(D215-D211,"")</f>
        <v/>
      </c>
      <c r="J215" s="32">
        <f>IFERROR(D215-D202,"")</f>
        <v/>
      </c>
      <c r="K215">
        <f>IF(A215="","",$C$24)</f>
        <v/>
      </c>
      <c r="L215">
        <f>IF(A215="","",$C$24-$C$25)</f>
        <v/>
      </c>
      <c r="M215">
        <f>IF(A215="","",$C$24+$C$25)</f>
        <v/>
      </c>
    </row>
    <row r="216">
      <c r="A216" s="40">
        <f>IFERROR(INDEX($R$108:$R$388,ROW()-107),"")</f>
        <v/>
      </c>
      <c r="B216">
        <f>IFERROR(INDEX($S$108:$S$388,ROW()-107),"")</f>
        <v/>
      </c>
      <c r="C216">
        <f>IFERROR(INDEX($W$108:$W$388,ROW()-107),"")</f>
        <v/>
      </c>
      <c r="D216" s="32">
        <f>IFERROR((C216-B216)*100,"")</f>
        <v/>
      </c>
      <c r="E216" s="32">
        <f>IFERROR(D216-D215,"")</f>
        <v/>
      </c>
      <c r="F216" s="32">
        <f>IFERROR(D215,"")</f>
        <v/>
      </c>
      <c r="G216" s="41">
        <f>IFERROR((D216-$C$24)/$C$25,"")</f>
        <v/>
      </c>
      <c r="H216" s="32">
        <f>IFERROR(D242-D216,"")</f>
        <v/>
      </c>
      <c r="I216" s="32">
        <f>IFERROR(D216-D212,"")</f>
        <v/>
      </c>
      <c r="J216" s="32">
        <f>IFERROR(D216-D203,"")</f>
        <v/>
      </c>
      <c r="K216">
        <f>IF(A216="","",$C$24)</f>
        <v/>
      </c>
      <c r="L216">
        <f>IF(A216="","",$C$24-$C$25)</f>
        <v/>
      </c>
      <c r="M216">
        <f>IF(A216="","",$C$24+$C$25)</f>
        <v/>
      </c>
    </row>
    <row r="217">
      <c r="A217" s="40">
        <f>IFERROR(INDEX($R$108:$R$388,ROW()-107),"")</f>
        <v/>
      </c>
      <c r="B217">
        <f>IFERROR(INDEX($S$108:$S$388,ROW()-107),"")</f>
        <v/>
      </c>
      <c r="C217">
        <f>IFERROR(INDEX($W$108:$W$388,ROW()-107),"")</f>
        <v/>
      </c>
      <c r="D217" s="32">
        <f>IFERROR((C217-B217)*100,"")</f>
        <v/>
      </c>
      <c r="E217" s="32">
        <f>IFERROR(D217-D216,"")</f>
        <v/>
      </c>
      <c r="F217" s="32">
        <f>IFERROR(D216,"")</f>
        <v/>
      </c>
      <c r="G217" s="41">
        <f>IFERROR((D217-$C$24)/$C$25,"")</f>
        <v/>
      </c>
      <c r="H217" s="32">
        <f>IFERROR(D243-D217,"")</f>
        <v/>
      </c>
      <c r="I217" s="32">
        <f>IFERROR(D217-D213,"")</f>
        <v/>
      </c>
      <c r="J217" s="32">
        <f>IFERROR(D217-D204,"")</f>
        <v/>
      </c>
      <c r="K217">
        <f>IF(A217="","",$C$24)</f>
        <v/>
      </c>
      <c r="L217">
        <f>IF(A217="","",$C$24-$C$25)</f>
        <v/>
      </c>
      <c r="M217">
        <f>IF(A217="","",$C$24+$C$25)</f>
        <v/>
      </c>
    </row>
    <row r="218">
      <c r="A218" s="40">
        <f>IFERROR(INDEX($R$108:$R$388,ROW()-107),"")</f>
        <v/>
      </c>
      <c r="B218">
        <f>IFERROR(INDEX($S$108:$S$388,ROW()-107),"")</f>
        <v/>
      </c>
      <c r="C218">
        <f>IFERROR(INDEX($W$108:$W$388,ROW()-107),"")</f>
        <v/>
      </c>
      <c r="D218" s="32">
        <f>IFERROR((C218-B218)*100,"")</f>
        <v/>
      </c>
      <c r="E218" s="32">
        <f>IFERROR(D218-D217,"")</f>
        <v/>
      </c>
      <c r="F218" s="32">
        <f>IFERROR(D217,"")</f>
        <v/>
      </c>
      <c r="G218" s="41">
        <f>IFERROR((D218-$C$24)/$C$25,"")</f>
        <v/>
      </c>
      <c r="H218" s="32">
        <f>IFERROR(D244-D218,"")</f>
        <v/>
      </c>
      <c r="I218" s="32">
        <f>IFERROR(D218-D214,"")</f>
        <v/>
      </c>
      <c r="J218" s="32">
        <f>IFERROR(D218-D205,"")</f>
        <v/>
      </c>
      <c r="K218">
        <f>IF(A218="","",$C$24)</f>
        <v/>
      </c>
      <c r="L218">
        <f>IF(A218="","",$C$24-$C$25)</f>
        <v/>
      </c>
      <c r="M218">
        <f>IF(A218="","",$C$24+$C$25)</f>
        <v/>
      </c>
    </row>
    <row r="219">
      <c r="A219" s="40">
        <f>IFERROR(INDEX($R$108:$R$388,ROW()-107),"")</f>
        <v/>
      </c>
      <c r="B219">
        <f>IFERROR(INDEX($S$108:$S$388,ROW()-107),"")</f>
        <v/>
      </c>
      <c r="C219">
        <f>IFERROR(INDEX($W$108:$W$388,ROW()-107),"")</f>
        <v/>
      </c>
      <c r="D219" s="32">
        <f>IFERROR((C219-B219)*100,"")</f>
        <v/>
      </c>
      <c r="E219" s="32">
        <f>IFERROR(D219-D218,"")</f>
        <v/>
      </c>
      <c r="F219" s="32">
        <f>IFERROR(D218,"")</f>
        <v/>
      </c>
      <c r="G219" s="41">
        <f>IFERROR((D219-$C$24)/$C$25,"")</f>
        <v/>
      </c>
      <c r="H219" s="32">
        <f>IFERROR(D245-D219,"")</f>
        <v/>
      </c>
      <c r="I219" s="32">
        <f>IFERROR(D219-D215,"")</f>
        <v/>
      </c>
      <c r="J219" s="32">
        <f>IFERROR(D219-D206,"")</f>
        <v/>
      </c>
      <c r="K219">
        <f>IF(A219="","",$C$24)</f>
        <v/>
      </c>
      <c r="L219">
        <f>IF(A219="","",$C$24-$C$25)</f>
        <v/>
      </c>
      <c r="M219">
        <f>IF(A219="","",$C$24+$C$25)</f>
        <v/>
      </c>
    </row>
    <row r="220">
      <c r="A220" s="40">
        <f>IFERROR(INDEX($R$108:$R$388,ROW()-107),"")</f>
        <v/>
      </c>
      <c r="B220">
        <f>IFERROR(INDEX($S$108:$S$388,ROW()-107),"")</f>
        <v/>
      </c>
      <c r="C220">
        <f>IFERROR(INDEX($W$108:$W$388,ROW()-107),"")</f>
        <v/>
      </c>
      <c r="D220" s="32">
        <f>IFERROR((C220-B220)*100,"")</f>
        <v/>
      </c>
      <c r="E220" s="32">
        <f>IFERROR(D220-D219,"")</f>
        <v/>
      </c>
      <c r="F220" s="32">
        <f>IFERROR(D219,"")</f>
        <v/>
      </c>
      <c r="G220" s="41">
        <f>IFERROR((D220-$C$24)/$C$25,"")</f>
        <v/>
      </c>
      <c r="H220" s="32">
        <f>IFERROR(D246-D220,"")</f>
        <v/>
      </c>
      <c r="I220" s="32">
        <f>IFERROR(D220-D216,"")</f>
        <v/>
      </c>
      <c r="J220" s="32">
        <f>IFERROR(D220-D207,"")</f>
        <v/>
      </c>
      <c r="K220">
        <f>IF(A220="","",$C$24)</f>
        <v/>
      </c>
      <c r="L220">
        <f>IF(A220="","",$C$24-$C$25)</f>
        <v/>
      </c>
      <c r="M220">
        <f>IF(A220="","",$C$24+$C$25)</f>
        <v/>
      </c>
    </row>
    <row r="221">
      <c r="A221" s="40">
        <f>IFERROR(INDEX($R$108:$R$388,ROW()-107),"")</f>
        <v/>
      </c>
      <c r="B221">
        <f>IFERROR(INDEX($S$108:$S$388,ROW()-107),"")</f>
        <v/>
      </c>
      <c r="C221">
        <f>IFERROR(INDEX($W$108:$W$388,ROW()-107),"")</f>
        <v/>
      </c>
      <c r="D221" s="32">
        <f>IFERROR((C221-B221)*100,"")</f>
        <v/>
      </c>
      <c r="E221" s="32">
        <f>IFERROR(D221-D220,"")</f>
        <v/>
      </c>
      <c r="F221" s="32">
        <f>IFERROR(D220,"")</f>
        <v/>
      </c>
      <c r="G221" s="41">
        <f>IFERROR((D221-$C$24)/$C$25,"")</f>
        <v/>
      </c>
      <c r="H221" s="32">
        <f>IFERROR(D247-D221,"")</f>
        <v/>
      </c>
      <c r="I221" s="32">
        <f>IFERROR(D221-D217,"")</f>
        <v/>
      </c>
      <c r="J221" s="32">
        <f>IFERROR(D221-D208,"")</f>
        <v/>
      </c>
      <c r="K221">
        <f>IF(A221="","",$C$24)</f>
        <v/>
      </c>
      <c r="L221">
        <f>IF(A221="","",$C$24-$C$25)</f>
        <v/>
      </c>
      <c r="M221">
        <f>IF(A221="","",$C$24+$C$25)</f>
        <v/>
      </c>
    </row>
    <row r="222">
      <c r="A222" s="40">
        <f>IFERROR(INDEX($R$108:$R$388,ROW()-107),"")</f>
        <v/>
      </c>
      <c r="B222">
        <f>IFERROR(INDEX($S$108:$S$388,ROW()-107),"")</f>
        <v/>
      </c>
      <c r="C222">
        <f>IFERROR(INDEX($W$108:$W$388,ROW()-107),"")</f>
        <v/>
      </c>
      <c r="D222" s="32">
        <f>IFERROR((C222-B222)*100,"")</f>
        <v/>
      </c>
      <c r="E222" s="32">
        <f>IFERROR(D222-D221,"")</f>
        <v/>
      </c>
      <c r="F222" s="32">
        <f>IFERROR(D221,"")</f>
        <v/>
      </c>
      <c r="G222" s="41">
        <f>IFERROR((D222-$C$24)/$C$25,"")</f>
        <v/>
      </c>
      <c r="H222" s="32">
        <f>IFERROR(D248-D222,"")</f>
        <v/>
      </c>
      <c r="I222" s="32">
        <f>IFERROR(D222-D218,"")</f>
        <v/>
      </c>
      <c r="J222" s="32">
        <f>IFERROR(D222-D209,"")</f>
        <v/>
      </c>
      <c r="K222">
        <f>IF(A222="","",$C$24)</f>
        <v/>
      </c>
      <c r="L222">
        <f>IF(A222="","",$C$24-$C$25)</f>
        <v/>
      </c>
      <c r="M222">
        <f>IF(A222="","",$C$24+$C$25)</f>
        <v/>
      </c>
    </row>
    <row r="223">
      <c r="A223" s="40">
        <f>IFERROR(INDEX($R$108:$R$388,ROW()-107),"")</f>
        <v/>
      </c>
      <c r="B223">
        <f>IFERROR(INDEX($S$108:$S$388,ROW()-107),"")</f>
        <v/>
      </c>
      <c r="C223">
        <f>IFERROR(INDEX($W$108:$W$388,ROW()-107),"")</f>
        <v/>
      </c>
      <c r="D223" s="32">
        <f>IFERROR((C223-B223)*100,"")</f>
        <v/>
      </c>
      <c r="E223" s="32">
        <f>IFERROR(D223-D222,"")</f>
        <v/>
      </c>
      <c r="F223" s="32">
        <f>IFERROR(D222,"")</f>
        <v/>
      </c>
      <c r="G223" s="41">
        <f>IFERROR((D223-$C$24)/$C$25,"")</f>
        <v/>
      </c>
      <c r="H223" s="32">
        <f>IFERROR(D249-D223,"")</f>
        <v/>
      </c>
      <c r="I223" s="32">
        <f>IFERROR(D223-D219,"")</f>
        <v/>
      </c>
      <c r="J223" s="32">
        <f>IFERROR(D223-D210,"")</f>
        <v/>
      </c>
      <c r="K223">
        <f>IF(A223="","",$C$24)</f>
        <v/>
      </c>
      <c r="L223">
        <f>IF(A223="","",$C$24-$C$25)</f>
        <v/>
      </c>
      <c r="M223">
        <f>IF(A223="","",$C$24+$C$25)</f>
        <v/>
      </c>
    </row>
    <row r="224">
      <c r="A224" s="40">
        <f>IFERROR(INDEX($R$108:$R$388,ROW()-107),"")</f>
        <v/>
      </c>
      <c r="B224">
        <f>IFERROR(INDEX($S$108:$S$388,ROW()-107),"")</f>
        <v/>
      </c>
      <c r="C224">
        <f>IFERROR(INDEX($W$108:$W$388,ROW()-107),"")</f>
        <v/>
      </c>
      <c r="D224" s="32">
        <f>IFERROR((C224-B224)*100,"")</f>
        <v/>
      </c>
      <c r="E224" s="32">
        <f>IFERROR(D224-D223,"")</f>
        <v/>
      </c>
      <c r="F224" s="32">
        <f>IFERROR(D223,"")</f>
        <v/>
      </c>
      <c r="G224" s="41">
        <f>IFERROR((D224-$C$24)/$C$25,"")</f>
        <v/>
      </c>
      <c r="H224" s="32">
        <f>IFERROR(D250-D224,"")</f>
        <v/>
      </c>
      <c r="I224" s="32">
        <f>IFERROR(D224-D220,"")</f>
        <v/>
      </c>
      <c r="J224" s="32">
        <f>IFERROR(D224-D211,"")</f>
        <v/>
      </c>
      <c r="K224">
        <f>IF(A224="","",$C$24)</f>
        <v/>
      </c>
      <c r="L224">
        <f>IF(A224="","",$C$24-$C$25)</f>
        <v/>
      </c>
      <c r="M224">
        <f>IF(A224="","",$C$24+$C$25)</f>
        <v/>
      </c>
    </row>
    <row r="225">
      <c r="A225" s="40">
        <f>IFERROR(INDEX($R$108:$R$388,ROW()-107),"")</f>
        <v/>
      </c>
      <c r="B225">
        <f>IFERROR(INDEX($S$108:$S$388,ROW()-107),"")</f>
        <v/>
      </c>
      <c r="C225">
        <f>IFERROR(INDEX($W$108:$W$388,ROW()-107),"")</f>
        <v/>
      </c>
      <c r="D225" s="32">
        <f>IFERROR((C225-B225)*100,"")</f>
        <v/>
      </c>
      <c r="E225" s="32">
        <f>IFERROR(D225-D224,"")</f>
        <v/>
      </c>
      <c r="F225" s="32">
        <f>IFERROR(D224,"")</f>
        <v/>
      </c>
      <c r="G225" s="41">
        <f>IFERROR((D225-$C$24)/$C$25,"")</f>
        <v/>
      </c>
      <c r="H225" s="32">
        <f>IFERROR(D251-D225,"")</f>
        <v/>
      </c>
      <c r="I225" s="32">
        <f>IFERROR(D225-D221,"")</f>
        <v/>
      </c>
      <c r="J225" s="32">
        <f>IFERROR(D225-D212,"")</f>
        <v/>
      </c>
      <c r="K225">
        <f>IF(A225="","",$C$24)</f>
        <v/>
      </c>
      <c r="L225">
        <f>IF(A225="","",$C$24-$C$25)</f>
        <v/>
      </c>
      <c r="M225">
        <f>IF(A225="","",$C$24+$C$25)</f>
        <v/>
      </c>
    </row>
    <row r="226">
      <c r="A226" s="40">
        <f>IFERROR(INDEX($R$108:$R$388,ROW()-107),"")</f>
        <v/>
      </c>
      <c r="B226">
        <f>IFERROR(INDEX($S$108:$S$388,ROW()-107),"")</f>
        <v/>
      </c>
      <c r="C226">
        <f>IFERROR(INDEX($W$108:$W$388,ROW()-107),"")</f>
        <v/>
      </c>
      <c r="D226" s="32">
        <f>IFERROR((C226-B226)*100,"")</f>
        <v/>
      </c>
      <c r="E226" s="32">
        <f>IFERROR(D226-D225,"")</f>
        <v/>
      </c>
      <c r="F226" s="32">
        <f>IFERROR(D225,"")</f>
        <v/>
      </c>
      <c r="G226" s="41">
        <f>IFERROR((D226-$C$24)/$C$25,"")</f>
        <v/>
      </c>
      <c r="H226" s="32">
        <f>IFERROR(D252-D226,"")</f>
        <v/>
      </c>
      <c r="I226" s="32">
        <f>IFERROR(D226-D222,"")</f>
        <v/>
      </c>
      <c r="J226" s="32">
        <f>IFERROR(D226-D213,"")</f>
        <v/>
      </c>
      <c r="K226">
        <f>IF(A226="","",$C$24)</f>
        <v/>
      </c>
      <c r="L226">
        <f>IF(A226="","",$C$24-$C$25)</f>
        <v/>
      </c>
      <c r="M226">
        <f>IF(A226="","",$C$24+$C$25)</f>
        <v/>
      </c>
    </row>
    <row r="227">
      <c r="A227" s="40">
        <f>IFERROR(INDEX($R$108:$R$388,ROW()-107),"")</f>
        <v/>
      </c>
      <c r="B227">
        <f>IFERROR(INDEX($S$108:$S$388,ROW()-107),"")</f>
        <v/>
      </c>
      <c r="C227">
        <f>IFERROR(INDEX($W$108:$W$388,ROW()-107),"")</f>
        <v/>
      </c>
      <c r="D227" s="32">
        <f>IFERROR((C227-B227)*100,"")</f>
        <v/>
      </c>
      <c r="E227" s="32">
        <f>IFERROR(D227-D226,"")</f>
        <v/>
      </c>
      <c r="F227" s="32">
        <f>IFERROR(D226,"")</f>
        <v/>
      </c>
      <c r="G227" s="41">
        <f>IFERROR((D227-$C$24)/$C$25,"")</f>
        <v/>
      </c>
      <c r="H227" s="32">
        <f>IFERROR(D253-D227,"")</f>
        <v/>
      </c>
      <c r="I227" s="32">
        <f>IFERROR(D227-D223,"")</f>
        <v/>
      </c>
      <c r="J227" s="32">
        <f>IFERROR(D227-D214,"")</f>
        <v/>
      </c>
      <c r="K227">
        <f>IF(A227="","",$C$24)</f>
        <v/>
      </c>
      <c r="L227">
        <f>IF(A227="","",$C$24-$C$25)</f>
        <v/>
      </c>
      <c r="M227">
        <f>IF(A227="","",$C$24+$C$25)</f>
        <v/>
      </c>
    </row>
    <row r="228">
      <c r="A228" s="40">
        <f>IFERROR(INDEX($R$108:$R$388,ROW()-107),"")</f>
        <v/>
      </c>
      <c r="B228">
        <f>IFERROR(INDEX($S$108:$S$388,ROW()-107),"")</f>
        <v/>
      </c>
      <c r="C228">
        <f>IFERROR(INDEX($W$108:$W$388,ROW()-107),"")</f>
        <v/>
      </c>
      <c r="D228" s="32">
        <f>IFERROR((C228-B228)*100,"")</f>
        <v/>
      </c>
      <c r="E228" s="32">
        <f>IFERROR(D228-D227,"")</f>
        <v/>
      </c>
      <c r="F228" s="32">
        <f>IFERROR(D227,"")</f>
        <v/>
      </c>
      <c r="G228" s="41">
        <f>IFERROR((D228-$C$24)/$C$25,"")</f>
        <v/>
      </c>
      <c r="H228" s="32">
        <f>IFERROR(D254-D228,"")</f>
        <v/>
      </c>
      <c r="I228" s="32">
        <f>IFERROR(D228-D224,"")</f>
        <v/>
      </c>
      <c r="J228" s="32">
        <f>IFERROR(D228-D215,"")</f>
        <v/>
      </c>
      <c r="K228">
        <f>IF(A228="","",$C$24)</f>
        <v/>
      </c>
      <c r="L228">
        <f>IF(A228="","",$C$24-$C$25)</f>
        <v/>
      </c>
      <c r="M228">
        <f>IF(A228="","",$C$24+$C$25)</f>
        <v/>
      </c>
    </row>
    <row r="229">
      <c r="A229" s="40">
        <f>IFERROR(INDEX($R$108:$R$388,ROW()-107),"")</f>
        <v/>
      </c>
      <c r="B229">
        <f>IFERROR(INDEX($S$108:$S$388,ROW()-107),"")</f>
        <v/>
      </c>
      <c r="C229">
        <f>IFERROR(INDEX($W$108:$W$388,ROW()-107),"")</f>
        <v/>
      </c>
      <c r="D229" s="32">
        <f>IFERROR((C229-B229)*100,"")</f>
        <v/>
      </c>
      <c r="E229" s="32">
        <f>IFERROR(D229-D228,"")</f>
        <v/>
      </c>
      <c r="F229" s="32">
        <f>IFERROR(D228,"")</f>
        <v/>
      </c>
      <c r="G229" s="41">
        <f>IFERROR((D229-$C$24)/$C$25,"")</f>
        <v/>
      </c>
      <c r="H229" s="32">
        <f>IFERROR(D255-D229,"")</f>
        <v/>
      </c>
      <c r="I229" s="32">
        <f>IFERROR(D229-D225,"")</f>
        <v/>
      </c>
      <c r="J229" s="32">
        <f>IFERROR(D229-D216,"")</f>
        <v/>
      </c>
      <c r="K229">
        <f>IF(A229="","",$C$24)</f>
        <v/>
      </c>
      <c r="L229">
        <f>IF(A229="","",$C$24-$C$25)</f>
        <v/>
      </c>
      <c r="M229">
        <f>IF(A229="","",$C$24+$C$25)</f>
        <v/>
      </c>
    </row>
    <row r="230">
      <c r="A230" s="40">
        <f>IFERROR(INDEX($R$108:$R$388,ROW()-107),"")</f>
        <v/>
      </c>
      <c r="B230">
        <f>IFERROR(INDEX($S$108:$S$388,ROW()-107),"")</f>
        <v/>
      </c>
      <c r="C230">
        <f>IFERROR(INDEX($W$108:$W$388,ROW()-107),"")</f>
        <v/>
      </c>
      <c r="D230" s="32">
        <f>IFERROR((C230-B230)*100,"")</f>
        <v/>
      </c>
      <c r="E230" s="32">
        <f>IFERROR(D230-D229,"")</f>
        <v/>
      </c>
      <c r="F230" s="32">
        <f>IFERROR(D229,"")</f>
        <v/>
      </c>
      <c r="G230" s="41">
        <f>IFERROR((D230-$C$24)/$C$25,"")</f>
        <v/>
      </c>
      <c r="H230" s="32">
        <f>IFERROR(D256-D230,"")</f>
        <v/>
      </c>
      <c r="I230" s="32">
        <f>IFERROR(D230-D226,"")</f>
        <v/>
      </c>
      <c r="J230" s="32">
        <f>IFERROR(D230-D217,"")</f>
        <v/>
      </c>
      <c r="K230">
        <f>IF(A230="","",$C$24)</f>
        <v/>
      </c>
      <c r="L230">
        <f>IF(A230="","",$C$24-$C$25)</f>
        <v/>
      </c>
      <c r="M230">
        <f>IF(A230="","",$C$24+$C$25)</f>
        <v/>
      </c>
    </row>
    <row r="231">
      <c r="A231" s="40">
        <f>IFERROR(INDEX($R$108:$R$388,ROW()-107),"")</f>
        <v/>
      </c>
      <c r="B231">
        <f>IFERROR(INDEX($S$108:$S$388,ROW()-107),"")</f>
        <v/>
      </c>
      <c r="C231">
        <f>IFERROR(INDEX($W$108:$W$388,ROW()-107),"")</f>
        <v/>
      </c>
      <c r="D231" s="32">
        <f>IFERROR((C231-B231)*100,"")</f>
        <v/>
      </c>
      <c r="E231" s="32">
        <f>IFERROR(D231-D230,"")</f>
        <v/>
      </c>
      <c r="F231" s="32">
        <f>IFERROR(D230,"")</f>
        <v/>
      </c>
      <c r="G231" s="41">
        <f>IFERROR((D231-$C$24)/$C$25,"")</f>
        <v/>
      </c>
      <c r="H231" s="32">
        <f>IFERROR(D257-D231,"")</f>
        <v/>
      </c>
      <c r="I231" s="32">
        <f>IFERROR(D231-D227,"")</f>
        <v/>
      </c>
      <c r="J231" s="32">
        <f>IFERROR(D231-D218,"")</f>
        <v/>
      </c>
      <c r="K231">
        <f>IF(A231="","",$C$24)</f>
        <v/>
      </c>
      <c r="L231">
        <f>IF(A231="","",$C$24-$C$25)</f>
        <v/>
      </c>
      <c r="M231">
        <f>IF(A231="","",$C$24+$C$25)</f>
        <v/>
      </c>
    </row>
    <row r="232">
      <c r="A232" s="40">
        <f>IFERROR(INDEX($R$108:$R$388,ROW()-107),"")</f>
        <v/>
      </c>
      <c r="B232">
        <f>IFERROR(INDEX($S$108:$S$388,ROW()-107),"")</f>
        <v/>
      </c>
      <c r="C232">
        <f>IFERROR(INDEX($W$108:$W$388,ROW()-107),"")</f>
        <v/>
      </c>
      <c r="D232" s="32">
        <f>IFERROR((C232-B232)*100,"")</f>
        <v/>
      </c>
      <c r="E232" s="32">
        <f>IFERROR(D232-D231,"")</f>
        <v/>
      </c>
      <c r="F232" s="32">
        <f>IFERROR(D231,"")</f>
        <v/>
      </c>
      <c r="G232" s="41">
        <f>IFERROR((D232-$C$24)/$C$25,"")</f>
        <v/>
      </c>
      <c r="H232" s="32">
        <f>IFERROR(D258-D232,"")</f>
        <v/>
      </c>
      <c r="I232" s="32">
        <f>IFERROR(D232-D228,"")</f>
        <v/>
      </c>
      <c r="J232" s="32">
        <f>IFERROR(D232-D219,"")</f>
        <v/>
      </c>
      <c r="K232">
        <f>IF(A232="","",$C$24)</f>
        <v/>
      </c>
      <c r="L232">
        <f>IF(A232="","",$C$24-$C$25)</f>
        <v/>
      </c>
      <c r="M232">
        <f>IF(A232="","",$C$24+$C$25)</f>
        <v/>
      </c>
    </row>
    <row r="233">
      <c r="A233" s="40">
        <f>IFERROR(INDEX($R$108:$R$388,ROW()-107),"")</f>
        <v/>
      </c>
      <c r="B233">
        <f>IFERROR(INDEX($S$108:$S$388,ROW()-107),"")</f>
        <v/>
      </c>
      <c r="C233">
        <f>IFERROR(INDEX($W$108:$W$388,ROW()-107),"")</f>
        <v/>
      </c>
      <c r="D233" s="32">
        <f>IFERROR((C233-B233)*100,"")</f>
        <v/>
      </c>
      <c r="E233" s="32">
        <f>IFERROR(D233-D232,"")</f>
        <v/>
      </c>
      <c r="F233" s="32">
        <f>IFERROR(D232,"")</f>
        <v/>
      </c>
      <c r="G233" s="41">
        <f>IFERROR((D233-$C$24)/$C$25,"")</f>
        <v/>
      </c>
      <c r="H233" s="32">
        <f>IFERROR(D259-D233,"")</f>
        <v/>
      </c>
      <c r="I233" s="32">
        <f>IFERROR(D233-D229,"")</f>
        <v/>
      </c>
      <c r="J233" s="32">
        <f>IFERROR(D233-D220,"")</f>
        <v/>
      </c>
      <c r="K233">
        <f>IF(A233="","",$C$24)</f>
        <v/>
      </c>
      <c r="L233">
        <f>IF(A233="","",$C$24-$C$25)</f>
        <v/>
      </c>
      <c r="M233">
        <f>IF(A233="","",$C$24+$C$25)</f>
        <v/>
      </c>
    </row>
    <row r="234">
      <c r="A234" s="40">
        <f>IFERROR(INDEX($R$108:$R$388,ROW()-107),"")</f>
        <v/>
      </c>
      <c r="B234">
        <f>IFERROR(INDEX($S$108:$S$388,ROW()-107),"")</f>
        <v/>
      </c>
      <c r="C234">
        <f>IFERROR(INDEX($W$108:$W$388,ROW()-107),"")</f>
        <v/>
      </c>
      <c r="D234" s="32">
        <f>IFERROR((C234-B234)*100,"")</f>
        <v/>
      </c>
      <c r="E234" s="32">
        <f>IFERROR(D234-D233,"")</f>
        <v/>
      </c>
      <c r="F234" s="32">
        <f>IFERROR(D233,"")</f>
        <v/>
      </c>
      <c r="G234" s="41">
        <f>IFERROR((D234-$C$24)/$C$25,"")</f>
        <v/>
      </c>
      <c r="H234" s="32">
        <f>IFERROR(D260-D234,"")</f>
        <v/>
      </c>
      <c r="I234" s="32">
        <f>IFERROR(D234-D230,"")</f>
        <v/>
      </c>
      <c r="J234" s="32">
        <f>IFERROR(D234-D221,"")</f>
        <v/>
      </c>
      <c r="K234">
        <f>IF(A234="","",$C$24)</f>
        <v/>
      </c>
      <c r="L234">
        <f>IF(A234="","",$C$24-$C$25)</f>
        <v/>
      </c>
      <c r="M234">
        <f>IF(A234="","",$C$24+$C$25)</f>
        <v/>
      </c>
    </row>
    <row r="235">
      <c r="A235" s="40">
        <f>IFERROR(INDEX($R$108:$R$388,ROW()-107),"")</f>
        <v/>
      </c>
      <c r="B235">
        <f>IFERROR(INDEX($S$108:$S$388,ROW()-107),"")</f>
        <v/>
      </c>
      <c r="C235">
        <f>IFERROR(INDEX($W$108:$W$388,ROW()-107),"")</f>
        <v/>
      </c>
      <c r="D235" s="32">
        <f>IFERROR((C235-B235)*100,"")</f>
        <v/>
      </c>
      <c r="E235" s="32">
        <f>IFERROR(D235-D234,"")</f>
        <v/>
      </c>
      <c r="F235" s="32">
        <f>IFERROR(D234,"")</f>
        <v/>
      </c>
      <c r="G235" s="41">
        <f>IFERROR((D235-$C$24)/$C$25,"")</f>
        <v/>
      </c>
      <c r="H235" s="32">
        <f>IFERROR(D261-D235,"")</f>
        <v/>
      </c>
      <c r="I235" s="32">
        <f>IFERROR(D235-D231,"")</f>
        <v/>
      </c>
      <c r="J235" s="32">
        <f>IFERROR(D235-D222,"")</f>
        <v/>
      </c>
      <c r="K235">
        <f>IF(A235="","",$C$24)</f>
        <v/>
      </c>
      <c r="L235">
        <f>IF(A235="","",$C$24-$C$25)</f>
        <v/>
      </c>
      <c r="M235">
        <f>IF(A235="","",$C$24+$C$25)</f>
        <v/>
      </c>
    </row>
    <row r="236">
      <c r="A236" s="40">
        <f>IFERROR(INDEX($R$108:$R$388,ROW()-107),"")</f>
        <v/>
      </c>
      <c r="B236">
        <f>IFERROR(INDEX($S$108:$S$388,ROW()-107),"")</f>
        <v/>
      </c>
      <c r="C236">
        <f>IFERROR(INDEX($W$108:$W$388,ROW()-107),"")</f>
        <v/>
      </c>
      <c r="D236" s="32">
        <f>IFERROR((C236-B236)*100,"")</f>
        <v/>
      </c>
      <c r="E236" s="32">
        <f>IFERROR(D236-D235,"")</f>
        <v/>
      </c>
      <c r="F236" s="32">
        <f>IFERROR(D235,"")</f>
        <v/>
      </c>
      <c r="G236" s="41">
        <f>IFERROR((D236-$C$24)/$C$25,"")</f>
        <v/>
      </c>
      <c r="H236" s="32">
        <f>IFERROR(D262-D236,"")</f>
        <v/>
      </c>
      <c r="I236" s="32">
        <f>IFERROR(D236-D232,"")</f>
        <v/>
      </c>
      <c r="J236" s="32">
        <f>IFERROR(D236-D223,"")</f>
        <v/>
      </c>
      <c r="K236">
        <f>IF(A236="","",$C$24)</f>
        <v/>
      </c>
      <c r="L236">
        <f>IF(A236="","",$C$24-$C$25)</f>
        <v/>
      </c>
      <c r="M236">
        <f>IF(A236="","",$C$24+$C$25)</f>
        <v/>
      </c>
    </row>
    <row r="237">
      <c r="A237" s="40">
        <f>IFERROR(INDEX($R$108:$R$388,ROW()-107),"")</f>
        <v/>
      </c>
      <c r="B237">
        <f>IFERROR(INDEX($S$108:$S$388,ROW()-107),"")</f>
        <v/>
      </c>
      <c r="C237">
        <f>IFERROR(INDEX($W$108:$W$388,ROW()-107),"")</f>
        <v/>
      </c>
      <c r="D237" s="32">
        <f>IFERROR((C237-B237)*100,"")</f>
        <v/>
      </c>
      <c r="E237" s="32">
        <f>IFERROR(D237-D236,"")</f>
        <v/>
      </c>
      <c r="F237" s="32">
        <f>IFERROR(D236,"")</f>
        <v/>
      </c>
      <c r="G237" s="41">
        <f>IFERROR((D237-$C$24)/$C$25,"")</f>
        <v/>
      </c>
      <c r="H237" s="32">
        <f>IFERROR(D263-D237,"")</f>
        <v/>
      </c>
      <c r="I237" s="32">
        <f>IFERROR(D237-D233,"")</f>
        <v/>
      </c>
      <c r="J237" s="32">
        <f>IFERROR(D237-D224,"")</f>
        <v/>
      </c>
      <c r="K237">
        <f>IF(A237="","",$C$24)</f>
        <v/>
      </c>
      <c r="L237">
        <f>IF(A237="","",$C$24-$C$25)</f>
        <v/>
      </c>
      <c r="M237">
        <f>IF(A237="","",$C$24+$C$25)</f>
        <v/>
      </c>
    </row>
    <row r="238">
      <c r="A238" s="40">
        <f>IFERROR(INDEX($R$108:$R$388,ROW()-107),"")</f>
        <v/>
      </c>
      <c r="B238">
        <f>IFERROR(INDEX($S$108:$S$388,ROW()-107),"")</f>
        <v/>
      </c>
      <c r="C238">
        <f>IFERROR(INDEX($W$108:$W$388,ROW()-107),"")</f>
        <v/>
      </c>
      <c r="D238" s="32">
        <f>IFERROR((C238-B238)*100,"")</f>
        <v/>
      </c>
      <c r="E238" s="32">
        <f>IFERROR(D238-D237,"")</f>
        <v/>
      </c>
      <c r="F238" s="32">
        <f>IFERROR(D237,"")</f>
        <v/>
      </c>
      <c r="G238" s="41">
        <f>IFERROR((D238-$C$24)/$C$25,"")</f>
        <v/>
      </c>
      <c r="H238" s="32">
        <f>IFERROR(D264-D238,"")</f>
        <v/>
      </c>
      <c r="I238" s="32">
        <f>IFERROR(D238-D234,"")</f>
        <v/>
      </c>
      <c r="J238" s="32">
        <f>IFERROR(D238-D225,"")</f>
        <v/>
      </c>
      <c r="K238">
        <f>IF(A238="","",$C$24)</f>
        <v/>
      </c>
      <c r="L238">
        <f>IF(A238="","",$C$24-$C$25)</f>
        <v/>
      </c>
      <c r="M238">
        <f>IF(A238="","",$C$24+$C$25)</f>
        <v/>
      </c>
    </row>
    <row r="239">
      <c r="A239" s="40">
        <f>IFERROR(INDEX($R$108:$R$388,ROW()-107),"")</f>
        <v/>
      </c>
      <c r="B239">
        <f>IFERROR(INDEX($S$108:$S$388,ROW()-107),"")</f>
        <v/>
      </c>
      <c r="C239">
        <f>IFERROR(INDEX($W$108:$W$388,ROW()-107),"")</f>
        <v/>
      </c>
      <c r="D239" s="32">
        <f>IFERROR((C239-B239)*100,"")</f>
        <v/>
      </c>
      <c r="E239" s="32">
        <f>IFERROR(D239-D238,"")</f>
        <v/>
      </c>
      <c r="F239" s="32">
        <f>IFERROR(D238,"")</f>
        <v/>
      </c>
      <c r="G239" s="41">
        <f>IFERROR((D239-$C$24)/$C$25,"")</f>
        <v/>
      </c>
      <c r="H239" s="32">
        <f>IFERROR(D265-D239,"")</f>
        <v/>
      </c>
      <c r="I239" s="32">
        <f>IFERROR(D239-D235,"")</f>
        <v/>
      </c>
      <c r="J239" s="32">
        <f>IFERROR(D239-D226,"")</f>
        <v/>
      </c>
      <c r="K239">
        <f>IF(A239="","",$C$24)</f>
        <v/>
      </c>
      <c r="L239">
        <f>IF(A239="","",$C$24-$C$25)</f>
        <v/>
      </c>
      <c r="M239">
        <f>IF(A239="","",$C$24+$C$25)</f>
        <v/>
      </c>
    </row>
    <row r="240">
      <c r="A240" s="40">
        <f>IFERROR(INDEX($R$108:$R$388,ROW()-107),"")</f>
        <v/>
      </c>
      <c r="B240">
        <f>IFERROR(INDEX($S$108:$S$388,ROW()-107),"")</f>
        <v/>
      </c>
      <c r="C240">
        <f>IFERROR(INDEX($W$108:$W$388,ROW()-107),"")</f>
        <v/>
      </c>
      <c r="D240" s="32">
        <f>IFERROR((C240-B240)*100,"")</f>
        <v/>
      </c>
      <c r="E240" s="32">
        <f>IFERROR(D240-D239,"")</f>
        <v/>
      </c>
      <c r="F240" s="32">
        <f>IFERROR(D239,"")</f>
        <v/>
      </c>
      <c r="G240" s="41">
        <f>IFERROR((D240-$C$24)/$C$25,"")</f>
        <v/>
      </c>
      <c r="H240" s="32">
        <f>IFERROR(D266-D240,"")</f>
        <v/>
      </c>
      <c r="I240" s="32">
        <f>IFERROR(D240-D236,"")</f>
        <v/>
      </c>
      <c r="J240" s="32">
        <f>IFERROR(D240-D227,"")</f>
        <v/>
      </c>
      <c r="K240">
        <f>IF(A240="","",$C$24)</f>
        <v/>
      </c>
      <c r="L240">
        <f>IF(A240="","",$C$24-$C$25)</f>
        <v/>
      </c>
      <c r="M240">
        <f>IF(A240="","",$C$24+$C$25)</f>
        <v/>
      </c>
    </row>
    <row r="241">
      <c r="A241" s="40">
        <f>IFERROR(INDEX($R$108:$R$388,ROW()-107),"")</f>
        <v/>
      </c>
      <c r="B241">
        <f>IFERROR(INDEX($S$108:$S$388,ROW()-107),"")</f>
        <v/>
      </c>
      <c r="C241">
        <f>IFERROR(INDEX($W$108:$W$388,ROW()-107),"")</f>
        <v/>
      </c>
      <c r="D241" s="32">
        <f>IFERROR((C241-B241)*100,"")</f>
        <v/>
      </c>
      <c r="E241" s="32">
        <f>IFERROR(D241-D240,"")</f>
        <v/>
      </c>
      <c r="F241" s="32">
        <f>IFERROR(D240,"")</f>
        <v/>
      </c>
      <c r="G241" s="41">
        <f>IFERROR((D241-$C$24)/$C$25,"")</f>
        <v/>
      </c>
      <c r="H241" s="32">
        <f>IFERROR(D267-D241,"")</f>
        <v/>
      </c>
      <c r="I241" s="32">
        <f>IFERROR(D241-D237,"")</f>
        <v/>
      </c>
      <c r="J241" s="32">
        <f>IFERROR(D241-D228,"")</f>
        <v/>
      </c>
      <c r="K241">
        <f>IF(A241="","",$C$24)</f>
        <v/>
      </c>
      <c r="L241">
        <f>IF(A241="","",$C$24-$C$25)</f>
        <v/>
      </c>
      <c r="M241">
        <f>IF(A241="","",$C$24+$C$25)</f>
        <v/>
      </c>
    </row>
    <row r="242">
      <c r="A242" s="40">
        <f>IFERROR(INDEX($R$108:$R$388,ROW()-107),"")</f>
        <v/>
      </c>
      <c r="B242">
        <f>IFERROR(INDEX($S$108:$S$388,ROW()-107),"")</f>
        <v/>
      </c>
      <c r="C242">
        <f>IFERROR(INDEX($W$108:$W$388,ROW()-107),"")</f>
        <v/>
      </c>
      <c r="D242" s="32">
        <f>IFERROR((C242-B242)*100,"")</f>
        <v/>
      </c>
      <c r="E242" s="32">
        <f>IFERROR(D242-D241,"")</f>
        <v/>
      </c>
      <c r="F242" s="32">
        <f>IFERROR(D241,"")</f>
        <v/>
      </c>
      <c r="G242" s="41">
        <f>IFERROR((D242-$C$24)/$C$25,"")</f>
        <v/>
      </c>
      <c r="H242" s="32">
        <f>IFERROR(D268-D242,"")</f>
        <v/>
      </c>
      <c r="I242" s="32">
        <f>IFERROR(D242-D238,"")</f>
        <v/>
      </c>
      <c r="J242" s="32">
        <f>IFERROR(D242-D229,"")</f>
        <v/>
      </c>
      <c r="K242">
        <f>IF(A242="","",$C$24)</f>
        <v/>
      </c>
      <c r="L242">
        <f>IF(A242="","",$C$24-$C$25)</f>
        <v/>
      </c>
      <c r="M242">
        <f>IF(A242="","",$C$24+$C$25)</f>
        <v/>
      </c>
    </row>
    <row r="243">
      <c r="A243" s="40">
        <f>IFERROR(INDEX($R$108:$R$388,ROW()-107),"")</f>
        <v/>
      </c>
      <c r="B243">
        <f>IFERROR(INDEX($S$108:$S$388,ROW()-107),"")</f>
        <v/>
      </c>
      <c r="C243">
        <f>IFERROR(INDEX($W$108:$W$388,ROW()-107),"")</f>
        <v/>
      </c>
      <c r="D243" s="32">
        <f>IFERROR((C243-B243)*100,"")</f>
        <v/>
      </c>
      <c r="E243" s="32">
        <f>IFERROR(D243-D242,"")</f>
        <v/>
      </c>
      <c r="F243" s="32">
        <f>IFERROR(D242,"")</f>
        <v/>
      </c>
      <c r="G243" s="41">
        <f>IFERROR((D243-$C$24)/$C$25,"")</f>
        <v/>
      </c>
      <c r="H243" s="32">
        <f>IFERROR(D269-D243,"")</f>
        <v/>
      </c>
      <c r="I243" s="32">
        <f>IFERROR(D243-D239,"")</f>
        <v/>
      </c>
      <c r="J243" s="32">
        <f>IFERROR(D243-D230,"")</f>
        <v/>
      </c>
      <c r="K243">
        <f>IF(A243="","",$C$24)</f>
        <v/>
      </c>
      <c r="L243">
        <f>IF(A243="","",$C$24-$C$25)</f>
        <v/>
      </c>
      <c r="M243">
        <f>IF(A243="","",$C$24+$C$25)</f>
        <v/>
      </c>
    </row>
    <row r="244">
      <c r="A244" s="40">
        <f>IFERROR(INDEX($R$108:$R$388,ROW()-107),"")</f>
        <v/>
      </c>
      <c r="B244">
        <f>IFERROR(INDEX($S$108:$S$388,ROW()-107),"")</f>
        <v/>
      </c>
      <c r="C244">
        <f>IFERROR(INDEX($W$108:$W$388,ROW()-107),"")</f>
        <v/>
      </c>
      <c r="D244" s="32">
        <f>IFERROR((C244-B244)*100,"")</f>
        <v/>
      </c>
      <c r="E244" s="32">
        <f>IFERROR(D244-D243,"")</f>
        <v/>
      </c>
      <c r="F244" s="32">
        <f>IFERROR(D243,"")</f>
        <v/>
      </c>
      <c r="G244" s="41">
        <f>IFERROR((D244-$C$24)/$C$25,"")</f>
        <v/>
      </c>
      <c r="H244" s="32">
        <f>IFERROR(D270-D244,"")</f>
        <v/>
      </c>
      <c r="I244" s="32">
        <f>IFERROR(D244-D240,"")</f>
        <v/>
      </c>
      <c r="J244" s="32">
        <f>IFERROR(D244-D231,"")</f>
        <v/>
      </c>
      <c r="K244">
        <f>IF(A244="","",$C$24)</f>
        <v/>
      </c>
      <c r="L244">
        <f>IF(A244="","",$C$24-$C$25)</f>
        <v/>
      </c>
      <c r="M244">
        <f>IF(A244="","",$C$24+$C$25)</f>
        <v/>
      </c>
    </row>
    <row r="245">
      <c r="A245" s="40">
        <f>IFERROR(INDEX($R$108:$R$388,ROW()-107),"")</f>
        <v/>
      </c>
      <c r="B245">
        <f>IFERROR(INDEX($S$108:$S$388,ROW()-107),"")</f>
        <v/>
      </c>
      <c r="C245">
        <f>IFERROR(INDEX($W$108:$W$388,ROW()-107),"")</f>
        <v/>
      </c>
      <c r="D245" s="32">
        <f>IFERROR((C245-B245)*100,"")</f>
        <v/>
      </c>
      <c r="E245" s="32">
        <f>IFERROR(D245-D244,"")</f>
        <v/>
      </c>
      <c r="F245" s="32">
        <f>IFERROR(D244,"")</f>
        <v/>
      </c>
      <c r="G245" s="41">
        <f>IFERROR((D245-$C$24)/$C$25,"")</f>
        <v/>
      </c>
      <c r="H245" s="32">
        <f>IFERROR(D271-D245,"")</f>
        <v/>
      </c>
      <c r="I245" s="32">
        <f>IFERROR(D245-D241,"")</f>
        <v/>
      </c>
      <c r="J245" s="32">
        <f>IFERROR(D245-D232,"")</f>
        <v/>
      </c>
      <c r="K245">
        <f>IF(A245="","",$C$24)</f>
        <v/>
      </c>
      <c r="L245">
        <f>IF(A245="","",$C$24-$C$25)</f>
        <v/>
      </c>
      <c r="M245">
        <f>IF(A245="","",$C$24+$C$25)</f>
        <v/>
      </c>
    </row>
    <row r="246">
      <c r="A246" s="40">
        <f>IFERROR(INDEX($R$108:$R$388,ROW()-107),"")</f>
        <v/>
      </c>
      <c r="B246">
        <f>IFERROR(INDEX($S$108:$S$388,ROW()-107),"")</f>
        <v/>
      </c>
      <c r="C246">
        <f>IFERROR(INDEX($W$108:$W$388,ROW()-107),"")</f>
        <v/>
      </c>
      <c r="D246" s="32">
        <f>IFERROR((C246-B246)*100,"")</f>
        <v/>
      </c>
      <c r="E246" s="32">
        <f>IFERROR(D246-D245,"")</f>
        <v/>
      </c>
      <c r="F246" s="32">
        <f>IFERROR(D245,"")</f>
        <v/>
      </c>
      <c r="G246" s="41">
        <f>IFERROR((D246-$C$24)/$C$25,"")</f>
        <v/>
      </c>
      <c r="H246" s="32">
        <f>IFERROR(D272-D246,"")</f>
        <v/>
      </c>
      <c r="I246" s="32">
        <f>IFERROR(D246-D242,"")</f>
        <v/>
      </c>
      <c r="J246" s="32">
        <f>IFERROR(D246-D233,"")</f>
        <v/>
      </c>
      <c r="K246">
        <f>IF(A246="","",$C$24)</f>
        <v/>
      </c>
      <c r="L246">
        <f>IF(A246="","",$C$24-$C$25)</f>
        <v/>
      </c>
      <c r="M246">
        <f>IF(A246="","",$C$24+$C$25)</f>
        <v/>
      </c>
    </row>
    <row r="247">
      <c r="A247" s="40">
        <f>IFERROR(INDEX($R$108:$R$388,ROW()-107),"")</f>
        <v/>
      </c>
      <c r="B247">
        <f>IFERROR(INDEX($S$108:$S$388,ROW()-107),"")</f>
        <v/>
      </c>
      <c r="C247">
        <f>IFERROR(INDEX($W$108:$W$388,ROW()-107),"")</f>
        <v/>
      </c>
      <c r="D247" s="32">
        <f>IFERROR((C247-B247)*100,"")</f>
        <v/>
      </c>
      <c r="E247" s="32">
        <f>IFERROR(D247-D246,"")</f>
        <v/>
      </c>
      <c r="F247" s="32">
        <f>IFERROR(D246,"")</f>
        <v/>
      </c>
      <c r="G247" s="41">
        <f>IFERROR((D247-$C$24)/$C$25,"")</f>
        <v/>
      </c>
      <c r="H247" s="32">
        <f>IFERROR(D273-D247,"")</f>
        <v/>
      </c>
      <c r="I247" s="32">
        <f>IFERROR(D247-D243,"")</f>
        <v/>
      </c>
      <c r="J247" s="32">
        <f>IFERROR(D247-D234,"")</f>
        <v/>
      </c>
      <c r="K247">
        <f>IF(A247="","",$C$24)</f>
        <v/>
      </c>
      <c r="L247">
        <f>IF(A247="","",$C$24-$C$25)</f>
        <v/>
      </c>
      <c r="M247">
        <f>IF(A247="","",$C$24+$C$25)</f>
        <v/>
      </c>
    </row>
    <row r="248">
      <c r="A248" s="40">
        <f>IFERROR(INDEX($R$108:$R$388,ROW()-107),"")</f>
        <v/>
      </c>
      <c r="B248">
        <f>IFERROR(INDEX($S$108:$S$388,ROW()-107),"")</f>
        <v/>
      </c>
      <c r="C248">
        <f>IFERROR(INDEX($W$108:$W$388,ROW()-107),"")</f>
        <v/>
      </c>
      <c r="D248" s="32">
        <f>IFERROR((C248-B248)*100,"")</f>
        <v/>
      </c>
      <c r="E248" s="32">
        <f>IFERROR(D248-D247,"")</f>
        <v/>
      </c>
      <c r="F248" s="32">
        <f>IFERROR(D247,"")</f>
        <v/>
      </c>
      <c r="G248" s="41">
        <f>IFERROR((D248-$C$24)/$C$25,"")</f>
        <v/>
      </c>
      <c r="H248" s="32">
        <f>IFERROR(D274-D248,"")</f>
        <v/>
      </c>
      <c r="I248" s="32">
        <f>IFERROR(D248-D244,"")</f>
        <v/>
      </c>
      <c r="J248" s="32">
        <f>IFERROR(D248-D235,"")</f>
        <v/>
      </c>
      <c r="K248">
        <f>IF(A248="","",$C$24)</f>
        <v/>
      </c>
      <c r="L248">
        <f>IF(A248="","",$C$24-$C$25)</f>
        <v/>
      </c>
      <c r="M248">
        <f>IF(A248="","",$C$24+$C$25)</f>
        <v/>
      </c>
    </row>
    <row r="249">
      <c r="A249" s="40">
        <f>IFERROR(INDEX($R$108:$R$388,ROW()-107),"")</f>
        <v/>
      </c>
      <c r="B249">
        <f>IFERROR(INDEX($S$108:$S$388,ROW()-107),"")</f>
        <v/>
      </c>
      <c r="C249">
        <f>IFERROR(INDEX($W$108:$W$388,ROW()-107),"")</f>
        <v/>
      </c>
      <c r="D249" s="32">
        <f>IFERROR((C249-B249)*100,"")</f>
        <v/>
      </c>
      <c r="E249" s="32">
        <f>IFERROR(D249-D248,"")</f>
        <v/>
      </c>
      <c r="F249" s="32">
        <f>IFERROR(D248,"")</f>
        <v/>
      </c>
      <c r="G249" s="41">
        <f>IFERROR((D249-$C$24)/$C$25,"")</f>
        <v/>
      </c>
      <c r="H249" s="32">
        <f>IFERROR(D275-D249,"")</f>
        <v/>
      </c>
      <c r="I249" s="32">
        <f>IFERROR(D249-D245,"")</f>
        <v/>
      </c>
      <c r="J249" s="32">
        <f>IFERROR(D249-D236,"")</f>
        <v/>
      </c>
      <c r="K249">
        <f>IF(A249="","",$C$24)</f>
        <v/>
      </c>
      <c r="L249">
        <f>IF(A249="","",$C$24-$C$25)</f>
        <v/>
      </c>
      <c r="M249">
        <f>IF(A249="","",$C$24+$C$25)</f>
        <v/>
      </c>
    </row>
    <row r="250">
      <c r="A250" s="40">
        <f>IFERROR(INDEX($R$108:$R$388,ROW()-107),"")</f>
        <v/>
      </c>
      <c r="B250">
        <f>IFERROR(INDEX($S$108:$S$388,ROW()-107),"")</f>
        <v/>
      </c>
      <c r="C250">
        <f>IFERROR(INDEX($W$108:$W$388,ROW()-107),"")</f>
        <v/>
      </c>
      <c r="D250" s="32">
        <f>IFERROR((C250-B250)*100,"")</f>
        <v/>
      </c>
      <c r="E250" s="32">
        <f>IFERROR(D250-D249,"")</f>
        <v/>
      </c>
      <c r="F250" s="32">
        <f>IFERROR(D249,"")</f>
        <v/>
      </c>
      <c r="G250" s="41">
        <f>IFERROR((D250-$C$24)/$C$25,"")</f>
        <v/>
      </c>
      <c r="H250" s="32">
        <f>IFERROR(D276-D250,"")</f>
        <v/>
      </c>
      <c r="I250" s="32">
        <f>IFERROR(D250-D246,"")</f>
        <v/>
      </c>
      <c r="J250" s="32">
        <f>IFERROR(D250-D237,"")</f>
        <v/>
      </c>
      <c r="K250">
        <f>IF(A250="","",$C$24)</f>
        <v/>
      </c>
      <c r="L250">
        <f>IF(A250="","",$C$24-$C$25)</f>
        <v/>
      </c>
      <c r="M250">
        <f>IF(A250="","",$C$24+$C$25)</f>
        <v/>
      </c>
    </row>
    <row r="251">
      <c r="A251" s="40">
        <f>IFERROR(INDEX($R$108:$R$388,ROW()-107),"")</f>
        <v/>
      </c>
      <c r="B251">
        <f>IFERROR(INDEX($S$108:$S$388,ROW()-107),"")</f>
        <v/>
      </c>
      <c r="C251">
        <f>IFERROR(INDEX($W$108:$W$388,ROW()-107),"")</f>
        <v/>
      </c>
      <c r="D251" s="32">
        <f>IFERROR((C251-B251)*100,"")</f>
        <v/>
      </c>
      <c r="E251" s="32">
        <f>IFERROR(D251-D250,"")</f>
        <v/>
      </c>
      <c r="F251" s="32">
        <f>IFERROR(D250,"")</f>
        <v/>
      </c>
      <c r="G251" s="41">
        <f>IFERROR((D251-$C$24)/$C$25,"")</f>
        <v/>
      </c>
      <c r="H251" s="32">
        <f>IFERROR(D277-D251,"")</f>
        <v/>
      </c>
      <c r="I251" s="32">
        <f>IFERROR(D251-D247,"")</f>
        <v/>
      </c>
      <c r="J251" s="32">
        <f>IFERROR(D251-D238,"")</f>
        <v/>
      </c>
      <c r="K251">
        <f>IF(A251="","",$C$24)</f>
        <v/>
      </c>
      <c r="L251">
        <f>IF(A251="","",$C$24-$C$25)</f>
        <v/>
      </c>
      <c r="M251">
        <f>IF(A251="","",$C$24+$C$25)</f>
        <v/>
      </c>
    </row>
    <row r="252">
      <c r="A252" s="40">
        <f>IFERROR(INDEX($R$108:$R$388,ROW()-107),"")</f>
        <v/>
      </c>
      <c r="B252">
        <f>IFERROR(INDEX($S$108:$S$388,ROW()-107),"")</f>
        <v/>
      </c>
      <c r="C252">
        <f>IFERROR(INDEX($W$108:$W$388,ROW()-107),"")</f>
        <v/>
      </c>
      <c r="D252" s="32">
        <f>IFERROR((C252-B252)*100,"")</f>
        <v/>
      </c>
      <c r="E252" s="32">
        <f>IFERROR(D252-D251,"")</f>
        <v/>
      </c>
      <c r="F252" s="32">
        <f>IFERROR(D251,"")</f>
        <v/>
      </c>
      <c r="G252" s="41">
        <f>IFERROR((D252-$C$24)/$C$25,"")</f>
        <v/>
      </c>
      <c r="H252" s="32">
        <f>IFERROR(D278-D252,"")</f>
        <v/>
      </c>
      <c r="I252" s="32">
        <f>IFERROR(D252-D248,"")</f>
        <v/>
      </c>
      <c r="J252" s="32">
        <f>IFERROR(D252-D239,"")</f>
        <v/>
      </c>
      <c r="K252">
        <f>IF(A252="","",$C$24)</f>
        <v/>
      </c>
      <c r="L252">
        <f>IF(A252="","",$C$24-$C$25)</f>
        <v/>
      </c>
      <c r="M252">
        <f>IF(A252="","",$C$24+$C$25)</f>
        <v/>
      </c>
    </row>
    <row r="253">
      <c r="A253" s="40">
        <f>IFERROR(INDEX($R$108:$R$388,ROW()-107),"")</f>
        <v/>
      </c>
      <c r="B253">
        <f>IFERROR(INDEX($S$108:$S$388,ROW()-107),"")</f>
        <v/>
      </c>
      <c r="C253">
        <f>IFERROR(INDEX($W$108:$W$388,ROW()-107),"")</f>
        <v/>
      </c>
      <c r="D253" s="32">
        <f>IFERROR((C253-B253)*100,"")</f>
        <v/>
      </c>
      <c r="E253" s="32">
        <f>IFERROR(D253-D252,"")</f>
        <v/>
      </c>
      <c r="F253" s="32">
        <f>IFERROR(D252,"")</f>
        <v/>
      </c>
      <c r="G253" s="41">
        <f>IFERROR((D253-$C$24)/$C$25,"")</f>
        <v/>
      </c>
      <c r="H253" s="32">
        <f>IFERROR(D279-D253,"")</f>
        <v/>
      </c>
      <c r="I253" s="32">
        <f>IFERROR(D253-D249,"")</f>
        <v/>
      </c>
      <c r="J253" s="32">
        <f>IFERROR(D253-D240,"")</f>
        <v/>
      </c>
      <c r="K253">
        <f>IF(A253="","",$C$24)</f>
        <v/>
      </c>
      <c r="L253">
        <f>IF(A253="","",$C$24-$C$25)</f>
        <v/>
      </c>
      <c r="M253">
        <f>IF(A253="","",$C$24+$C$25)</f>
        <v/>
      </c>
    </row>
    <row r="254">
      <c r="A254" s="40">
        <f>IFERROR(INDEX($R$108:$R$388,ROW()-107),"")</f>
        <v/>
      </c>
      <c r="B254">
        <f>IFERROR(INDEX($S$108:$S$388,ROW()-107),"")</f>
        <v/>
      </c>
      <c r="C254">
        <f>IFERROR(INDEX($W$108:$W$388,ROW()-107),"")</f>
        <v/>
      </c>
      <c r="D254" s="32">
        <f>IFERROR((C254-B254)*100,"")</f>
        <v/>
      </c>
      <c r="E254" s="32">
        <f>IFERROR(D254-D253,"")</f>
        <v/>
      </c>
      <c r="F254" s="32">
        <f>IFERROR(D253,"")</f>
        <v/>
      </c>
      <c r="G254" s="41">
        <f>IFERROR((D254-$C$24)/$C$25,"")</f>
        <v/>
      </c>
      <c r="H254" s="32">
        <f>IFERROR(D280-D254,"")</f>
        <v/>
      </c>
      <c r="I254" s="32">
        <f>IFERROR(D254-D250,"")</f>
        <v/>
      </c>
      <c r="J254" s="32">
        <f>IFERROR(D254-D241,"")</f>
        <v/>
      </c>
      <c r="K254">
        <f>IF(A254="","",$C$24)</f>
        <v/>
      </c>
      <c r="L254">
        <f>IF(A254="","",$C$24-$C$25)</f>
        <v/>
      </c>
      <c r="M254">
        <f>IF(A254="","",$C$24+$C$25)</f>
        <v/>
      </c>
    </row>
    <row r="255">
      <c r="A255" s="40">
        <f>IFERROR(INDEX($R$108:$R$388,ROW()-107),"")</f>
        <v/>
      </c>
      <c r="B255">
        <f>IFERROR(INDEX($S$108:$S$388,ROW()-107),"")</f>
        <v/>
      </c>
      <c r="C255">
        <f>IFERROR(INDEX($W$108:$W$388,ROW()-107),"")</f>
        <v/>
      </c>
      <c r="D255" s="32">
        <f>IFERROR((C255-B255)*100,"")</f>
        <v/>
      </c>
      <c r="E255" s="32">
        <f>IFERROR(D255-D254,"")</f>
        <v/>
      </c>
      <c r="F255" s="32">
        <f>IFERROR(D254,"")</f>
        <v/>
      </c>
      <c r="G255" s="41">
        <f>IFERROR((D255-$C$24)/$C$25,"")</f>
        <v/>
      </c>
      <c r="H255" s="32">
        <f>IFERROR(D281-D255,"")</f>
        <v/>
      </c>
      <c r="I255" s="32">
        <f>IFERROR(D255-D251,"")</f>
        <v/>
      </c>
      <c r="J255" s="32">
        <f>IFERROR(D255-D242,"")</f>
        <v/>
      </c>
      <c r="K255">
        <f>IF(A255="","",$C$24)</f>
        <v/>
      </c>
      <c r="L255">
        <f>IF(A255="","",$C$24-$C$25)</f>
        <v/>
      </c>
      <c r="M255">
        <f>IF(A255="","",$C$24+$C$25)</f>
        <v/>
      </c>
    </row>
    <row r="256">
      <c r="A256" s="40">
        <f>IFERROR(INDEX($R$108:$R$388,ROW()-107),"")</f>
        <v/>
      </c>
      <c r="B256">
        <f>IFERROR(INDEX($S$108:$S$388,ROW()-107),"")</f>
        <v/>
      </c>
      <c r="C256">
        <f>IFERROR(INDEX($W$108:$W$388,ROW()-107),"")</f>
        <v/>
      </c>
      <c r="D256" s="32">
        <f>IFERROR((C256-B256)*100,"")</f>
        <v/>
      </c>
      <c r="E256" s="32">
        <f>IFERROR(D256-D255,"")</f>
        <v/>
      </c>
      <c r="F256" s="32">
        <f>IFERROR(D255,"")</f>
        <v/>
      </c>
      <c r="G256" s="41">
        <f>IFERROR((D256-$C$24)/$C$25,"")</f>
        <v/>
      </c>
      <c r="H256" s="32">
        <f>IFERROR(D282-D256,"")</f>
        <v/>
      </c>
      <c r="I256" s="32">
        <f>IFERROR(D256-D252,"")</f>
        <v/>
      </c>
      <c r="J256" s="32">
        <f>IFERROR(D256-D243,"")</f>
        <v/>
      </c>
      <c r="K256">
        <f>IF(A256="","",$C$24)</f>
        <v/>
      </c>
      <c r="L256">
        <f>IF(A256="","",$C$24-$C$25)</f>
        <v/>
      </c>
      <c r="M256">
        <f>IF(A256="","",$C$24+$C$25)</f>
        <v/>
      </c>
    </row>
    <row r="257">
      <c r="A257" s="40">
        <f>IFERROR(INDEX($R$108:$R$388,ROW()-107),"")</f>
        <v/>
      </c>
      <c r="B257">
        <f>IFERROR(INDEX($S$108:$S$388,ROW()-107),"")</f>
        <v/>
      </c>
      <c r="C257">
        <f>IFERROR(INDEX($W$108:$W$388,ROW()-107),"")</f>
        <v/>
      </c>
      <c r="D257" s="32">
        <f>IFERROR((C257-B257)*100,"")</f>
        <v/>
      </c>
      <c r="E257" s="32">
        <f>IFERROR(D257-D256,"")</f>
        <v/>
      </c>
      <c r="F257" s="32">
        <f>IFERROR(D256,"")</f>
        <v/>
      </c>
      <c r="G257" s="41">
        <f>IFERROR((D257-$C$24)/$C$25,"")</f>
        <v/>
      </c>
      <c r="H257" s="32">
        <f>IFERROR(D283-D257,"")</f>
        <v/>
      </c>
      <c r="I257" s="32">
        <f>IFERROR(D257-D253,"")</f>
        <v/>
      </c>
      <c r="J257" s="32">
        <f>IFERROR(D257-D244,"")</f>
        <v/>
      </c>
      <c r="K257">
        <f>IF(A257="","",$C$24)</f>
        <v/>
      </c>
      <c r="L257">
        <f>IF(A257="","",$C$24-$C$25)</f>
        <v/>
      </c>
      <c r="M257">
        <f>IF(A257="","",$C$24+$C$25)</f>
        <v/>
      </c>
    </row>
    <row r="258">
      <c r="A258" s="40">
        <f>IFERROR(INDEX($R$108:$R$388,ROW()-107),"")</f>
        <v/>
      </c>
      <c r="B258">
        <f>IFERROR(INDEX($S$108:$S$388,ROW()-107),"")</f>
        <v/>
      </c>
      <c r="C258">
        <f>IFERROR(INDEX($W$108:$W$388,ROW()-107),"")</f>
        <v/>
      </c>
      <c r="D258" s="32">
        <f>IFERROR((C258-B258)*100,"")</f>
        <v/>
      </c>
      <c r="E258" s="32">
        <f>IFERROR(D258-D257,"")</f>
        <v/>
      </c>
      <c r="F258" s="32">
        <f>IFERROR(D257,"")</f>
        <v/>
      </c>
      <c r="G258" s="41">
        <f>IFERROR((D258-$C$24)/$C$25,"")</f>
        <v/>
      </c>
      <c r="H258" s="32">
        <f>IFERROR(D284-D258,"")</f>
        <v/>
      </c>
      <c r="I258" s="32">
        <f>IFERROR(D258-D254,"")</f>
        <v/>
      </c>
      <c r="J258" s="32">
        <f>IFERROR(D258-D245,"")</f>
        <v/>
      </c>
      <c r="K258">
        <f>IF(A258="","",$C$24)</f>
        <v/>
      </c>
      <c r="L258">
        <f>IF(A258="","",$C$24-$C$25)</f>
        <v/>
      </c>
      <c r="M258">
        <f>IF(A258="","",$C$24+$C$25)</f>
        <v/>
      </c>
    </row>
    <row r="259">
      <c r="A259" s="40">
        <f>IFERROR(INDEX($R$108:$R$388,ROW()-107),"")</f>
        <v/>
      </c>
      <c r="B259">
        <f>IFERROR(INDEX($S$108:$S$388,ROW()-107),"")</f>
        <v/>
      </c>
      <c r="C259">
        <f>IFERROR(INDEX($W$108:$W$388,ROW()-107),"")</f>
        <v/>
      </c>
      <c r="D259" s="32">
        <f>IFERROR((C259-B259)*100,"")</f>
        <v/>
      </c>
      <c r="E259" s="32">
        <f>IFERROR(D259-D258,"")</f>
        <v/>
      </c>
      <c r="F259" s="32">
        <f>IFERROR(D258,"")</f>
        <v/>
      </c>
      <c r="G259" s="41">
        <f>IFERROR((D259-$C$24)/$C$25,"")</f>
        <v/>
      </c>
      <c r="H259" s="32">
        <f>IFERROR(D285-D259,"")</f>
        <v/>
      </c>
      <c r="I259" s="32">
        <f>IFERROR(D259-D255,"")</f>
        <v/>
      </c>
      <c r="J259" s="32">
        <f>IFERROR(D259-D246,"")</f>
        <v/>
      </c>
      <c r="K259">
        <f>IF(A259="","",$C$24)</f>
        <v/>
      </c>
      <c r="L259">
        <f>IF(A259="","",$C$24-$C$25)</f>
        <v/>
      </c>
      <c r="M259">
        <f>IF(A259="","",$C$24+$C$25)</f>
        <v/>
      </c>
    </row>
    <row r="260">
      <c r="A260" s="40">
        <f>IFERROR(INDEX($R$108:$R$388,ROW()-107),"")</f>
        <v/>
      </c>
      <c r="B260">
        <f>IFERROR(INDEX($S$108:$S$388,ROW()-107),"")</f>
        <v/>
      </c>
      <c r="C260">
        <f>IFERROR(INDEX($W$108:$W$388,ROW()-107),"")</f>
        <v/>
      </c>
      <c r="D260" s="32">
        <f>IFERROR((C260-B260)*100,"")</f>
        <v/>
      </c>
      <c r="E260" s="32">
        <f>IFERROR(D260-D259,"")</f>
        <v/>
      </c>
      <c r="F260" s="32">
        <f>IFERROR(D259,"")</f>
        <v/>
      </c>
      <c r="G260" s="41">
        <f>IFERROR((D260-$C$24)/$C$25,"")</f>
        <v/>
      </c>
      <c r="H260" s="32">
        <f>IFERROR(D286-D260,"")</f>
        <v/>
      </c>
      <c r="I260" s="32">
        <f>IFERROR(D260-D256,"")</f>
        <v/>
      </c>
      <c r="J260" s="32">
        <f>IFERROR(D260-D247,"")</f>
        <v/>
      </c>
      <c r="K260">
        <f>IF(A260="","",$C$24)</f>
        <v/>
      </c>
      <c r="L260">
        <f>IF(A260="","",$C$24-$C$25)</f>
        <v/>
      </c>
      <c r="M260">
        <f>IF(A260="","",$C$24+$C$25)</f>
        <v/>
      </c>
    </row>
    <row r="261">
      <c r="A261" s="40">
        <f>IFERROR(INDEX($R$108:$R$388,ROW()-107),"")</f>
        <v/>
      </c>
      <c r="B261">
        <f>IFERROR(INDEX($S$108:$S$388,ROW()-107),"")</f>
        <v/>
      </c>
      <c r="C261">
        <f>IFERROR(INDEX($W$108:$W$388,ROW()-107),"")</f>
        <v/>
      </c>
      <c r="D261" s="32">
        <f>IFERROR((C261-B261)*100,"")</f>
        <v/>
      </c>
      <c r="E261" s="32">
        <f>IFERROR(D261-D260,"")</f>
        <v/>
      </c>
      <c r="F261" s="32">
        <f>IFERROR(D260,"")</f>
        <v/>
      </c>
      <c r="G261" s="41">
        <f>IFERROR((D261-$C$24)/$C$25,"")</f>
        <v/>
      </c>
      <c r="H261" s="32">
        <f>IFERROR(D287-D261,"")</f>
        <v/>
      </c>
      <c r="I261" s="32">
        <f>IFERROR(D261-D257,"")</f>
        <v/>
      </c>
      <c r="J261" s="32">
        <f>IFERROR(D261-D248,"")</f>
        <v/>
      </c>
      <c r="K261">
        <f>IF(A261="","",$C$24)</f>
        <v/>
      </c>
      <c r="L261">
        <f>IF(A261="","",$C$24-$C$25)</f>
        <v/>
      </c>
      <c r="M261">
        <f>IF(A261="","",$C$24+$C$25)</f>
        <v/>
      </c>
    </row>
    <row r="262">
      <c r="A262" s="40">
        <f>IFERROR(INDEX($R$108:$R$388,ROW()-107),"")</f>
        <v/>
      </c>
      <c r="B262">
        <f>IFERROR(INDEX($S$108:$S$388,ROW()-107),"")</f>
        <v/>
      </c>
      <c r="C262">
        <f>IFERROR(INDEX($W$108:$W$388,ROW()-107),"")</f>
        <v/>
      </c>
      <c r="D262" s="32">
        <f>IFERROR((C262-B262)*100,"")</f>
        <v/>
      </c>
      <c r="E262" s="32">
        <f>IFERROR(D262-D261,"")</f>
        <v/>
      </c>
      <c r="F262" s="32">
        <f>IFERROR(D261,"")</f>
        <v/>
      </c>
      <c r="G262" s="41">
        <f>IFERROR((D262-$C$24)/$C$25,"")</f>
        <v/>
      </c>
      <c r="H262" s="32">
        <f>IFERROR(D288-D262,"")</f>
        <v/>
      </c>
      <c r="I262" s="32">
        <f>IFERROR(D262-D258,"")</f>
        <v/>
      </c>
      <c r="J262" s="32">
        <f>IFERROR(D262-D249,"")</f>
        <v/>
      </c>
      <c r="K262">
        <f>IF(A262="","",$C$24)</f>
        <v/>
      </c>
      <c r="L262">
        <f>IF(A262="","",$C$24-$C$25)</f>
        <v/>
      </c>
      <c r="M262">
        <f>IF(A262="","",$C$24+$C$25)</f>
        <v/>
      </c>
    </row>
    <row r="263">
      <c r="A263" s="40">
        <f>IFERROR(INDEX($R$108:$R$388,ROW()-107),"")</f>
        <v/>
      </c>
      <c r="B263">
        <f>IFERROR(INDEX($S$108:$S$388,ROW()-107),"")</f>
        <v/>
      </c>
      <c r="C263">
        <f>IFERROR(INDEX($W$108:$W$388,ROW()-107),"")</f>
        <v/>
      </c>
      <c r="D263" s="32">
        <f>IFERROR((C263-B263)*100,"")</f>
        <v/>
      </c>
      <c r="E263" s="32">
        <f>IFERROR(D263-D262,"")</f>
        <v/>
      </c>
      <c r="F263" s="32">
        <f>IFERROR(D262,"")</f>
        <v/>
      </c>
      <c r="G263" s="41">
        <f>IFERROR((D263-$C$24)/$C$25,"")</f>
        <v/>
      </c>
      <c r="H263" s="32">
        <f>IFERROR(D289-D263,"")</f>
        <v/>
      </c>
      <c r="I263" s="32">
        <f>IFERROR(D263-D259,"")</f>
        <v/>
      </c>
      <c r="J263" s="32">
        <f>IFERROR(D263-D250,"")</f>
        <v/>
      </c>
      <c r="K263">
        <f>IF(A263="","",$C$24)</f>
        <v/>
      </c>
      <c r="L263">
        <f>IF(A263="","",$C$24-$C$25)</f>
        <v/>
      </c>
      <c r="M263">
        <f>IF(A263="","",$C$24+$C$25)</f>
        <v/>
      </c>
    </row>
    <row r="264">
      <c r="A264" s="40">
        <f>IFERROR(INDEX($R$108:$R$388,ROW()-107),"")</f>
        <v/>
      </c>
      <c r="B264">
        <f>IFERROR(INDEX($S$108:$S$388,ROW()-107),"")</f>
        <v/>
      </c>
      <c r="C264">
        <f>IFERROR(INDEX($W$108:$W$388,ROW()-107),"")</f>
        <v/>
      </c>
      <c r="D264" s="32">
        <f>IFERROR((C264-B264)*100,"")</f>
        <v/>
      </c>
      <c r="E264" s="32">
        <f>IFERROR(D264-D263,"")</f>
        <v/>
      </c>
      <c r="F264" s="32">
        <f>IFERROR(D263,"")</f>
        <v/>
      </c>
      <c r="G264" s="41">
        <f>IFERROR((D264-$C$24)/$C$25,"")</f>
        <v/>
      </c>
      <c r="H264" s="32">
        <f>IFERROR(D290-D264,"")</f>
        <v/>
      </c>
      <c r="I264" s="32">
        <f>IFERROR(D264-D260,"")</f>
        <v/>
      </c>
      <c r="J264" s="32">
        <f>IFERROR(D264-D251,"")</f>
        <v/>
      </c>
      <c r="K264">
        <f>IF(A264="","",$C$24)</f>
        <v/>
      </c>
      <c r="L264">
        <f>IF(A264="","",$C$24-$C$25)</f>
        <v/>
      </c>
      <c r="M264">
        <f>IF(A264="","",$C$24+$C$25)</f>
        <v/>
      </c>
    </row>
    <row r="265">
      <c r="A265" s="40">
        <f>IFERROR(INDEX($R$108:$R$388,ROW()-107),"")</f>
        <v/>
      </c>
      <c r="B265">
        <f>IFERROR(INDEX($S$108:$S$388,ROW()-107),"")</f>
        <v/>
      </c>
      <c r="C265">
        <f>IFERROR(INDEX($W$108:$W$388,ROW()-107),"")</f>
        <v/>
      </c>
      <c r="D265" s="32">
        <f>IFERROR((C265-B265)*100,"")</f>
        <v/>
      </c>
      <c r="E265" s="32">
        <f>IFERROR(D265-D264,"")</f>
        <v/>
      </c>
      <c r="F265" s="32">
        <f>IFERROR(D264,"")</f>
        <v/>
      </c>
      <c r="G265" s="41">
        <f>IFERROR((D265-$C$24)/$C$25,"")</f>
        <v/>
      </c>
      <c r="H265" s="32">
        <f>IFERROR(D291-D265,"")</f>
        <v/>
      </c>
      <c r="I265" s="32">
        <f>IFERROR(D265-D261,"")</f>
        <v/>
      </c>
      <c r="J265" s="32">
        <f>IFERROR(D265-D252,"")</f>
        <v/>
      </c>
      <c r="K265">
        <f>IF(A265="","",$C$24)</f>
        <v/>
      </c>
      <c r="L265">
        <f>IF(A265="","",$C$24-$C$25)</f>
        <v/>
      </c>
      <c r="M265">
        <f>IF(A265="","",$C$24+$C$25)</f>
        <v/>
      </c>
    </row>
    <row r="266">
      <c r="A266" s="40">
        <f>IFERROR(INDEX($R$108:$R$388,ROW()-107),"")</f>
        <v/>
      </c>
      <c r="B266">
        <f>IFERROR(INDEX($S$108:$S$388,ROW()-107),"")</f>
        <v/>
      </c>
      <c r="C266">
        <f>IFERROR(INDEX($W$108:$W$388,ROW()-107),"")</f>
        <v/>
      </c>
      <c r="D266" s="32">
        <f>IFERROR((C266-B266)*100,"")</f>
        <v/>
      </c>
      <c r="E266" s="32">
        <f>IFERROR(D266-D265,"")</f>
        <v/>
      </c>
      <c r="F266" s="32">
        <f>IFERROR(D265,"")</f>
        <v/>
      </c>
      <c r="G266" s="41">
        <f>IFERROR((D266-$C$24)/$C$25,"")</f>
        <v/>
      </c>
      <c r="H266" s="32">
        <f>IFERROR(D292-D266,"")</f>
        <v/>
      </c>
      <c r="I266" s="32">
        <f>IFERROR(D266-D262,"")</f>
        <v/>
      </c>
      <c r="J266" s="32">
        <f>IFERROR(D266-D253,"")</f>
        <v/>
      </c>
      <c r="K266">
        <f>IF(A266="","",$C$24)</f>
        <v/>
      </c>
      <c r="L266">
        <f>IF(A266="","",$C$24-$C$25)</f>
        <v/>
      </c>
      <c r="M266">
        <f>IF(A266="","",$C$24+$C$25)</f>
        <v/>
      </c>
    </row>
    <row r="267">
      <c r="A267" s="40">
        <f>IFERROR(INDEX($R$108:$R$388,ROW()-107),"")</f>
        <v/>
      </c>
      <c r="B267">
        <f>IFERROR(INDEX($S$108:$S$388,ROW()-107),"")</f>
        <v/>
      </c>
      <c r="C267">
        <f>IFERROR(INDEX($W$108:$W$388,ROW()-107),"")</f>
        <v/>
      </c>
      <c r="D267" s="32">
        <f>IFERROR((C267-B267)*100,"")</f>
        <v/>
      </c>
      <c r="E267" s="32">
        <f>IFERROR(D267-D266,"")</f>
        <v/>
      </c>
      <c r="F267" s="32">
        <f>IFERROR(D266,"")</f>
        <v/>
      </c>
      <c r="G267" s="41">
        <f>IFERROR((D267-$C$24)/$C$25,"")</f>
        <v/>
      </c>
      <c r="H267" s="32">
        <f>IFERROR(D293-D267,"")</f>
        <v/>
      </c>
      <c r="I267" s="32">
        <f>IFERROR(D267-D263,"")</f>
        <v/>
      </c>
      <c r="J267" s="32">
        <f>IFERROR(D267-D254,"")</f>
        <v/>
      </c>
      <c r="K267">
        <f>IF(A267="","",$C$24)</f>
        <v/>
      </c>
      <c r="L267">
        <f>IF(A267="","",$C$24-$C$25)</f>
        <v/>
      </c>
      <c r="M267">
        <f>IF(A267="","",$C$24+$C$25)</f>
        <v/>
      </c>
    </row>
    <row r="268">
      <c r="A268" s="40">
        <f>IFERROR(INDEX($R$108:$R$388,ROW()-107),"")</f>
        <v/>
      </c>
      <c r="B268">
        <f>IFERROR(INDEX($S$108:$S$388,ROW()-107),"")</f>
        <v/>
      </c>
      <c r="C268">
        <f>IFERROR(INDEX($W$108:$W$388,ROW()-107),"")</f>
        <v/>
      </c>
      <c r="D268" s="32">
        <f>IFERROR((C268-B268)*100,"")</f>
        <v/>
      </c>
      <c r="E268" s="32">
        <f>IFERROR(D268-D267,"")</f>
        <v/>
      </c>
      <c r="F268" s="32">
        <f>IFERROR(D267,"")</f>
        <v/>
      </c>
      <c r="G268" s="41">
        <f>IFERROR((D268-$C$24)/$C$25,"")</f>
        <v/>
      </c>
      <c r="H268" s="32">
        <f>IFERROR(D294-D268,"")</f>
        <v/>
      </c>
      <c r="I268" s="32">
        <f>IFERROR(D268-D264,"")</f>
        <v/>
      </c>
      <c r="J268" s="32">
        <f>IFERROR(D268-D255,"")</f>
        <v/>
      </c>
      <c r="K268">
        <f>IF(A268="","",$C$24)</f>
        <v/>
      </c>
      <c r="L268">
        <f>IF(A268="","",$C$24-$C$25)</f>
        <v/>
      </c>
      <c r="M268">
        <f>IF(A268="","",$C$24+$C$25)</f>
        <v/>
      </c>
    </row>
    <row r="269">
      <c r="A269" s="40">
        <f>IFERROR(INDEX($R$108:$R$388,ROW()-107),"")</f>
        <v/>
      </c>
      <c r="B269">
        <f>IFERROR(INDEX($S$108:$S$388,ROW()-107),"")</f>
        <v/>
      </c>
      <c r="C269">
        <f>IFERROR(INDEX($W$108:$W$388,ROW()-107),"")</f>
        <v/>
      </c>
      <c r="D269" s="32">
        <f>IFERROR((C269-B269)*100,"")</f>
        <v/>
      </c>
      <c r="E269" s="32">
        <f>IFERROR(D269-D268,"")</f>
        <v/>
      </c>
      <c r="F269" s="32">
        <f>IFERROR(D268,"")</f>
        <v/>
      </c>
      <c r="G269" s="41">
        <f>IFERROR((D269-$C$24)/$C$25,"")</f>
        <v/>
      </c>
      <c r="H269" s="32">
        <f>IFERROR(D295-D269,"")</f>
        <v/>
      </c>
      <c r="I269" s="32">
        <f>IFERROR(D269-D265,"")</f>
        <v/>
      </c>
      <c r="J269" s="32">
        <f>IFERROR(D269-D256,"")</f>
        <v/>
      </c>
      <c r="K269">
        <f>IF(A269="","",$C$24)</f>
        <v/>
      </c>
      <c r="L269">
        <f>IF(A269="","",$C$24-$C$25)</f>
        <v/>
      </c>
      <c r="M269">
        <f>IF(A269="","",$C$24+$C$25)</f>
        <v/>
      </c>
    </row>
    <row r="270">
      <c r="A270" s="40">
        <f>IFERROR(INDEX($R$108:$R$388,ROW()-107),"")</f>
        <v/>
      </c>
      <c r="B270">
        <f>IFERROR(INDEX($S$108:$S$388,ROW()-107),"")</f>
        <v/>
      </c>
      <c r="C270">
        <f>IFERROR(INDEX($W$108:$W$388,ROW()-107),"")</f>
        <v/>
      </c>
      <c r="D270" s="32">
        <f>IFERROR((C270-B270)*100,"")</f>
        <v/>
      </c>
      <c r="E270" s="32">
        <f>IFERROR(D270-D269,"")</f>
        <v/>
      </c>
      <c r="F270" s="32">
        <f>IFERROR(D269,"")</f>
        <v/>
      </c>
      <c r="G270" s="41">
        <f>IFERROR((D270-$C$24)/$C$25,"")</f>
        <v/>
      </c>
      <c r="H270" s="32">
        <f>IFERROR(D296-D270,"")</f>
        <v/>
      </c>
      <c r="I270" s="32">
        <f>IFERROR(D270-D266,"")</f>
        <v/>
      </c>
      <c r="J270" s="32">
        <f>IFERROR(D270-D257,"")</f>
        <v/>
      </c>
      <c r="K270">
        <f>IF(A270="","",$C$24)</f>
        <v/>
      </c>
      <c r="L270">
        <f>IF(A270="","",$C$24-$C$25)</f>
        <v/>
      </c>
      <c r="M270">
        <f>IF(A270="","",$C$24+$C$25)</f>
        <v/>
      </c>
    </row>
    <row r="271">
      <c r="A271" s="40">
        <f>IFERROR(INDEX($R$108:$R$388,ROW()-107),"")</f>
        <v/>
      </c>
      <c r="B271">
        <f>IFERROR(INDEX($S$108:$S$388,ROW()-107),"")</f>
        <v/>
      </c>
      <c r="C271">
        <f>IFERROR(INDEX($W$108:$W$388,ROW()-107),"")</f>
        <v/>
      </c>
      <c r="D271" s="32">
        <f>IFERROR((C271-B271)*100,"")</f>
        <v/>
      </c>
      <c r="E271" s="32">
        <f>IFERROR(D271-D270,"")</f>
        <v/>
      </c>
      <c r="F271" s="32">
        <f>IFERROR(D270,"")</f>
        <v/>
      </c>
      <c r="G271" s="41">
        <f>IFERROR((D271-$C$24)/$C$25,"")</f>
        <v/>
      </c>
      <c r="H271" s="32">
        <f>IFERROR(D297-D271,"")</f>
        <v/>
      </c>
      <c r="I271" s="32">
        <f>IFERROR(D271-D267,"")</f>
        <v/>
      </c>
      <c r="J271" s="32">
        <f>IFERROR(D271-D258,"")</f>
        <v/>
      </c>
      <c r="K271">
        <f>IF(A271="","",$C$24)</f>
        <v/>
      </c>
      <c r="L271">
        <f>IF(A271="","",$C$24-$C$25)</f>
        <v/>
      </c>
      <c r="M271">
        <f>IF(A271="","",$C$24+$C$25)</f>
        <v/>
      </c>
    </row>
    <row r="272">
      <c r="A272" s="40">
        <f>IFERROR(INDEX($R$108:$R$388,ROW()-107),"")</f>
        <v/>
      </c>
      <c r="B272">
        <f>IFERROR(INDEX($S$108:$S$388,ROW()-107),"")</f>
        <v/>
      </c>
      <c r="C272">
        <f>IFERROR(INDEX($W$108:$W$388,ROW()-107),"")</f>
        <v/>
      </c>
      <c r="D272" s="32">
        <f>IFERROR((C272-B272)*100,"")</f>
        <v/>
      </c>
      <c r="E272" s="32">
        <f>IFERROR(D272-D271,"")</f>
        <v/>
      </c>
      <c r="F272" s="32">
        <f>IFERROR(D271,"")</f>
        <v/>
      </c>
      <c r="G272" s="41">
        <f>IFERROR((D272-$C$24)/$C$25,"")</f>
        <v/>
      </c>
      <c r="H272" s="32">
        <f>IFERROR(D298-D272,"")</f>
        <v/>
      </c>
      <c r="I272" s="32">
        <f>IFERROR(D272-D268,"")</f>
        <v/>
      </c>
      <c r="J272" s="32">
        <f>IFERROR(D272-D259,"")</f>
        <v/>
      </c>
      <c r="K272">
        <f>IF(A272="","",$C$24)</f>
        <v/>
      </c>
      <c r="L272">
        <f>IF(A272="","",$C$24-$C$25)</f>
        <v/>
      </c>
      <c r="M272">
        <f>IF(A272="","",$C$24+$C$25)</f>
        <v/>
      </c>
    </row>
    <row r="273">
      <c r="A273" s="40">
        <f>IFERROR(INDEX($R$108:$R$388,ROW()-107),"")</f>
        <v/>
      </c>
      <c r="B273">
        <f>IFERROR(INDEX($S$108:$S$388,ROW()-107),"")</f>
        <v/>
      </c>
      <c r="C273">
        <f>IFERROR(INDEX($W$108:$W$388,ROW()-107),"")</f>
        <v/>
      </c>
      <c r="D273" s="32">
        <f>IFERROR((C273-B273)*100,"")</f>
        <v/>
      </c>
      <c r="E273" s="32">
        <f>IFERROR(D273-D272,"")</f>
        <v/>
      </c>
      <c r="F273" s="32">
        <f>IFERROR(D272,"")</f>
        <v/>
      </c>
      <c r="G273" s="41">
        <f>IFERROR((D273-$C$24)/$C$25,"")</f>
        <v/>
      </c>
      <c r="H273" s="32">
        <f>IFERROR(D299-D273,"")</f>
        <v/>
      </c>
      <c r="I273" s="32">
        <f>IFERROR(D273-D269,"")</f>
        <v/>
      </c>
      <c r="J273" s="32">
        <f>IFERROR(D273-D260,"")</f>
        <v/>
      </c>
      <c r="K273">
        <f>IF(A273="","",$C$24)</f>
        <v/>
      </c>
      <c r="L273">
        <f>IF(A273="","",$C$24-$C$25)</f>
        <v/>
      </c>
      <c r="M273">
        <f>IF(A273="","",$C$24+$C$25)</f>
        <v/>
      </c>
    </row>
    <row r="274">
      <c r="A274" s="40">
        <f>IFERROR(INDEX($R$108:$R$388,ROW()-107),"")</f>
        <v/>
      </c>
      <c r="B274">
        <f>IFERROR(INDEX($S$108:$S$388,ROW()-107),"")</f>
        <v/>
      </c>
      <c r="C274">
        <f>IFERROR(INDEX($W$108:$W$388,ROW()-107),"")</f>
        <v/>
      </c>
      <c r="D274" s="32">
        <f>IFERROR((C274-B274)*100,"")</f>
        <v/>
      </c>
      <c r="E274" s="32">
        <f>IFERROR(D274-D273,"")</f>
        <v/>
      </c>
      <c r="F274" s="32">
        <f>IFERROR(D273,"")</f>
        <v/>
      </c>
      <c r="G274" s="41">
        <f>IFERROR((D274-$C$24)/$C$25,"")</f>
        <v/>
      </c>
      <c r="H274" s="32">
        <f>IFERROR(D300-D274,"")</f>
        <v/>
      </c>
      <c r="I274" s="32">
        <f>IFERROR(D274-D270,"")</f>
        <v/>
      </c>
      <c r="J274" s="32">
        <f>IFERROR(D274-D261,"")</f>
        <v/>
      </c>
      <c r="K274">
        <f>IF(A274="","",$C$24)</f>
        <v/>
      </c>
      <c r="L274">
        <f>IF(A274="","",$C$24-$C$25)</f>
        <v/>
      </c>
      <c r="M274">
        <f>IF(A274="","",$C$24+$C$25)</f>
        <v/>
      </c>
    </row>
    <row r="275">
      <c r="A275" s="40">
        <f>IFERROR(INDEX($R$108:$R$388,ROW()-107),"")</f>
        <v/>
      </c>
      <c r="B275">
        <f>IFERROR(INDEX($S$108:$S$388,ROW()-107),"")</f>
        <v/>
      </c>
      <c r="C275">
        <f>IFERROR(INDEX($W$108:$W$388,ROW()-107),"")</f>
        <v/>
      </c>
      <c r="D275" s="32">
        <f>IFERROR((C275-B275)*100,"")</f>
        <v/>
      </c>
      <c r="E275" s="32">
        <f>IFERROR(D275-D274,"")</f>
        <v/>
      </c>
      <c r="F275" s="32">
        <f>IFERROR(D274,"")</f>
        <v/>
      </c>
      <c r="G275" s="41">
        <f>IFERROR((D275-$C$24)/$C$25,"")</f>
        <v/>
      </c>
      <c r="H275" s="32">
        <f>IFERROR(D301-D275,"")</f>
        <v/>
      </c>
      <c r="I275" s="32">
        <f>IFERROR(D275-D271,"")</f>
        <v/>
      </c>
      <c r="J275" s="32">
        <f>IFERROR(D275-D262,"")</f>
        <v/>
      </c>
      <c r="K275">
        <f>IF(A275="","",$C$24)</f>
        <v/>
      </c>
      <c r="L275">
        <f>IF(A275="","",$C$24-$C$25)</f>
        <v/>
      </c>
      <c r="M275">
        <f>IF(A275="","",$C$24+$C$25)</f>
        <v/>
      </c>
    </row>
    <row r="276">
      <c r="A276" s="40">
        <f>IFERROR(INDEX($R$108:$R$388,ROW()-107),"")</f>
        <v/>
      </c>
      <c r="B276">
        <f>IFERROR(INDEX($S$108:$S$388,ROW()-107),"")</f>
        <v/>
      </c>
      <c r="C276">
        <f>IFERROR(INDEX($W$108:$W$388,ROW()-107),"")</f>
        <v/>
      </c>
      <c r="D276" s="32">
        <f>IFERROR((C276-B276)*100,"")</f>
        <v/>
      </c>
      <c r="E276" s="32">
        <f>IFERROR(D276-D275,"")</f>
        <v/>
      </c>
      <c r="F276" s="32">
        <f>IFERROR(D275,"")</f>
        <v/>
      </c>
      <c r="G276" s="41">
        <f>IFERROR((D276-$C$24)/$C$25,"")</f>
        <v/>
      </c>
      <c r="H276" s="32">
        <f>IFERROR(D302-D276,"")</f>
        <v/>
      </c>
      <c r="I276" s="32">
        <f>IFERROR(D276-D272,"")</f>
        <v/>
      </c>
      <c r="J276" s="32">
        <f>IFERROR(D276-D263,"")</f>
        <v/>
      </c>
      <c r="K276">
        <f>IF(A276="","",$C$24)</f>
        <v/>
      </c>
      <c r="L276">
        <f>IF(A276="","",$C$24-$C$25)</f>
        <v/>
      </c>
      <c r="M276">
        <f>IF(A276="","",$C$24+$C$25)</f>
        <v/>
      </c>
    </row>
    <row r="277">
      <c r="A277" s="40">
        <f>IFERROR(INDEX($R$108:$R$388,ROW()-107),"")</f>
        <v/>
      </c>
      <c r="B277">
        <f>IFERROR(INDEX($S$108:$S$388,ROW()-107),"")</f>
        <v/>
      </c>
      <c r="C277">
        <f>IFERROR(INDEX($W$108:$W$388,ROW()-107),"")</f>
        <v/>
      </c>
      <c r="D277" s="32">
        <f>IFERROR((C277-B277)*100,"")</f>
        <v/>
      </c>
      <c r="E277" s="32">
        <f>IFERROR(D277-D276,"")</f>
        <v/>
      </c>
      <c r="F277" s="32">
        <f>IFERROR(D276,"")</f>
        <v/>
      </c>
      <c r="G277" s="41">
        <f>IFERROR((D277-$C$24)/$C$25,"")</f>
        <v/>
      </c>
      <c r="H277" s="32">
        <f>IFERROR(D303-D277,"")</f>
        <v/>
      </c>
      <c r="I277" s="32">
        <f>IFERROR(D277-D273,"")</f>
        <v/>
      </c>
      <c r="J277" s="32">
        <f>IFERROR(D277-D264,"")</f>
        <v/>
      </c>
      <c r="K277">
        <f>IF(A277="","",$C$24)</f>
        <v/>
      </c>
      <c r="L277">
        <f>IF(A277="","",$C$24-$C$25)</f>
        <v/>
      </c>
      <c r="M277">
        <f>IF(A277="","",$C$24+$C$25)</f>
        <v/>
      </c>
    </row>
    <row r="278">
      <c r="A278" s="40">
        <f>IFERROR(INDEX($R$108:$R$388,ROW()-107),"")</f>
        <v/>
      </c>
      <c r="B278">
        <f>IFERROR(INDEX($S$108:$S$388,ROW()-107),"")</f>
        <v/>
      </c>
      <c r="C278">
        <f>IFERROR(INDEX($W$108:$W$388,ROW()-107),"")</f>
        <v/>
      </c>
      <c r="D278" s="32">
        <f>IFERROR((C278-B278)*100,"")</f>
        <v/>
      </c>
      <c r="E278" s="32">
        <f>IFERROR(D278-D277,"")</f>
        <v/>
      </c>
      <c r="F278" s="32">
        <f>IFERROR(D277,"")</f>
        <v/>
      </c>
      <c r="G278" s="41">
        <f>IFERROR((D278-$C$24)/$C$25,"")</f>
        <v/>
      </c>
      <c r="H278" s="32">
        <f>IFERROR(D304-D278,"")</f>
        <v/>
      </c>
      <c r="I278" s="32">
        <f>IFERROR(D278-D274,"")</f>
        <v/>
      </c>
      <c r="J278" s="32">
        <f>IFERROR(D278-D265,"")</f>
        <v/>
      </c>
      <c r="K278">
        <f>IF(A278="","",$C$24)</f>
        <v/>
      </c>
      <c r="L278">
        <f>IF(A278="","",$C$24-$C$25)</f>
        <v/>
      </c>
      <c r="M278">
        <f>IF(A278="","",$C$24+$C$25)</f>
        <v/>
      </c>
    </row>
    <row r="279">
      <c r="A279" s="40">
        <f>IFERROR(INDEX($R$108:$R$388,ROW()-107),"")</f>
        <v/>
      </c>
      <c r="B279">
        <f>IFERROR(INDEX($S$108:$S$388,ROW()-107),"")</f>
        <v/>
      </c>
      <c r="C279">
        <f>IFERROR(INDEX($W$108:$W$388,ROW()-107),"")</f>
        <v/>
      </c>
      <c r="D279" s="32">
        <f>IFERROR((C279-B279)*100,"")</f>
        <v/>
      </c>
      <c r="E279" s="32">
        <f>IFERROR(D279-D278,"")</f>
        <v/>
      </c>
      <c r="F279" s="32">
        <f>IFERROR(D278,"")</f>
        <v/>
      </c>
      <c r="G279" s="41">
        <f>IFERROR((D279-$C$24)/$C$25,"")</f>
        <v/>
      </c>
      <c r="H279" s="32">
        <f>IFERROR(D305-D279,"")</f>
        <v/>
      </c>
      <c r="I279" s="32">
        <f>IFERROR(D279-D275,"")</f>
        <v/>
      </c>
      <c r="J279" s="32">
        <f>IFERROR(D279-D266,"")</f>
        <v/>
      </c>
      <c r="K279">
        <f>IF(A279="","",$C$24)</f>
        <v/>
      </c>
      <c r="L279">
        <f>IF(A279="","",$C$24-$C$25)</f>
        <v/>
      </c>
      <c r="M279">
        <f>IF(A279="","",$C$24+$C$25)</f>
        <v/>
      </c>
    </row>
    <row r="280">
      <c r="A280" s="40">
        <f>IFERROR(INDEX($R$108:$R$388,ROW()-107),"")</f>
        <v/>
      </c>
      <c r="B280">
        <f>IFERROR(INDEX($S$108:$S$388,ROW()-107),"")</f>
        <v/>
      </c>
      <c r="C280">
        <f>IFERROR(INDEX($W$108:$W$388,ROW()-107),"")</f>
        <v/>
      </c>
      <c r="D280" s="32">
        <f>IFERROR((C280-B280)*100,"")</f>
        <v/>
      </c>
      <c r="E280" s="32">
        <f>IFERROR(D280-D279,"")</f>
        <v/>
      </c>
      <c r="F280" s="32">
        <f>IFERROR(D279,"")</f>
        <v/>
      </c>
      <c r="G280" s="41">
        <f>IFERROR((D280-$C$24)/$C$25,"")</f>
        <v/>
      </c>
      <c r="H280" s="32">
        <f>IFERROR(D306-D280,"")</f>
        <v/>
      </c>
      <c r="I280" s="32">
        <f>IFERROR(D280-D276,"")</f>
        <v/>
      </c>
      <c r="J280" s="32">
        <f>IFERROR(D280-D267,"")</f>
        <v/>
      </c>
      <c r="K280">
        <f>IF(A280="","",$C$24)</f>
        <v/>
      </c>
      <c r="L280">
        <f>IF(A280="","",$C$24-$C$25)</f>
        <v/>
      </c>
      <c r="M280">
        <f>IF(A280="","",$C$24+$C$25)</f>
        <v/>
      </c>
    </row>
    <row r="281">
      <c r="A281" s="40">
        <f>IFERROR(INDEX($R$108:$R$388,ROW()-107),"")</f>
        <v/>
      </c>
      <c r="B281">
        <f>IFERROR(INDEX($S$108:$S$388,ROW()-107),"")</f>
        <v/>
      </c>
      <c r="C281">
        <f>IFERROR(INDEX($W$108:$W$388,ROW()-107),"")</f>
        <v/>
      </c>
      <c r="D281" s="32">
        <f>IFERROR((C281-B281)*100,"")</f>
        <v/>
      </c>
      <c r="E281" s="32">
        <f>IFERROR(D281-D280,"")</f>
        <v/>
      </c>
      <c r="F281" s="32">
        <f>IFERROR(D280,"")</f>
        <v/>
      </c>
      <c r="G281" s="41">
        <f>IFERROR((D281-$C$24)/$C$25,"")</f>
        <v/>
      </c>
      <c r="H281" s="32">
        <f>IFERROR(D307-D281,"")</f>
        <v/>
      </c>
      <c r="I281" s="32">
        <f>IFERROR(D281-D277,"")</f>
        <v/>
      </c>
      <c r="J281" s="32">
        <f>IFERROR(D281-D268,"")</f>
        <v/>
      </c>
      <c r="K281">
        <f>IF(A281="","",$C$24)</f>
        <v/>
      </c>
      <c r="L281">
        <f>IF(A281="","",$C$24-$C$25)</f>
        <v/>
      </c>
      <c r="M281">
        <f>IF(A281="","",$C$24+$C$25)</f>
        <v/>
      </c>
    </row>
    <row r="282">
      <c r="A282" s="40">
        <f>IFERROR(INDEX($R$108:$R$388,ROW()-107),"")</f>
        <v/>
      </c>
      <c r="B282">
        <f>IFERROR(INDEX($S$108:$S$388,ROW()-107),"")</f>
        <v/>
      </c>
      <c r="C282">
        <f>IFERROR(INDEX($W$108:$W$388,ROW()-107),"")</f>
        <v/>
      </c>
      <c r="D282" s="32">
        <f>IFERROR((C282-B282)*100,"")</f>
        <v/>
      </c>
      <c r="E282" s="32">
        <f>IFERROR(D282-D281,"")</f>
        <v/>
      </c>
      <c r="F282" s="32">
        <f>IFERROR(D281,"")</f>
        <v/>
      </c>
      <c r="G282" s="41">
        <f>IFERROR((D282-$C$24)/$C$25,"")</f>
        <v/>
      </c>
      <c r="H282" s="32">
        <f>IFERROR(D308-D282,"")</f>
        <v/>
      </c>
      <c r="I282" s="32">
        <f>IFERROR(D282-D278,"")</f>
        <v/>
      </c>
      <c r="J282" s="32">
        <f>IFERROR(D282-D269,"")</f>
        <v/>
      </c>
      <c r="K282">
        <f>IF(A282="","",$C$24)</f>
        <v/>
      </c>
      <c r="L282">
        <f>IF(A282="","",$C$24-$C$25)</f>
        <v/>
      </c>
      <c r="M282">
        <f>IF(A282="","",$C$24+$C$25)</f>
        <v/>
      </c>
    </row>
    <row r="283">
      <c r="A283" s="40">
        <f>IFERROR(INDEX($R$108:$R$388,ROW()-107),"")</f>
        <v/>
      </c>
      <c r="B283">
        <f>IFERROR(INDEX($S$108:$S$388,ROW()-107),"")</f>
        <v/>
      </c>
      <c r="C283">
        <f>IFERROR(INDEX($W$108:$W$388,ROW()-107),"")</f>
        <v/>
      </c>
      <c r="D283" s="32">
        <f>IFERROR((C283-B283)*100,"")</f>
        <v/>
      </c>
      <c r="E283" s="32">
        <f>IFERROR(D283-D282,"")</f>
        <v/>
      </c>
      <c r="F283" s="32">
        <f>IFERROR(D282,"")</f>
        <v/>
      </c>
      <c r="G283" s="41">
        <f>IFERROR((D283-$C$24)/$C$25,"")</f>
        <v/>
      </c>
      <c r="H283" s="32">
        <f>IFERROR(D309-D283,"")</f>
        <v/>
      </c>
      <c r="I283" s="32">
        <f>IFERROR(D283-D279,"")</f>
        <v/>
      </c>
      <c r="J283" s="32">
        <f>IFERROR(D283-D270,"")</f>
        <v/>
      </c>
      <c r="K283">
        <f>IF(A283="","",$C$24)</f>
        <v/>
      </c>
      <c r="L283">
        <f>IF(A283="","",$C$24-$C$25)</f>
        <v/>
      </c>
      <c r="M283">
        <f>IF(A283="","",$C$24+$C$25)</f>
        <v/>
      </c>
    </row>
    <row r="284">
      <c r="A284" s="40">
        <f>IFERROR(INDEX($R$108:$R$388,ROW()-107),"")</f>
        <v/>
      </c>
      <c r="B284">
        <f>IFERROR(INDEX($S$108:$S$388,ROW()-107),"")</f>
        <v/>
      </c>
      <c r="C284">
        <f>IFERROR(INDEX($W$108:$W$388,ROW()-107),"")</f>
        <v/>
      </c>
      <c r="D284" s="32">
        <f>IFERROR((C284-B284)*100,"")</f>
        <v/>
      </c>
      <c r="E284" s="32">
        <f>IFERROR(D284-D283,"")</f>
        <v/>
      </c>
      <c r="F284" s="32">
        <f>IFERROR(D283,"")</f>
        <v/>
      </c>
      <c r="G284" s="41">
        <f>IFERROR((D284-$C$24)/$C$25,"")</f>
        <v/>
      </c>
      <c r="H284" s="32">
        <f>IFERROR(D310-D284,"")</f>
        <v/>
      </c>
      <c r="I284" s="32">
        <f>IFERROR(D284-D280,"")</f>
        <v/>
      </c>
      <c r="J284" s="32">
        <f>IFERROR(D284-D271,"")</f>
        <v/>
      </c>
      <c r="K284">
        <f>IF(A284="","",$C$24)</f>
        <v/>
      </c>
      <c r="L284">
        <f>IF(A284="","",$C$24-$C$25)</f>
        <v/>
      </c>
      <c r="M284">
        <f>IF(A284="","",$C$24+$C$25)</f>
        <v/>
      </c>
    </row>
    <row r="285">
      <c r="A285" s="40">
        <f>IFERROR(INDEX($R$108:$R$388,ROW()-107),"")</f>
        <v/>
      </c>
      <c r="B285">
        <f>IFERROR(INDEX($S$108:$S$388,ROW()-107),"")</f>
        <v/>
      </c>
      <c r="C285">
        <f>IFERROR(INDEX($W$108:$W$388,ROW()-107),"")</f>
        <v/>
      </c>
      <c r="D285" s="32">
        <f>IFERROR((C285-B285)*100,"")</f>
        <v/>
      </c>
      <c r="E285" s="32">
        <f>IFERROR(D285-D284,"")</f>
        <v/>
      </c>
      <c r="F285" s="32">
        <f>IFERROR(D284,"")</f>
        <v/>
      </c>
      <c r="G285" s="41">
        <f>IFERROR((D285-$C$24)/$C$25,"")</f>
        <v/>
      </c>
      <c r="H285" s="32">
        <f>IFERROR(D311-D285,"")</f>
        <v/>
      </c>
      <c r="I285" s="32">
        <f>IFERROR(D285-D281,"")</f>
        <v/>
      </c>
      <c r="J285" s="32">
        <f>IFERROR(D285-D272,"")</f>
        <v/>
      </c>
      <c r="K285">
        <f>IF(A285="","",$C$24)</f>
        <v/>
      </c>
      <c r="L285">
        <f>IF(A285="","",$C$24-$C$25)</f>
        <v/>
      </c>
      <c r="M285">
        <f>IF(A285="","",$C$24+$C$25)</f>
        <v/>
      </c>
    </row>
    <row r="286">
      <c r="A286" s="40">
        <f>IFERROR(INDEX($R$108:$R$388,ROW()-107),"")</f>
        <v/>
      </c>
      <c r="B286">
        <f>IFERROR(INDEX($S$108:$S$388,ROW()-107),"")</f>
        <v/>
      </c>
      <c r="C286">
        <f>IFERROR(INDEX($W$108:$W$388,ROW()-107),"")</f>
        <v/>
      </c>
      <c r="D286" s="32">
        <f>IFERROR((C286-B286)*100,"")</f>
        <v/>
      </c>
      <c r="E286" s="32">
        <f>IFERROR(D286-D285,"")</f>
        <v/>
      </c>
      <c r="F286" s="32">
        <f>IFERROR(D285,"")</f>
        <v/>
      </c>
      <c r="G286" s="41">
        <f>IFERROR((D286-$C$24)/$C$25,"")</f>
        <v/>
      </c>
      <c r="H286" s="32">
        <f>IFERROR(D312-D286,"")</f>
        <v/>
      </c>
      <c r="I286" s="32">
        <f>IFERROR(D286-D282,"")</f>
        <v/>
      </c>
      <c r="J286" s="32">
        <f>IFERROR(D286-D273,"")</f>
        <v/>
      </c>
      <c r="K286">
        <f>IF(A286="","",$C$24)</f>
        <v/>
      </c>
      <c r="L286">
        <f>IF(A286="","",$C$24-$C$25)</f>
        <v/>
      </c>
      <c r="M286">
        <f>IF(A286="","",$C$24+$C$25)</f>
        <v/>
      </c>
    </row>
    <row r="287">
      <c r="A287" s="40">
        <f>IFERROR(INDEX($R$108:$R$388,ROW()-107),"")</f>
        <v/>
      </c>
      <c r="B287">
        <f>IFERROR(INDEX($S$108:$S$388,ROW()-107),"")</f>
        <v/>
      </c>
      <c r="C287">
        <f>IFERROR(INDEX($W$108:$W$388,ROW()-107),"")</f>
        <v/>
      </c>
      <c r="D287" s="32">
        <f>IFERROR((C287-B287)*100,"")</f>
        <v/>
      </c>
      <c r="E287" s="32">
        <f>IFERROR(D287-D286,"")</f>
        <v/>
      </c>
      <c r="F287" s="32">
        <f>IFERROR(D286,"")</f>
        <v/>
      </c>
      <c r="G287" s="41">
        <f>IFERROR((D287-$C$24)/$C$25,"")</f>
        <v/>
      </c>
      <c r="H287" s="32">
        <f>IFERROR(D313-D287,"")</f>
        <v/>
      </c>
      <c r="I287" s="32">
        <f>IFERROR(D287-D283,"")</f>
        <v/>
      </c>
      <c r="J287" s="32">
        <f>IFERROR(D287-D274,"")</f>
        <v/>
      </c>
      <c r="K287">
        <f>IF(A287="","",$C$24)</f>
        <v/>
      </c>
      <c r="L287">
        <f>IF(A287="","",$C$24-$C$25)</f>
        <v/>
      </c>
      <c r="M287">
        <f>IF(A287="","",$C$24+$C$25)</f>
        <v/>
      </c>
    </row>
    <row r="288">
      <c r="A288" s="40">
        <f>IFERROR(INDEX($R$108:$R$388,ROW()-107),"")</f>
        <v/>
      </c>
      <c r="B288">
        <f>IFERROR(INDEX($S$108:$S$388,ROW()-107),"")</f>
        <v/>
      </c>
      <c r="C288">
        <f>IFERROR(INDEX($W$108:$W$388,ROW()-107),"")</f>
        <v/>
      </c>
      <c r="D288" s="32">
        <f>IFERROR((C288-B288)*100,"")</f>
        <v/>
      </c>
      <c r="E288" s="32">
        <f>IFERROR(D288-D287,"")</f>
        <v/>
      </c>
      <c r="F288" s="32">
        <f>IFERROR(D287,"")</f>
        <v/>
      </c>
      <c r="G288" s="41">
        <f>IFERROR((D288-$C$24)/$C$25,"")</f>
        <v/>
      </c>
      <c r="H288" s="32">
        <f>IFERROR(D314-D288,"")</f>
        <v/>
      </c>
      <c r="I288" s="32">
        <f>IFERROR(D288-D284,"")</f>
        <v/>
      </c>
      <c r="J288" s="32">
        <f>IFERROR(D288-D275,"")</f>
        <v/>
      </c>
      <c r="K288">
        <f>IF(A288="","",$C$24)</f>
        <v/>
      </c>
      <c r="L288">
        <f>IF(A288="","",$C$24-$C$25)</f>
        <v/>
      </c>
      <c r="M288">
        <f>IF(A288="","",$C$24+$C$25)</f>
        <v/>
      </c>
    </row>
    <row r="289">
      <c r="A289" s="40">
        <f>IFERROR(INDEX($R$108:$R$388,ROW()-107),"")</f>
        <v/>
      </c>
      <c r="B289">
        <f>IFERROR(INDEX($S$108:$S$388,ROW()-107),"")</f>
        <v/>
      </c>
      <c r="C289">
        <f>IFERROR(INDEX($W$108:$W$388,ROW()-107),"")</f>
        <v/>
      </c>
      <c r="D289" s="32">
        <f>IFERROR((C289-B289)*100,"")</f>
        <v/>
      </c>
      <c r="E289" s="32">
        <f>IFERROR(D289-D288,"")</f>
        <v/>
      </c>
      <c r="F289" s="32">
        <f>IFERROR(D288,"")</f>
        <v/>
      </c>
      <c r="G289" s="41">
        <f>IFERROR((D289-$C$24)/$C$25,"")</f>
        <v/>
      </c>
      <c r="H289" s="32">
        <f>IFERROR(D315-D289,"")</f>
        <v/>
      </c>
      <c r="I289" s="32">
        <f>IFERROR(D289-D285,"")</f>
        <v/>
      </c>
      <c r="J289" s="32">
        <f>IFERROR(D289-D276,"")</f>
        <v/>
      </c>
      <c r="K289">
        <f>IF(A289="","",$C$24)</f>
        <v/>
      </c>
      <c r="L289">
        <f>IF(A289="","",$C$24-$C$25)</f>
        <v/>
      </c>
      <c r="M289">
        <f>IF(A289="","",$C$24+$C$25)</f>
        <v/>
      </c>
    </row>
    <row r="290">
      <c r="A290" s="40">
        <f>IFERROR(INDEX($R$108:$R$388,ROW()-107),"")</f>
        <v/>
      </c>
      <c r="B290">
        <f>IFERROR(INDEX($S$108:$S$388,ROW()-107),"")</f>
        <v/>
      </c>
      <c r="C290">
        <f>IFERROR(INDEX($W$108:$W$388,ROW()-107),"")</f>
        <v/>
      </c>
      <c r="D290" s="32">
        <f>IFERROR((C290-B290)*100,"")</f>
        <v/>
      </c>
      <c r="E290" s="32">
        <f>IFERROR(D290-D289,"")</f>
        <v/>
      </c>
      <c r="F290" s="32">
        <f>IFERROR(D289,"")</f>
        <v/>
      </c>
      <c r="G290" s="41">
        <f>IFERROR((D290-$C$24)/$C$25,"")</f>
        <v/>
      </c>
      <c r="H290" s="32">
        <f>IFERROR(D316-D290,"")</f>
        <v/>
      </c>
      <c r="I290" s="32">
        <f>IFERROR(D290-D286,"")</f>
        <v/>
      </c>
      <c r="J290" s="32">
        <f>IFERROR(D290-D277,"")</f>
        <v/>
      </c>
      <c r="K290">
        <f>IF(A290="","",$C$24)</f>
        <v/>
      </c>
      <c r="L290">
        <f>IF(A290="","",$C$24-$C$25)</f>
        <v/>
      </c>
      <c r="M290">
        <f>IF(A290="","",$C$24+$C$25)</f>
        <v/>
      </c>
    </row>
    <row r="291">
      <c r="A291" s="40">
        <f>IFERROR(INDEX($R$108:$R$388,ROW()-107),"")</f>
        <v/>
      </c>
      <c r="B291">
        <f>IFERROR(INDEX($S$108:$S$388,ROW()-107),"")</f>
        <v/>
      </c>
      <c r="C291">
        <f>IFERROR(INDEX($W$108:$W$388,ROW()-107),"")</f>
        <v/>
      </c>
      <c r="D291" s="32">
        <f>IFERROR((C291-B291)*100,"")</f>
        <v/>
      </c>
      <c r="E291" s="32">
        <f>IFERROR(D291-D290,"")</f>
        <v/>
      </c>
      <c r="F291" s="32">
        <f>IFERROR(D290,"")</f>
        <v/>
      </c>
      <c r="G291" s="41">
        <f>IFERROR((D291-$C$24)/$C$25,"")</f>
        <v/>
      </c>
      <c r="H291" s="32">
        <f>IFERROR(D317-D291,"")</f>
        <v/>
      </c>
      <c r="I291" s="32">
        <f>IFERROR(D291-D287,"")</f>
        <v/>
      </c>
      <c r="J291" s="32">
        <f>IFERROR(D291-D278,"")</f>
        <v/>
      </c>
      <c r="K291">
        <f>IF(A291="","",$C$24)</f>
        <v/>
      </c>
      <c r="L291">
        <f>IF(A291="","",$C$24-$C$25)</f>
        <v/>
      </c>
      <c r="M291">
        <f>IF(A291="","",$C$24+$C$25)</f>
        <v/>
      </c>
    </row>
    <row r="292">
      <c r="A292" s="40">
        <f>IFERROR(INDEX($R$108:$R$388,ROW()-107),"")</f>
        <v/>
      </c>
      <c r="B292">
        <f>IFERROR(INDEX($S$108:$S$388,ROW()-107),"")</f>
        <v/>
      </c>
      <c r="C292">
        <f>IFERROR(INDEX($W$108:$W$388,ROW()-107),"")</f>
        <v/>
      </c>
      <c r="D292" s="32">
        <f>IFERROR((C292-B292)*100,"")</f>
        <v/>
      </c>
      <c r="E292" s="32">
        <f>IFERROR(D292-D291,"")</f>
        <v/>
      </c>
      <c r="F292" s="32">
        <f>IFERROR(D291,"")</f>
        <v/>
      </c>
      <c r="G292" s="41">
        <f>IFERROR((D292-$C$24)/$C$25,"")</f>
        <v/>
      </c>
      <c r="H292" s="32">
        <f>IFERROR(D318-D292,"")</f>
        <v/>
      </c>
      <c r="I292" s="32">
        <f>IFERROR(D292-D288,"")</f>
        <v/>
      </c>
      <c r="J292" s="32">
        <f>IFERROR(D292-D279,"")</f>
        <v/>
      </c>
      <c r="K292">
        <f>IF(A292="","",$C$24)</f>
        <v/>
      </c>
      <c r="L292">
        <f>IF(A292="","",$C$24-$C$25)</f>
        <v/>
      </c>
      <c r="M292">
        <f>IF(A292="","",$C$24+$C$25)</f>
        <v/>
      </c>
    </row>
    <row r="293">
      <c r="A293" s="40">
        <f>IFERROR(INDEX($R$108:$R$388,ROW()-107),"")</f>
        <v/>
      </c>
      <c r="B293">
        <f>IFERROR(INDEX($S$108:$S$388,ROW()-107),"")</f>
        <v/>
      </c>
      <c r="C293">
        <f>IFERROR(INDEX($W$108:$W$388,ROW()-107),"")</f>
        <v/>
      </c>
      <c r="D293" s="32">
        <f>IFERROR((C293-B293)*100,"")</f>
        <v/>
      </c>
      <c r="E293" s="32">
        <f>IFERROR(D293-D292,"")</f>
        <v/>
      </c>
      <c r="F293" s="32">
        <f>IFERROR(D292,"")</f>
        <v/>
      </c>
      <c r="G293" s="41">
        <f>IFERROR((D293-$C$24)/$C$25,"")</f>
        <v/>
      </c>
      <c r="H293" s="32">
        <f>IFERROR(D319-D293,"")</f>
        <v/>
      </c>
      <c r="I293" s="32">
        <f>IFERROR(D293-D289,"")</f>
        <v/>
      </c>
      <c r="J293" s="32">
        <f>IFERROR(D293-D280,"")</f>
        <v/>
      </c>
      <c r="K293">
        <f>IF(A293="","",$C$24)</f>
        <v/>
      </c>
      <c r="L293">
        <f>IF(A293="","",$C$24-$C$25)</f>
        <v/>
      </c>
      <c r="M293">
        <f>IF(A293="","",$C$24+$C$25)</f>
        <v/>
      </c>
    </row>
    <row r="294">
      <c r="A294" s="40">
        <f>IFERROR(INDEX($R$108:$R$388,ROW()-107),"")</f>
        <v/>
      </c>
      <c r="B294">
        <f>IFERROR(INDEX($S$108:$S$388,ROW()-107),"")</f>
        <v/>
      </c>
      <c r="C294">
        <f>IFERROR(INDEX($W$108:$W$388,ROW()-107),"")</f>
        <v/>
      </c>
      <c r="D294" s="32">
        <f>IFERROR((C294-B294)*100,"")</f>
        <v/>
      </c>
      <c r="E294" s="32">
        <f>IFERROR(D294-D293,"")</f>
        <v/>
      </c>
      <c r="F294" s="32">
        <f>IFERROR(D293,"")</f>
        <v/>
      </c>
      <c r="G294" s="41">
        <f>IFERROR((D294-$C$24)/$C$25,"")</f>
        <v/>
      </c>
      <c r="H294" s="32">
        <f>IFERROR(D320-D294,"")</f>
        <v/>
      </c>
      <c r="I294" s="32">
        <f>IFERROR(D294-D290,"")</f>
        <v/>
      </c>
      <c r="J294" s="32">
        <f>IFERROR(D294-D281,"")</f>
        <v/>
      </c>
      <c r="K294">
        <f>IF(A294="","",$C$24)</f>
        <v/>
      </c>
      <c r="L294">
        <f>IF(A294="","",$C$24-$C$25)</f>
        <v/>
      </c>
      <c r="M294">
        <f>IF(A294="","",$C$24+$C$25)</f>
        <v/>
      </c>
    </row>
    <row r="295">
      <c r="A295" s="40">
        <f>IFERROR(INDEX($R$108:$R$388,ROW()-107),"")</f>
        <v/>
      </c>
      <c r="B295">
        <f>IFERROR(INDEX($S$108:$S$388,ROW()-107),"")</f>
        <v/>
      </c>
      <c r="C295">
        <f>IFERROR(INDEX($W$108:$W$388,ROW()-107),"")</f>
        <v/>
      </c>
      <c r="D295" s="32">
        <f>IFERROR((C295-B295)*100,"")</f>
        <v/>
      </c>
      <c r="E295" s="32">
        <f>IFERROR(D295-D294,"")</f>
        <v/>
      </c>
      <c r="F295" s="32">
        <f>IFERROR(D294,"")</f>
        <v/>
      </c>
      <c r="G295" s="41">
        <f>IFERROR((D295-$C$24)/$C$25,"")</f>
        <v/>
      </c>
      <c r="H295" s="32">
        <f>IFERROR(D321-D295,"")</f>
        <v/>
      </c>
      <c r="I295" s="32">
        <f>IFERROR(D295-D291,"")</f>
        <v/>
      </c>
      <c r="J295" s="32">
        <f>IFERROR(D295-D282,"")</f>
        <v/>
      </c>
      <c r="K295">
        <f>IF(A295="","",$C$24)</f>
        <v/>
      </c>
      <c r="L295">
        <f>IF(A295="","",$C$24-$C$25)</f>
        <v/>
      </c>
      <c r="M295">
        <f>IF(A295="","",$C$24+$C$25)</f>
        <v/>
      </c>
    </row>
    <row r="296">
      <c r="A296" s="40">
        <f>IFERROR(INDEX($R$108:$R$388,ROW()-107),"")</f>
        <v/>
      </c>
      <c r="B296">
        <f>IFERROR(INDEX($S$108:$S$388,ROW()-107),"")</f>
        <v/>
      </c>
      <c r="C296">
        <f>IFERROR(INDEX($W$108:$W$388,ROW()-107),"")</f>
        <v/>
      </c>
      <c r="D296" s="32">
        <f>IFERROR((C296-B296)*100,"")</f>
        <v/>
      </c>
      <c r="E296" s="32">
        <f>IFERROR(D296-D295,"")</f>
        <v/>
      </c>
      <c r="F296" s="32">
        <f>IFERROR(D295,"")</f>
        <v/>
      </c>
      <c r="G296" s="41">
        <f>IFERROR((D296-$C$24)/$C$25,"")</f>
        <v/>
      </c>
      <c r="H296" s="32">
        <f>IFERROR(D322-D296,"")</f>
        <v/>
      </c>
      <c r="I296" s="32">
        <f>IFERROR(D296-D292,"")</f>
        <v/>
      </c>
      <c r="J296" s="32">
        <f>IFERROR(D296-D283,"")</f>
        <v/>
      </c>
      <c r="K296">
        <f>IF(A296="","",$C$24)</f>
        <v/>
      </c>
      <c r="L296">
        <f>IF(A296="","",$C$24-$C$25)</f>
        <v/>
      </c>
      <c r="M296">
        <f>IF(A296="","",$C$24+$C$25)</f>
        <v/>
      </c>
    </row>
    <row r="297">
      <c r="A297" s="40">
        <f>IFERROR(INDEX($R$108:$R$388,ROW()-107),"")</f>
        <v/>
      </c>
      <c r="B297">
        <f>IFERROR(INDEX($S$108:$S$388,ROW()-107),"")</f>
        <v/>
      </c>
      <c r="C297">
        <f>IFERROR(INDEX($W$108:$W$388,ROW()-107),"")</f>
        <v/>
      </c>
      <c r="D297" s="32">
        <f>IFERROR((C297-B297)*100,"")</f>
        <v/>
      </c>
      <c r="E297" s="32">
        <f>IFERROR(D297-D296,"")</f>
        <v/>
      </c>
      <c r="F297" s="32">
        <f>IFERROR(D296,"")</f>
        <v/>
      </c>
      <c r="G297" s="41">
        <f>IFERROR((D297-$C$24)/$C$25,"")</f>
        <v/>
      </c>
      <c r="H297" s="32">
        <f>IFERROR(D323-D297,"")</f>
        <v/>
      </c>
      <c r="I297" s="32">
        <f>IFERROR(D297-D293,"")</f>
        <v/>
      </c>
      <c r="J297" s="32">
        <f>IFERROR(D297-D284,"")</f>
        <v/>
      </c>
      <c r="K297">
        <f>IF(A297="","",$C$24)</f>
        <v/>
      </c>
      <c r="L297">
        <f>IF(A297="","",$C$24-$C$25)</f>
        <v/>
      </c>
      <c r="M297">
        <f>IF(A297="","",$C$24+$C$25)</f>
        <v/>
      </c>
    </row>
    <row r="298">
      <c r="A298" s="40">
        <f>IFERROR(INDEX($R$108:$R$388,ROW()-107),"")</f>
        <v/>
      </c>
      <c r="B298">
        <f>IFERROR(INDEX($S$108:$S$388,ROW()-107),"")</f>
        <v/>
      </c>
      <c r="C298">
        <f>IFERROR(INDEX($W$108:$W$388,ROW()-107),"")</f>
        <v/>
      </c>
      <c r="D298" s="32">
        <f>IFERROR((C298-B298)*100,"")</f>
        <v/>
      </c>
      <c r="E298" s="32">
        <f>IFERROR(D298-D297,"")</f>
        <v/>
      </c>
      <c r="F298" s="32">
        <f>IFERROR(D297,"")</f>
        <v/>
      </c>
      <c r="G298" s="41">
        <f>IFERROR((D298-$C$24)/$C$25,"")</f>
        <v/>
      </c>
      <c r="H298" s="32">
        <f>IFERROR(D324-D298,"")</f>
        <v/>
      </c>
      <c r="I298" s="32">
        <f>IFERROR(D298-D294,"")</f>
        <v/>
      </c>
      <c r="J298" s="32">
        <f>IFERROR(D298-D285,"")</f>
        <v/>
      </c>
      <c r="K298">
        <f>IF(A298="","",$C$24)</f>
        <v/>
      </c>
      <c r="L298">
        <f>IF(A298="","",$C$24-$C$25)</f>
        <v/>
      </c>
      <c r="M298">
        <f>IF(A298="","",$C$24+$C$25)</f>
        <v/>
      </c>
    </row>
    <row r="299">
      <c r="A299" s="40">
        <f>IFERROR(INDEX($R$108:$R$388,ROW()-107),"")</f>
        <v/>
      </c>
      <c r="B299">
        <f>IFERROR(INDEX($S$108:$S$388,ROW()-107),"")</f>
        <v/>
      </c>
      <c r="C299">
        <f>IFERROR(INDEX($W$108:$W$388,ROW()-107),"")</f>
        <v/>
      </c>
      <c r="D299" s="32">
        <f>IFERROR((C299-B299)*100,"")</f>
        <v/>
      </c>
      <c r="E299" s="32">
        <f>IFERROR(D299-D298,"")</f>
        <v/>
      </c>
      <c r="F299" s="32">
        <f>IFERROR(D298,"")</f>
        <v/>
      </c>
      <c r="G299" s="41">
        <f>IFERROR((D299-$C$24)/$C$25,"")</f>
        <v/>
      </c>
      <c r="H299" s="32">
        <f>IFERROR(D325-D299,"")</f>
        <v/>
      </c>
      <c r="I299" s="32">
        <f>IFERROR(D299-D295,"")</f>
        <v/>
      </c>
      <c r="J299" s="32">
        <f>IFERROR(D299-D286,"")</f>
        <v/>
      </c>
      <c r="K299">
        <f>IF(A299="","",$C$24)</f>
        <v/>
      </c>
      <c r="L299">
        <f>IF(A299="","",$C$24-$C$25)</f>
        <v/>
      </c>
      <c r="M299">
        <f>IF(A299="","",$C$24+$C$25)</f>
        <v/>
      </c>
    </row>
    <row r="300">
      <c r="A300" s="40">
        <f>IFERROR(INDEX($R$108:$R$388,ROW()-107),"")</f>
        <v/>
      </c>
      <c r="B300">
        <f>IFERROR(INDEX($S$108:$S$388,ROW()-107),"")</f>
        <v/>
      </c>
      <c r="C300">
        <f>IFERROR(INDEX($W$108:$W$388,ROW()-107),"")</f>
        <v/>
      </c>
      <c r="D300" s="32">
        <f>IFERROR((C300-B300)*100,"")</f>
        <v/>
      </c>
      <c r="E300" s="32">
        <f>IFERROR(D300-D299,"")</f>
        <v/>
      </c>
      <c r="F300" s="32">
        <f>IFERROR(D299,"")</f>
        <v/>
      </c>
      <c r="G300" s="41">
        <f>IFERROR((D300-$C$24)/$C$25,"")</f>
        <v/>
      </c>
      <c r="H300" s="32">
        <f>IFERROR(D326-D300,"")</f>
        <v/>
      </c>
      <c r="I300" s="32">
        <f>IFERROR(D300-D296,"")</f>
        <v/>
      </c>
      <c r="J300" s="32">
        <f>IFERROR(D300-D287,"")</f>
        <v/>
      </c>
      <c r="K300">
        <f>IF(A300="","",$C$24)</f>
        <v/>
      </c>
      <c r="L300">
        <f>IF(A300="","",$C$24-$C$25)</f>
        <v/>
      </c>
      <c r="M300">
        <f>IF(A300="","",$C$24+$C$25)</f>
        <v/>
      </c>
    </row>
    <row r="301">
      <c r="A301" s="40">
        <f>IFERROR(INDEX($R$108:$R$388,ROW()-107),"")</f>
        <v/>
      </c>
      <c r="B301">
        <f>IFERROR(INDEX($S$108:$S$388,ROW()-107),"")</f>
        <v/>
      </c>
      <c r="C301">
        <f>IFERROR(INDEX($W$108:$W$388,ROW()-107),"")</f>
        <v/>
      </c>
      <c r="D301" s="32">
        <f>IFERROR((C301-B301)*100,"")</f>
        <v/>
      </c>
      <c r="E301" s="32">
        <f>IFERROR(D301-D300,"")</f>
        <v/>
      </c>
      <c r="F301" s="32">
        <f>IFERROR(D300,"")</f>
        <v/>
      </c>
      <c r="G301" s="41">
        <f>IFERROR((D301-$C$24)/$C$25,"")</f>
        <v/>
      </c>
      <c r="H301" s="32">
        <f>IFERROR(D327-D301,"")</f>
        <v/>
      </c>
      <c r="I301" s="32">
        <f>IFERROR(D301-D297,"")</f>
        <v/>
      </c>
      <c r="J301" s="32">
        <f>IFERROR(D301-D288,"")</f>
        <v/>
      </c>
      <c r="K301">
        <f>IF(A301="","",$C$24)</f>
        <v/>
      </c>
      <c r="L301">
        <f>IF(A301="","",$C$24-$C$25)</f>
        <v/>
      </c>
      <c r="M301">
        <f>IF(A301="","",$C$24+$C$25)</f>
        <v/>
      </c>
    </row>
    <row r="302">
      <c r="A302" s="40">
        <f>IFERROR(INDEX($R$108:$R$388,ROW()-107),"")</f>
        <v/>
      </c>
      <c r="B302">
        <f>IFERROR(INDEX($S$108:$S$388,ROW()-107),"")</f>
        <v/>
      </c>
      <c r="C302">
        <f>IFERROR(INDEX($W$108:$W$388,ROW()-107),"")</f>
        <v/>
      </c>
      <c r="D302" s="32">
        <f>IFERROR((C302-B302)*100,"")</f>
        <v/>
      </c>
      <c r="E302" s="32">
        <f>IFERROR(D302-D301,"")</f>
        <v/>
      </c>
      <c r="F302" s="32">
        <f>IFERROR(D301,"")</f>
        <v/>
      </c>
      <c r="G302" s="41">
        <f>IFERROR((D302-$C$24)/$C$25,"")</f>
        <v/>
      </c>
      <c r="H302" s="32">
        <f>IFERROR(D328-D302,"")</f>
        <v/>
      </c>
      <c r="I302" s="32">
        <f>IFERROR(D302-D298,"")</f>
        <v/>
      </c>
      <c r="J302" s="32">
        <f>IFERROR(D302-D289,"")</f>
        <v/>
      </c>
      <c r="K302">
        <f>IF(A302="","",$C$24)</f>
        <v/>
      </c>
      <c r="L302">
        <f>IF(A302="","",$C$24-$C$25)</f>
        <v/>
      </c>
      <c r="M302">
        <f>IF(A302="","",$C$24+$C$25)</f>
        <v/>
      </c>
    </row>
    <row r="303">
      <c r="A303" s="40">
        <f>IFERROR(INDEX($R$108:$R$388,ROW()-107),"")</f>
        <v/>
      </c>
      <c r="B303">
        <f>IFERROR(INDEX($S$108:$S$388,ROW()-107),"")</f>
        <v/>
      </c>
      <c r="C303">
        <f>IFERROR(INDEX($W$108:$W$388,ROW()-107),"")</f>
        <v/>
      </c>
      <c r="D303" s="32">
        <f>IFERROR((C303-B303)*100,"")</f>
        <v/>
      </c>
      <c r="E303" s="32">
        <f>IFERROR(D303-D302,"")</f>
        <v/>
      </c>
      <c r="F303" s="32">
        <f>IFERROR(D302,"")</f>
        <v/>
      </c>
      <c r="G303" s="41">
        <f>IFERROR((D303-$C$24)/$C$25,"")</f>
        <v/>
      </c>
      <c r="H303" s="32">
        <f>IFERROR(D329-D303,"")</f>
        <v/>
      </c>
      <c r="I303" s="32">
        <f>IFERROR(D303-D299,"")</f>
        <v/>
      </c>
      <c r="J303" s="32">
        <f>IFERROR(D303-D290,"")</f>
        <v/>
      </c>
      <c r="K303">
        <f>IF(A303="","",$C$24)</f>
        <v/>
      </c>
      <c r="L303">
        <f>IF(A303="","",$C$24-$C$25)</f>
        <v/>
      </c>
      <c r="M303">
        <f>IF(A303="","",$C$24+$C$25)</f>
        <v/>
      </c>
    </row>
    <row r="304">
      <c r="A304" s="40">
        <f>IFERROR(INDEX($R$108:$R$388,ROW()-107),"")</f>
        <v/>
      </c>
      <c r="B304">
        <f>IFERROR(INDEX($S$108:$S$388,ROW()-107),"")</f>
        <v/>
      </c>
      <c r="C304">
        <f>IFERROR(INDEX($W$108:$W$388,ROW()-107),"")</f>
        <v/>
      </c>
      <c r="D304" s="32">
        <f>IFERROR((C304-B304)*100,"")</f>
        <v/>
      </c>
      <c r="E304" s="32">
        <f>IFERROR(D304-D303,"")</f>
        <v/>
      </c>
      <c r="F304" s="32">
        <f>IFERROR(D303,"")</f>
        <v/>
      </c>
      <c r="G304" s="41">
        <f>IFERROR((D304-$C$24)/$C$25,"")</f>
        <v/>
      </c>
      <c r="H304" s="32">
        <f>IFERROR(D330-D304,"")</f>
        <v/>
      </c>
      <c r="I304" s="32">
        <f>IFERROR(D304-D300,"")</f>
        <v/>
      </c>
      <c r="J304" s="32">
        <f>IFERROR(D304-D291,"")</f>
        <v/>
      </c>
      <c r="K304">
        <f>IF(A304="","",$C$24)</f>
        <v/>
      </c>
      <c r="L304">
        <f>IF(A304="","",$C$24-$C$25)</f>
        <v/>
      </c>
      <c r="M304">
        <f>IF(A304="","",$C$24+$C$25)</f>
        <v/>
      </c>
    </row>
    <row r="305">
      <c r="A305" s="40">
        <f>IFERROR(INDEX($R$108:$R$388,ROW()-107),"")</f>
        <v/>
      </c>
      <c r="B305">
        <f>IFERROR(INDEX($S$108:$S$388,ROW()-107),"")</f>
        <v/>
      </c>
      <c r="C305">
        <f>IFERROR(INDEX($W$108:$W$388,ROW()-107),"")</f>
        <v/>
      </c>
      <c r="D305" s="32">
        <f>IFERROR((C305-B305)*100,"")</f>
        <v/>
      </c>
      <c r="E305" s="32">
        <f>IFERROR(D305-D304,"")</f>
        <v/>
      </c>
      <c r="F305" s="32">
        <f>IFERROR(D304,"")</f>
        <v/>
      </c>
      <c r="G305" s="41">
        <f>IFERROR((D305-$C$24)/$C$25,"")</f>
        <v/>
      </c>
      <c r="H305" s="32">
        <f>IFERROR(D331-D305,"")</f>
        <v/>
      </c>
      <c r="I305" s="32">
        <f>IFERROR(D305-D301,"")</f>
        <v/>
      </c>
      <c r="J305" s="32">
        <f>IFERROR(D305-D292,"")</f>
        <v/>
      </c>
      <c r="K305">
        <f>IF(A305="","",$C$24)</f>
        <v/>
      </c>
      <c r="L305">
        <f>IF(A305="","",$C$24-$C$25)</f>
        <v/>
      </c>
      <c r="M305">
        <f>IF(A305="","",$C$24+$C$25)</f>
        <v/>
      </c>
    </row>
    <row r="306">
      <c r="A306" s="40">
        <f>IFERROR(INDEX($R$108:$R$388,ROW()-107),"")</f>
        <v/>
      </c>
      <c r="B306">
        <f>IFERROR(INDEX($S$108:$S$388,ROW()-107),"")</f>
        <v/>
      </c>
      <c r="C306">
        <f>IFERROR(INDEX($W$108:$W$388,ROW()-107),"")</f>
        <v/>
      </c>
      <c r="D306" s="32">
        <f>IFERROR((C306-B306)*100,"")</f>
        <v/>
      </c>
      <c r="E306" s="32">
        <f>IFERROR(D306-D305,"")</f>
        <v/>
      </c>
      <c r="F306" s="32">
        <f>IFERROR(D305,"")</f>
        <v/>
      </c>
      <c r="G306" s="41">
        <f>IFERROR((D306-$C$24)/$C$25,"")</f>
        <v/>
      </c>
      <c r="H306" s="32">
        <f>IFERROR(D332-D306,"")</f>
        <v/>
      </c>
      <c r="I306" s="32">
        <f>IFERROR(D306-D302,"")</f>
        <v/>
      </c>
      <c r="J306" s="32">
        <f>IFERROR(D306-D293,"")</f>
        <v/>
      </c>
      <c r="K306">
        <f>IF(A306="","",$C$24)</f>
        <v/>
      </c>
      <c r="L306">
        <f>IF(A306="","",$C$24-$C$25)</f>
        <v/>
      </c>
      <c r="M306">
        <f>IF(A306="","",$C$24+$C$25)</f>
        <v/>
      </c>
    </row>
    <row r="307">
      <c r="A307" s="40">
        <f>IFERROR(INDEX($R$108:$R$388,ROW()-107),"")</f>
        <v/>
      </c>
      <c r="B307">
        <f>IFERROR(INDEX($S$108:$S$388,ROW()-107),"")</f>
        <v/>
      </c>
      <c r="C307">
        <f>IFERROR(INDEX($W$108:$W$388,ROW()-107),"")</f>
        <v/>
      </c>
      <c r="D307" s="32">
        <f>IFERROR((C307-B307)*100,"")</f>
        <v/>
      </c>
      <c r="E307" s="32">
        <f>IFERROR(D307-D306,"")</f>
        <v/>
      </c>
      <c r="F307" s="32">
        <f>IFERROR(D306,"")</f>
        <v/>
      </c>
      <c r="G307" s="41">
        <f>IFERROR((D307-$C$24)/$C$25,"")</f>
        <v/>
      </c>
      <c r="H307" s="32">
        <f>IFERROR(D333-D307,"")</f>
        <v/>
      </c>
      <c r="I307" s="32">
        <f>IFERROR(D307-D303,"")</f>
        <v/>
      </c>
      <c r="J307" s="32">
        <f>IFERROR(D307-D294,"")</f>
        <v/>
      </c>
      <c r="K307">
        <f>IF(A307="","",$C$24)</f>
        <v/>
      </c>
      <c r="L307">
        <f>IF(A307="","",$C$24-$C$25)</f>
        <v/>
      </c>
      <c r="M307">
        <f>IF(A307="","",$C$24+$C$25)</f>
        <v/>
      </c>
    </row>
    <row r="308">
      <c r="A308" s="40">
        <f>IFERROR(INDEX($R$108:$R$388,ROW()-107),"")</f>
        <v/>
      </c>
      <c r="B308">
        <f>IFERROR(INDEX($S$108:$S$388,ROW()-107),"")</f>
        <v/>
      </c>
      <c r="C308">
        <f>IFERROR(INDEX($W$108:$W$388,ROW()-107),"")</f>
        <v/>
      </c>
      <c r="D308" s="32">
        <f>IFERROR((C308-B308)*100,"")</f>
        <v/>
      </c>
      <c r="E308" s="32">
        <f>IFERROR(D308-D307,"")</f>
        <v/>
      </c>
      <c r="F308" s="32">
        <f>IFERROR(D307,"")</f>
        <v/>
      </c>
      <c r="G308" s="41">
        <f>IFERROR((D308-$C$24)/$C$25,"")</f>
        <v/>
      </c>
      <c r="H308" s="32">
        <f>IFERROR(D334-D308,"")</f>
        <v/>
      </c>
      <c r="I308" s="32">
        <f>IFERROR(D308-D304,"")</f>
        <v/>
      </c>
      <c r="J308" s="32">
        <f>IFERROR(D308-D295,"")</f>
        <v/>
      </c>
      <c r="K308">
        <f>IF(A308="","",$C$24)</f>
        <v/>
      </c>
      <c r="L308">
        <f>IF(A308="","",$C$24-$C$25)</f>
        <v/>
      </c>
      <c r="M308">
        <f>IF(A308="","",$C$24+$C$25)</f>
        <v/>
      </c>
    </row>
    <row r="309">
      <c r="A309" s="40">
        <f>IFERROR(INDEX($R$108:$R$388,ROW()-107),"")</f>
        <v/>
      </c>
      <c r="B309">
        <f>IFERROR(INDEX($S$108:$S$388,ROW()-107),"")</f>
        <v/>
      </c>
      <c r="C309">
        <f>IFERROR(INDEX($W$108:$W$388,ROW()-107),"")</f>
        <v/>
      </c>
      <c r="D309" s="32">
        <f>IFERROR((C309-B309)*100,"")</f>
        <v/>
      </c>
      <c r="E309" s="32">
        <f>IFERROR(D309-D308,"")</f>
        <v/>
      </c>
      <c r="F309" s="32">
        <f>IFERROR(D308,"")</f>
        <v/>
      </c>
      <c r="G309" s="41">
        <f>IFERROR((D309-$C$24)/$C$25,"")</f>
        <v/>
      </c>
      <c r="H309" s="32">
        <f>IFERROR(D335-D309,"")</f>
        <v/>
      </c>
      <c r="I309" s="32">
        <f>IFERROR(D309-D305,"")</f>
        <v/>
      </c>
      <c r="J309" s="32">
        <f>IFERROR(D309-D296,"")</f>
        <v/>
      </c>
      <c r="K309">
        <f>IF(A309="","",$C$24)</f>
        <v/>
      </c>
      <c r="L309">
        <f>IF(A309="","",$C$24-$C$25)</f>
        <v/>
      </c>
      <c r="M309">
        <f>IF(A309="","",$C$24+$C$25)</f>
        <v/>
      </c>
    </row>
    <row r="310">
      <c r="A310" s="40">
        <f>IFERROR(INDEX($R$108:$R$388,ROW()-107),"")</f>
        <v/>
      </c>
      <c r="B310">
        <f>IFERROR(INDEX($S$108:$S$388,ROW()-107),"")</f>
        <v/>
      </c>
      <c r="C310">
        <f>IFERROR(INDEX($W$108:$W$388,ROW()-107),"")</f>
        <v/>
      </c>
      <c r="D310" s="32">
        <f>IFERROR((C310-B310)*100,"")</f>
        <v/>
      </c>
      <c r="E310" s="32">
        <f>IFERROR(D310-D309,"")</f>
        <v/>
      </c>
      <c r="F310" s="32">
        <f>IFERROR(D309,"")</f>
        <v/>
      </c>
      <c r="G310" s="41">
        <f>IFERROR((D310-$C$24)/$C$25,"")</f>
        <v/>
      </c>
      <c r="H310" s="32">
        <f>IFERROR(D336-D310,"")</f>
        <v/>
      </c>
      <c r="I310" s="32">
        <f>IFERROR(D310-D306,"")</f>
        <v/>
      </c>
      <c r="J310" s="32">
        <f>IFERROR(D310-D297,"")</f>
        <v/>
      </c>
      <c r="K310">
        <f>IF(A310="","",$C$24)</f>
        <v/>
      </c>
      <c r="L310">
        <f>IF(A310="","",$C$24-$C$25)</f>
        <v/>
      </c>
      <c r="M310">
        <f>IF(A310="","",$C$24+$C$25)</f>
        <v/>
      </c>
    </row>
    <row r="311">
      <c r="A311" s="40">
        <f>IFERROR(INDEX($R$108:$R$388,ROW()-107),"")</f>
        <v/>
      </c>
      <c r="B311">
        <f>IFERROR(INDEX($S$108:$S$388,ROW()-107),"")</f>
        <v/>
      </c>
      <c r="C311">
        <f>IFERROR(INDEX($W$108:$W$388,ROW()-107),"")</f>
        <v/>
      </c>
      <c r="D311" s="32">
        <f>IFERROR((C311-B311)*100,"")</f>
        <v/>
      </c>
      <c r="E311" s="32">
        <f>IFERROR(D311-D310,"")</f>
        <v/>
      </c>
      <c r="F311" s="32">
        <f>IFERROR(D310,"")</f>
        <v/>
      </c>
      <c r="G311" s="41">
        <f>IFERROR((D311-$C$24)/$C$25,"")</f>
        <v/>
      </c>
      <c r="H311" s="32">
        <f>IFERROR(D337-D311,"")</f>
        <v/>
      </c>
      <c r="I311" s="32">
        <f>IFERROR(D311-D307,"")</f>
        <v/>
      </c>
      <c r="J311" s="32">
        <f>IFERROR(D311-D298,"")</f>
        <v/>
      </c>
      <c r="K311">
        <f>IF(A311="","",$C$24)</f>
        <v/>
      </c>
      <c r="L311">
        <f>IF(A311="","",$C$24-$C$25)</f>
        <v/>
      </c>
      <c r="M311">
        <f>IF(A311="","",$C$24+$C$25)</f>
        <v/>
      </c>
    </row>
    <row r="312">
      <c r="A312" s="40">
        <f>IFERROR(INDEX($R$108:$R$388,ROW()-107),"")</f>
        <v/>
      </c>
      <c r="B312">
        <f>IFERROR(INDEX($S$108:$S$388,ROW()-107),"")</f>
        <v/>
      </c>
      <c r="C312">
        <f>IFERROR(INDEX($W$108:$W$388,ROW()-107),"")</f>
        <v/>
      </c>
      <c r="D312" s="32">
        <f>IFERROR((C312-B312)*100,"")</f>
        <v/>
      </c>
      <c r="E312" s="32">
        <f>IFERROR(D312-D311,"")</f>
        <v/>
      </c>
      <c r="F312" s="32">
        <f>IFERROR(D311,"")</f>
        <v/>
      </c>
      <c r="G312" s="41">
        <f>IFERROR((D312-$C$24)/$C$25,"")</f>
        <v/>
      </c>
      <c r="H312" s="32">
        <f>IFERROR(D338-D312,"")</f>
        <v/>
      </c>
      <c r="I312" s="32">
        <f>IFERROR(D312-D308,"")</f>
        <v/>
      </c>
      <c r="J312" s="32">
        <f>IFERROR(D312-D299,"")</f>
        <v/>
      </c>
      <c r="K312">
        <f>IF(A312="","",$C$24)</f>
        <v/>
      </c>
      <c r="L312">
        <f>IF(A312="","",$C$24-$C$25)</f>
        <v/>
      </c>
      <c r="M312">
        <f>IF(A312="","",$C$24+$C$25)</f>
        <v/>
      </c>
    </row>
    <row r="313">
      <c r="A313" s="40">
        <f>IFERROR(INDEX($R$108:$R$388,ROW()-107),"")</f>
        <v/>
      </c>
      <c r="B313">
        <f>IFERROR(INDEX($S$108:$S$388,ROW()-107),"")</f>
        <v/>
      </c>
      <c r="C313">
        <f>IFERROR(INDEX($W$108:$W$388,ROW()-107),"")</f>
        <v/>
      </c>
      <c r="D313" s="32">
        <f>IFERROR((C313-B313)*100,"")</f>
        <v/>
      </c>
      <c r="E313" s="32">
        <f>IFERROR(D313-D312,"")</f>
        <v/>
      </c>
      <c r="F313" s="32">
        <f>IFERROR(D312,"")</f>
        <v/>
      </c>
      <c r="G313" s="41">
        <f>IFERROR((D313-$C$24)/$C$25,"")</f>
        <v/>
      </c>
      <c r="H313" s="32">
        <f>IFERROR(D339-D313,"")</f>
        <v/>
      </c>
      <c r="I313" s="32">
        <f>IFERROR(D313-D309,"")</f>
        <v/>
      </c>
      <c r="J313" s="32">
        <f>IFERROR(D313-D300,"")</f>
        <v/>
      </c>
      <c r="K313">
        <f>IF(A313="","",$C$24)</f>
        <v/>
      </c>
      <c r="L313">
        <f>IF(A313="","",$C$24-$C$25)</f>
        <v/>
      </c>
      <c r="M313">
        <f>IF(A313="","",$C$24+$C$25)</f>
        <v/>
      </c>
    </row>
    <row r="314">
      <c r="A314" s="40">
        <f>IFERROR(INDEX($R$108:$R$388,ROW()-107),"")</f>
        <v/>
      </c>
      <c r="B314">
        <f>IFERROR(INDEX($S$108:$S$388,ROW()-107),"")</f>
        <v/>
      </c>
      <c r="C314">
        <f>IFERROR(INDEX($W$108:$W$388,ROW()-107),"")</f>
        <v/>
      </c>
      <c r="D314" s="32">
        <f>IFERROR((C314-B314)*100,"")</f>
        <v/>
      </c>
      <c r="E314" s="32">
        <f>IFERROR(D314-D313,"")</f>
        <v/>
      </c>
      <c r="F314" s="32">
        <f>IFERROR(D313,"")</f>
        <v/>
      </c>
      <c r="G314" s="41">
        <f>IFERROR((D314-$C$24)/$C$25,"")</f>
        <v/>
      </c>
      <c r="H314" s="32">
        <f>IFERROR(D340-D314,"")</f>
        <v/>
      </c>
      <c r="I314" s="32">
        <f>IFERROR(D314-D310,"")</f>
        <v/>
      </c>
      <c r="J314" s="32">
        <f>IFERROR(D314-D301,"")</f>
        <v/>
      </c>
      <c r="K314">
        <f>IF(A314="","",$C$24)</f>
        <v/>
      </c>
      <c r="L314">
        <f>IF(A314="","",$C$24-$C$25)</f>
        <v/>
      </c>
      <c r="M314">
        <f>IF(A314="","",$C$24+$C$25)</f>
        <v/>
      </c>
    </row>
    <row r="315">
      <c r="A315" s="40">
        <f>IFERROR(INDEX($R$108:$R$388,ROW()-107),"")</f>
        <v/>
      </c>
      <c r="B315">
        <f>IFERROR(INDEX($S$108:$S$388,ROW()-107),"")</f>
        <v/>
      </c>
      <c r="C315">
        <f>IFERROR(INDEX($W$108:$W$388,ROW()-107),"")</f>
        <v/>
      </c>
      <c r="D315" s="32">
        <f>IFERROR((C315-B315)*100,"")</f>
        <v/>
      </c>
      <c r="E315" s="32">
        <f>IFERROR(D315-D314,"")</f>
        <v/>
      </c>
      <c r="F315" s="32">
        <f>IFERROR(D314,"")</f>
        <v/>
      </c>
      <c r="G315" s="41">
        <f>IFERROR((D315-$C$24)/$C$25,"")</f>
        <v/>
      </c>
      <c r="H315" s="32">
        <f>IFERROR(D341-D315,"")</f>
        <v/>
      </c>
      <c r="I315" s="32">
        <f>IFERROR(D315-D311,"")</f>
        <v/>
      </c>
      <c r="J315" s="32">
        <f>IFERROR(D315-D302,"")</f>
        <v/>
      </c>
      <c r="K315">
        <f>IF(A315="","",$C$24)</f>
        <v/>
      </c>
      <c r="L315">
        <f>IF(A315="","",$C$24-$C$25)</f>
        <v/>
      </c>
      <c r="M315">
        <f>IF(A315="","",$C$24+$C$25)</f>
        <v/>
      </c>
    </row>
    <row r="316">
      <c r="A316" s="40">
        <f>IFERROR(INDEX($R$108:$R$388,ROW()-107),"")</f>
        <v/>
      </c>
      <c r="B316">
        <f>IFERROR(INDEX($S$108:$S$388,ROW()-107),"")</f>
        <v/>
      </c>
      <c r="C316">
        <f>IFERROR(INDEX($W$108:$W$388,ROW()-107),"")</f>
        <v/>
      </c>
      <c r="D316" s="32">
        <f>IFERROR((C316-B316)*100,"")</f>
        <v/>
      </c>
      <c r="E316" s="32">
        <f>IFERROR(D316-D315,"")</f>
        <v/>
      </c>
      <c r="F316" s="32">
        <f>IFERROR(D315,"")</f>
        <v/>
      </c>
      <c r="G316" s="41">
        <f>IFERROR((D316-$C$24)/$C$25,"")</f>
        <v/>
      </c>
      <c r="H316" s="32">
        <f>IFERROR(D342-D316,"")</f>
        <v/>
      </c>
      <c r="I316" s="32">
        <f>IFERROR(D316-D312,"")</f>
        <v/>
      </c>
      <c r="J316" s="32">
        <f>IFERROR(D316-D303,"")</f>
        <v/>
      </c>
      <c r="K316">
        <f>IF(A316="","",$C$24)</f>
        <v/>
      </c>
      <c r="L316">
        <f>IF(A316="","",$C$24-$C$25)</f>
        <v/>
      </c>
      <c r="M316">
        <f>IF(A316="","",$C$24+$C$25)</f>
        <v/>
      </c>
    </row>
    <row r="317">
      <c r="A317" s="40">
        <f>IFERROR(INDEX($R$108:$R$388,ROW()-107),"")</f>
        <v/>
      </c>
      <c r="B317">
        <f>IFERROR(INDEX($S$108:$S$388,ROW()-107),"")</f>
        <v/>
      </c>
      <c r="C317">
        <f>IFERROR(INDEX($W$108:$W$388,ROW()-107),"")</f>
        <v/>
      </c>
      <c r="D317" s="32">
        <f>IFERROR((C317-B317)*100,"")</f>
        <v/>
      </c>
      <c r="E317" s="32">
        <f>IFERROR(D317-D316,"")</f>
        <v/>
      </c>
      <c r="F317" s="32">
        <f>IFERROR(D316,"")</f>
        <v/>
      </c>
      <c r="G317" s="41">
        <f>IFERROR((D317-$C$24)/$C$25,"")</f>
        <v/>
      </c>
      <c r="H317" s="32">
        <f>IFERROR(D343-D317,"")</f>
        <v/>
      </c>
      <c r="I317" s="32">
        <f>IFERROR(D317-D313,"")</f>
        <v/>
      </c>
      <c r="J317" s="32">
        <f>IFERROR(D317-D304,"")</f>
        <v/>
      </c>
      <c r="K317">
        <f>IF(A317="","",$C$24)</f>
        <v/>
      </c>
      <c r="L317">
        <f>IF(A317="","",$C$24-$C$25)</f>
        <v/>
      </c>
      <c r="M317">
        <f>IF(A317="","",$C$24+$C$25)</f>
        <v/>
      </c>
    </row>
    <row r="318">
      <c r="A318" s="40">
        <f>IFERROR(INDEX($R$108:$R$388,ROW()-107),"")</f>
        <v/>
      </c>
      <c r="B318">
        <f>IFERROR(INDEX($S$108:$S$388,ROW()-107),"")</f>
        <v/>
      </c>
      <c r="C318">
        <f>IFERROR(INDEX($W$108:$W$388,ROW()-107),"")</f>
        <v/>
      </c>
      <c r="D318" s="32">
        <f>IFERROR((C318-B318)*100,"")</f>
        <v/>
      </c>
      <c r="E318" s="32">
        <f>IFERROR(D318-D317,"")</f>
        <v/>
      </c>
      <c r="F318" s="32">
        <f>IFERROR(D317,"")</f>
        <v/>
      </c>
      <c r="G318" s="41">
        <f>IFERROR((D318-$C$24)/$C$25,"")</f>
        <v/>
      </c>
      <c r="H318" s="32">
        <f>IFERROR(D344-D318,"")</f>
        <v/>
      </c>
      <c r="I318" s="32">
        <f>IFERROR(D318-D314,"")</f>
        <v/>
      </c>
      <c r="J318" s="32">
        <f>IFERROR(D318-D305,"")</f>
        <v/>
      </c>
      <c r="K318">
        <f>IF(A318="","",$C$24)</f>
        <v/>
      </c>
      <c r="L318">
        <f>IF(A318="","",$C$24-$C$25)</f>
        <v/>
      </c>
      <c r="M318">
        <f>IF(A318="","",$C$24+$C$25)</f>
        <v/>
      </c>
    </row>
    <row r="319">
      <c r="A319" s="40">
        <f>IFERROR(INDEX($R$108:$R$388,ROW()-107),"")</f>
        <v/>
      </c>
      <c r="B319">
        <f>IFERROR(INDEX($S$108:$S$388,ROW()-107),"")</f>
        <v/>
      </c>
      <c r="C319">
        <f>IFERROR(INDEX($W$108:$W$388,ROW()-107),"")</f>
        <v/>
      </c>
      <c r="D319" s="32">
        <f>IFERROR((C319-B319)*100,"")</f>
        <v/>
      </c>
      <c r="E319" s="32">
        <f>IFERROR(D319-D318,"")</f>
        <v/>
      </c>
      <c r="F319" s="32">
        <f>IFERROR(D318,"")</f>
        <v/>
      </c>
      <c r="G319" s="41">
        <f>IFERROR((D319-$C$24)/$C$25,"")</f>
        <v/>
      </c>
      <c r="H319" s="32">
        <f>IFERROR(D345-D319,"")</f>
        <v/>
      </c>
      <c r="I319" s="32">
        <f>IFERROR(D319-D315,"")</f>
        <v/>
      </c>
      <c r="J319" s="32">
        <f>IFERROR(D319-D306,"")</f>
        <v/>
      </c>
      <c r="K319">
        <f>IF(A319="","",$C$24)</f>
        <v/>
      </c>
      <c r="L319">
        <f>IF(A319="","",$C$24-$C$25)</f>
        <v/>
      </c>
      <c r="M319">
        <f>IF(A319="","",$C$24+$C$25)</f>
        <v/>
      </c>
    </row>
    <row r="320">
      <c r="A320" s="40">
        <f>IFERROR(INDEX($R$108:$R$388,ROW()-107),"")</f>
        <v/>
      </c>
      <c r="B320">
        <f>IFERROR(INDEX($S$108:$S$388,ROW()-107),"")</f>
        <v/>
      </c>
      <c r="C320">
        <f>IFERROR(INDEX($W$108:$W$388,ROW()-107),"")</f>
        <v/>
      </c>
      <c r="D320" s="32">
        <f>IFERROR((C320-B320)*100,"")</f>
        <v/>
      </c>
      <c r="E320" s="32">
        <f>IFERROR(D320-D319,"")</f>
        <v/>
      </c>
      <c r="F320" s="32">
        <f>IFERROR(D319,"")</f>
        <v/>
      </c>
      <c r="G320" s="41">
        <f>IFERROR((D320-$C$24)/$C$25,"")</f>
        <v/>
      </c>
      <c r="H320" s="32">
        <f>IFERROR(D346-D320,"")</f>
        <v/>
      </c>
      <c r="I320" s="32">
        <f>IFERROR(D320-D316,"")</f>
        <v/>
      </c>
      <c r="J320" s="32">
        <f>IFERROR(D320-D307,"")</f>
        <v/>
      </c>
      <c r="K320">
        <f>IF(A320="","",$C$24)</f>
        <v/>
      </c>
      <c r="L320">
        <f>IF(A320="","",$C$24-$C$25)</f>
        <v/>
      </c>
      <c r="M320">
        <f>IF(A320="","",$C$24+$C$25)</f>
        <v/>
      </c>
    </row>
    <row r="321">
      <c r="A321" s="40">
        <f>IFERROR(INDEX($R$108:$R$388,ROW()-107),"")</f>
        <v/>
      </c>
      <c r="B321">
        <f>IFERROR(INDEX($S$108:$S$388,ROW()-107),"")</f>
        <v/>
      </c>
      <c r="C321">
        <f>IFERROR(INDEX($W$108:$W$388,ROW()-107),"")</f>
        <v/>
      </c>
      <c r="D321" s="32">
        <f>IFERROR((C321-B321)*100,"")</f>
        <v/>
      </c>
      <c r="E321" s="32">
        <f>IFERROR(D321-D320,"")</f>
        <v/>
      </c>
      <c r="F321" s="32">
        <f>IFERROR(D320,"")</f>
        <v/>
      </c>
      <c r="G321" s="41">
        <f>IFERROR((D321-$C$24)/$C$25,"")</f>
        <v/>
      </c>
      <c r="H321" s="32">
        <f>IFERROR(D347-D321,"")</f>
        <v/>
      </c>
      <c r="I321" s="32">
        <f>IFERROR(D321-D317,"")</f>
        <v/>
      </c>
      <c r="J321" s="32">
        <f>IFERROR(D321-D308,"")</f>
        <v/>
      </c>
      <c r="K321">
        <f>IF(A321="","",$C$24)</f>
        <v/>
      </c>
      <c r="L321">
        <f>IF(A321="","",$C$24-$C$25)</f>
        <v/>
      </c>
      <c r="M321">
        <f>IF(A321="","",$C$24+$C$25)</f>
        <v/>
      </c>
    </row>
    <row r="322">
      <c r="A322" s="40">
        <f>IFERROR(INDEX($R$108:$R$388,ROW()-107),"")</f>
        <v/>
      </c>
      <c r="B322">
        <f>IFERROR(INDEX($S$108:$S$388,ROW()-107),"")</f>
        <v/>
      </c>
      <c r="C322">
        <f>IFERROR(INDEX($W$108:$W$388,ROW()-107),"")</f>
        <v/>
      </c>
      <c r="D322" s="32">
        <f>IFERROR((C322-B322)*100,"")</f>
        <v/>
      </c>
      <c r="E322" s="32">
        <f>IFERROR(D322-D321,"")</f>
        <v/>
      </c>
      <c r="F322" s="32">
        <f>IFERROR(D321,"")</f>
        <v/>
      </c>
      <c r="G322" s="41">
        <f>IFERROR((D322-$C$24)/$C$25,"")</f>
        <v/>
      </c>
      <c r="H322" s="32">
        <f>IFERROR(D348-D322,"")</f>
        <v/>
      </c>
      <c r="I322" s="32">
        <f>IFERROR(D322-D318,"")</f>
        <v/>
      </c>
      <c r="J322" s="32">
        <f>IFERROR(D322-D309,"")</f>
        <v/>
      </c>
      <c r="K322">
        <f>IF(A322="","",$C$24)</f>
        <v/>
      </c>
      <c r="L322">
        <f>IF(A322="","",$C$24-$C$25)</f>
        <v/>
      </c>
      <c r="M322">
        <f>IF(A322="","",$C$24+$C$25)</f>
        <v/>
      </c>
    </row>
    <row r="323">
      <c r="A323" s="40">
        <f>IFERROR(INDEX($R$108:$R$388,ROW()-107),"")</f>
        <v/>
      </c>
      <c r="B323">
        <f>IFERROR(INDEX($S$108:$S$388,ROW()-107),"")</f>
        <v/>
      </c>
      <c r="C323">
        <f>IFERROR(INDEX($W$108:$W$388,ROW()-107),"")</f>
        <v/>
      </c>
      <c r="D323" s="32">
        <f>IFERROR((C323-B323)*100,"")</f>
        <v/>
      </c>
      <c r="E323" s="32">
        <f>IFERROR(D323-D322,"")</f>
        <v/>
      </c>
      <c r="F323" s="32">
        <f>IFERROR(D322,"")</f>
        <v/>
      </c>
      <c r="G323" s="41">
        <f>IFERROR((D323-$C$24)/$C$25,"")</f>
        <v/>
      </c>
      <c r="H323" s="32">
        <f>IFERROR(D349-D323,"")</f>
        <v/>
      </c>
      <c r="I323" s="32">
        <f>IFERROR(D323-D319,"")</f>
        <v/>
      </c>
      <c r="J323" s="32">
        <f>IFERROR(D323-D310,"")</f>
        <v/>
      </c>
      <c r="K323">
        <f>IF(A323="","",$C$24)</f>
        <v/>
      </c>
      <c r="L323">
        <f>IF(A323="","",$C$24-$C$25)</f>
        <v/>
      </c>
      <c r="M323">
        <f>IF(A323="","",$C$24+$C$25)</f>
        <v/>
      </c>
    </row>
    <row r="324">
      <c r="A324" s="40">
        <f>IFERROR(INDEX($R$108:$R$388,ROW()-107),"")</f>
        <v/>
      </c>
      <c r="B324">
        <f>IFERROR(INDEX($S$108:$S$388,ROW()-107),"")</f>
        <v/>
      </c>
      <c r="C324">
        <f>IFERROR(INDEX($W$108:$W$388,ROW()-107),"")</f>
        <v/>
      </c>
      <c r="D324" s="32">
        <f>IFERROR((C324-B324)*100,"")</f>
        <v/>
      </c>
      <c r="E324" s="32">
        <f>IFERROR(D324-D323,"")</f>
        <v/>
      </c>
      <c r="F324" s="32">
        <f>IFERROR(D323,"")</f>
        <v/>
      </c>
      <c r="G324" s="41">
        <f>IFERROR((D324-$C$24)/$C$25,"")</f>
        <v/>
      </c>
      <c r="H324" s="32">
        <f>IFERROR(D350-D324,"")</f>
        <v/>
      </c>
      <c r="I324" s="32">
        <f>IFERROR(D324-D320,"")</f>
        <v/>
      </c>
      <c r="J324" s="32">
        <f>IFERROR(D324-D311,"")</f>
        <v/>
      </c>
      <c r="K324">
        <f>IF(A324="","",$C$24)</f>
        <v/>
      </c>
      <c r="L324">
        <f>IF(A324="","",$C$24-$C$25)</f>
        <v/>
      </c>
      <c r="M324">
        <f>IF(A324="","",$C$24+$C$25)</f>
        <v/>
      </c>
    </row>
    <row r="325">
      <c r="A325" s="40">
        <f>IFERROR(INDEX($R$108:$R$388,ROW()-107),"")</f>
        <v/>
      </c>
      <c r="B325">
        <f>IFERROR(INDEX($S$108:$S$388,ROW()-107),"")</f>
        <v/>
      </c>
      <c r="C325">
        <f>IFERROR(INDEX($W$108:$W$388,ROW()-107),"")</f>
        <v/>
      </c>
      <c r="D325" s="32">
        <f>IFERROR((C325-B325)*100,"")</f>
        <v/>
      </c>
      <c r="E325" s="32">
        <f>IFERROR(D325-D324,"")</f>
        <v/>
      </c>
      <c r="F325" s="32">
        <f>IFERROR(D324,"")</f>
        <v/>
      </c>
      <c r="G325" s="41">
        <f>IFERROR((D325-$C$24)/$C$25,"")</f>
        <v/>
      </c>
      <c r="H325" s="32">
        <f>IFERROR(D351-D325,"")</f>
        <v/>
      </c>
      <c r="I325" s="32">
        <f>IFERROR(D325-D321,"")</f>
        <v/>
      </c>
      <c r="J325" s="32">
        <f>IFERROR(D325-D312,"")</f>
        <v/>
      </c>
      <c r="K325">
        <f>IF(A325="","",$C$24)</f>
        <v/>
      </c>
      <c r="L325">
        <f>IF(A325="","",$C$24-$C$25)</f>
        <v/>
      </c>
      <c r="M325">
        <f>IF(A325="","",$C$24+$C$25)</f>
        <v/>
      </c>
    </row>
    <row r="326">
      <c r="A326" s="40">
        <f>IFERROR(INDEX($R$108:$R$388,ROW()-107),"")</f>
        <v/>
      </c>
      <c r="B326">
        <f>IFERROR(INDEX($S$108:$S$388,ROW()-107),"")</f>
        <v/>
      </c>
      <c r="C326">
        <f>IFERROR(INDEX($W$108:$W$388,ROW()-107),"")</f>
        <v/>
      </c>
      <c r="D326" s="32">
        <f>IFERROR((C326-B326)*100,"")</f>
        <v/>
      </c>
      <c r="E326" s="32">
        <f>IFERROR(D326-D325,"")</f>
        <v/>
      </c>
      <c r="F326" s="32">
        <f>IFERROR(D325,"")</f>
        <v/>
      </c>
      <c r="G326" s="41">
        <f>IFERROR((D326-$C$24)/$C$25,"")</f>
        <v/>
      </c>
      <c r="H326" s="32">
        <f>IFERROR(D352-D326,"")</f>
        <v/>
      </c>
      <c r="I326" s="32">
        <f>IFERROR(D326-D322,"")</f>
        <v/>
      </c>
      <c r="J326" s="32">
        <f>IFERROR(D326-D313,"")</f>
        <v/>
      </c>
      <c r="K326">
        <f>IF(A326="","",$C$24)</f>
        <v/>
      </c>
      <c r="L326">
        <f>IF(A326="","",$C$24-$C$25)</f>
        <v/>
      </c>
      <c r="M326">
        <f>IF(A326="","",$C$24+$C$25)</f>
        <v/>
      </c>
    </row>
    <row r="327">
      <c r="A327" s="40">
        <f>IFERROR(INDEX($R$108:$R$388,ROW()-107),"")</f>
        <v/>
      </c>
      <c r="B327">
        <f>IFERROR(INDEX($S$108:$S$388,ROW()-107),"")</f>
        <v/>
      </c>
      <c r="C327">
        <f>IFERROR(INDEX($W$108:$W$388,ROW()-107),"")</f>
        <v/>
      </c>
      <c r="D327" s="32">
        <f>IFERROR((C327-B327)*100,"")</f>
        <v/>
      </c>
      <c r="E327" s="32">
        <f>IFERROR(D327-D326,"")</f>
        <v/>
      </c>
      <c r="F327" s="32">
        <f>IFERROR(D326,"")</f>
        <v/>
      </c>
      <c r="G327" s="41">
        <f>IFERROR((D327-$C$24)/$C$25,"")</f>
        <v/>
      </c>
      <c r="H327" s="32">
        <f>IFERROR(D353-D327,"")</f>
        <v/>
      </c>
      <c r="I327" s="32">
        <f>IFERROR(D327-D323,"")</f>
        <v/>
      </c>
      <c r="J327" s="32">
        <f>IFERROR(D327-D314,"")</f>
        <v/>
      </c>
      <c r="K327">
        <f>IF(A327="","",$C$24)</f>
        <v/>
      </c>
      <c r="L327">
        <f>IF(A327="","",$C$24-$C$25)</f>
        <v/>
      </c>
      <c r="M327">
        <f>IF(A327="","",$C$24+$C$25)</f>
        <v/>
      </c>
    </row>
    <row r="328">
      <c r="A328" s="40">
        <f>IFERROR(INDEX($R$108:$R$388,ROW()-107),"")</f>
        <v/>
      </c>
      <c r="B328">
        <f>IFERROR(INDEX($S$108:$S$388,ROW()-107),"")</f>
        <v/>
      </c>
      <c r="C328">
        <f>IFERROR(INDEX($W$108:$W$388,ROW()-107),"")</f>
        <v/>
      </c>
      <c r="D328" s="32">
        <f>IFERROR((C328-B328)*100,"")</f>
        <v/>
      </c>
      <c r="E328" s="32">
        <f>IFERROR(D328-D327,"")</f>
        <v/>
      </c>
      <c r="F328" s="32">
        <f>IFERROR(D327,"")</f>
        <v/>
      </c>
      <c r="G328" s="41">
        <f>IFERROR((D328-$C$24)/$C$25,"")</f>
        <v/>
      </c>
      <c r="H328" s="32">
        <f>IFERROR(D354-D328,"")</f>
        <v/>
      </c>
      <c r="I328" s="32">
        <f>IFERROR(D328-D324,"")</f>
        <v/>
      </c>
      <c r="J328" s="32">
        <f>IFERROR(D328-D315,"")</f>
        <v/>
      </c>
      <c r="K328">
        <f>IF(A328="","",$C$24)</f>
        <v/>
      </c>
      <c r="L328">
        <f>IF(A328="","",$C$24-$C$25)</f>
        <v/>
      </c>
      <c r="M328">
        <f>IF(A328="","",$C$24+$C$25)</f>
        <v/>
      </c>
    </row>
    <row r="329">
      <c r="A329" s="40">
        <f>IFERROR(INDEX($R$108:$R$388,ROW()-107),"")</f>
        <v/>
      </c>
      <c r="B329">
        <f>IFERROR(INDEX($S$108:$S$388,ROW()-107),"")</f>
        <v/>
      </c>
      <c r="C329">
        <f>IFERROR(INDEX($W$108:$W$388,ROW()-107),"")</f>
        <v/>
      </c>
      <c r="D329" s="32">
        <f>IFERROR((C329-B329)*100,"")</f>
        <v/>
      </c>
      <c r="E329" s="32">
        <f>IFERROR(D329-D328,"")</f>
        <v/>
      </c>
      <c r="F329" s="32">
        <f>IFERROR(D328,"")</f>
        <v/>
      </c>
      <c r="G329" s="41">
        <f>IFERROR((D329-$C$24)/$C$25,"")</f>
        <v/>
      </c>
      <c r="H329" s="32">
        <f>IFERROR(D355-D329,"")</f>
        <v/>
      </c>
      <c r="I329" s="32">
        <f>IFERROR(D329-D325,"")</f>
        <v/>
      </c>
      <c r="J329" s="32">
        <f>IFERROR(D329-D316,"")</f>
        <v/>
      </c>
      <c r="K329">
        <f>IF(A329="","",$C$24)</f>
        <v/>
      </c>
      <c r="L329">
        <f>IF(A329="","",$C$24-$C$25)</f>
        <v/>
      </c>
      <c r="M329">
        <f>IF(A329="","",$C$24+$C$25)</f>
        <v/>
      </c>
    </row>
    <row r="330">
      <c r="A330" s="40">
        <f>IFERROR(INDEX($R$108:$R$388,ROW()-107),"")</f>
        <v/>
      </c>
      <c r="B330">
        <f>IFERROR(INDEX($S$108:$S$388,ROW()-107),"")</f>
        <v/>
      </c>
      <c r="C330">
        <f>IFERROR(INDEX($W$108:$W$388,ROW()-107),"")</f>
        <v/>
      </c>
      <c r="D330" s="32">
        <f>IFERROR((C330-B330)*100,"")</f>
        <v/>
      </c>
      <c r="E330" s="32">
        <f>IFERROR(D330-D329,"")</f>
        <v/>
      </c>
      <c r="F330" s="32">
        <f>IFERROR(D329,"")</f>
        <v/>
      </c>
      <c r="G330" s="41">
        <f>IFERROR((D330-$C$24)/$C$25,"")</f>
        <v/>
      </c>
      <c r="H330" s="32">
        <f>IFERROR(D356-D330,"")</f>
        <v/>
      </c>
      <c r="I330" s="32">
        <f>IFERROR(D330-D326,"")</f>
        <v/>
      </c>
      <c r="J330" s="32">
        <f>IFERROR(D330-D317,"")</f>
        <v/>
      </c>
      <c r="K330">
        <f>IF(A330="","",$C$24)</f>
        <v/>
      </c>
      <c r="L330">
        <f>IF(A330="","",$C$24-$C$25)</f>
        <v/>
      </c>
      <c r="M330">
        <f>IF(A330="","",$C$24+$C$25)</f>
        <v/>
      </c>
    </row>
    <row r="331">
      <c r="A331" s="40">
        <f>IFERROR(INDEX($R$108:$R$388,ROW()-107),"")</f>
        <v/>
      </c>
      <c r="B331">
        <f>IFERROR(INDEX($S$108:$S$388,ROW()-107),"")</f>
        <v/>
      </c>
      <c r="C331">
        <f>IFERROR(INDEX($W$108:$W$388,ROW()-107),"")</f>
        <v/>
      </c>
      <c r="D331" s="32">
        <f>IFERROR((C331-B331)*100,"")</f>
        <v/>
      </c>
      <c r="E331" s="32">
        <f>IFERROR(D331-D330,"")</f>
        <v/>
      </c>
      <c r="F331" s="32">
        <f>IFERROR(D330,"")</f>
        <v/>
      </c>
      <c r="G331" s="41">
        <f>IFERROR((D331-$C$24)/$C$25,"")</f>
        <v/>
      </c>
      <c r="H331" s="32">
        <f>IFERROR(D357-D331,"")</f>
        <v/>
      </c>
      <c r="I331" s="32">
        <f>IFERROR(D331-D327,"")</f>
        <v/>
      </c>
      <c r="J331" s="32">
        <f>IFERROR(D331-D318,"")</f>
        <v/>
      </c>
      <c r="K331">
        <f>IF(A331="","",$C$24)</f>
        <v/>
      </c>
      <c r="L331">
        <f>IF(A331="","",$C$24-$C$25)</f>
        <v/>
      </c>
      <c r="M331">
        <f>IF(A331="","",$C$24+$C$25)</f>
        <v/>
      </c>
    </row>
    <row r="332">
      <c r="A332" s="40">
        <f>IFERROR(INDEX($R$108:$R$388,ROW()-107),"")</f>
        <v/>
      </c>
      <c r="B332">
        <f>IFERROR(INDEX($S$108:$S$388,ROW()-107),"")</f>
        <v/>
      </c>
      <c r="C332">
        <f>IFERROR(INDEX($W$108:$W$388,ROW()-107),"")</f>
        <v/>
      </c>
      <c r="D332" s="32">
        <f>IFERROR((C332-B332)*100,"")</f>
        <v/>
      </c>
      <c r="E332" s="32">
        <f>IFERROR(D332-D331,"")</f>
        <v/>
      </c>
      <c r="F332" s="32">
        <f>IFERROR(D331,"")</f>
        <v/>
      </c>
      <c r="G332" s="41">
        <f>IFERROR((D332-$C$24)/$C$25,"")</f>
        <v/>
      </c>
      <c r="H332" s="32">
        <f>IFERROR(D358-D332,"")</f>
        <v/>
      </c>
      <c r="I332" s="32">
        <f>IFERROR(D332-D328,"")</f>
        <v/>
      </c>
      <c r="J332" s="32">
        <f>IFERROR(D332-D319,"")</f>
        <v/>
      </c>
      <c r="K332">
        <f>IF(A332="","",$C$24)</f>
        <v/>
      </c>
      <c r="L332">
        <f>IF(A332="","",$C$24-$C$25)</f>
        <v/>
      </c>
      <c r="M332">
        <f>IF(A332="","",$C$24+$C$25)</f>
        <v/>
      </c>
    </row>
    <row r="333">
      <c r="A333" s="40">
        <f>IFERROR(INDEX($R$108:$R$388,ROW()-107),"")</f>
        <v/>
      </c>
      <c r="B333">
        <f>IFERROR(INDEX($S$108:$S$388,ROW()-107),"")</f>
        <v/>
      </c>
      <c r="C333">
        <f>IFERROR(INDEX($W$108:$W$388,ROW()-107),"")</f>
        <v/>
      </c>
      <c r="D333" s="32">
        <f>IFERROR((C333-B333)*100,"")</f>
        <v/>
      </c>
      <c r="E333" s="32">
        <f>IFERROR(D333-D332,"")</f>
        <v/>
      </c>
      <c r="F333" s="32">
        <f>IFERROR(D332,"")</f>
        <v/>
      </c>
      <c r="G333" s="41">
        <f>IFERROR((D333-$C$24)/$C$25,"")</f>
        <v/>
      </c>
      <c r="H333" s="32">
        <f>IFERROR(D359-D333,"")</f>
        <v/>
      </c>
      <c r="I333" s="32">
        <f>IFERROR(D333-D329,"")</f>
        <v/>
      </c>
      <c r="J333" s="32">
        <f>IFERROR(D333-D320,"")</f>
        <v/>
      </c>
      <c r="K333">
        <f>IF(A333="","",$C$24)</f>
        <v/>
      </c>
      <c r="L333">
        <f>IF(A333="","",$C$24-$C$25)</f>
        <v/>
      </c>
      <c r="M333">
        <f>IF(A333="","",$C$24+$C$25)</f>
        <v/>
      </c>
    </row>
    <row r="334">
      <c r="A334" s="40">
        <f>IFERROR(INDEX($R$108:$R$388,ROW()-107),"")</f>
        <v/>
      </c>
      <c r="B334">
        <f>IFERROR(INDEX($S$108:$S$388,ROW()-107),"")</f>
        <v/>
      </c>
      <c r="C334">
        <f>IFERROR(INDEX($W$108:$W$388,ROW()-107),"")</f>
        <v/>
      </c>
      <c r="D334" s="32">
        <f>IFERROR((C334-B334)*100,"")</f>
        <v/>
      </c>
      <c r="E334" s="32">
        <f>IFERROR(D334-D333,"")</f>
        <v/>
      </c>
      <c r="F334" s="32">
        <f>IFERROR(D333,"")</f>
        <v/>
      </c>
      <c r="G334" s="41">
        <f>IFERROR((D334-$C$24)/$C$25,"")</f>
        <v/>
      </c>
      <c r="H334" s="32">
        <f>IFERROR(D360-D334,"")</f>
        <v/>
      </c>
      <c r="I334" s="32">
        <f>IFERROR(D334-D330,"")</f>
        <v/>
      </c>
      <c r="J334" s="32">
        <f>IFERROR(D334-D321,"")</f>
        <v/>
      </c>
      <c r="K334">
        <f>IF(A334="","",$C$24)</f>
        <v/>
      </c>
      <c r="L334">
        <f>IF(A334="","",$C$24-$C$25)</f>
        <v/>
      </c>
      <c r="M334">
        <f>IF(A334="","",$C$24+$C$25)</f>
        <v/>
      </c>
    </row>
    <row r="335">
      <c r="A335" s="40">
        <f>IFERROR(INDEX($R$108:$R$388,ROW()-107),"")</f>
        <v/>
      </c>
      <c r="B335">
        <f>IFERROR(INDEX($S$108:$S$388,ROW()-107),"")</f>
        <v/>
      </c>
      <c r="C335">
        <f>IFERROR(INDEX($W$108:$W$388,ROW()-107),"")</f>
        <v/>
      </c>
      <c r="D335" s="32">
        <f>IFERROR((C335-B335)*100,"")</f>
        <v/>
      </c>
      <c r="E335" s="32">
        <f>IFERROR(D335-D334,"")</f>
        <v/>
      </c>
      <c r="F335" s="32">
        <f>IFERROR(D334,"")</f>
        <v/>
      </c>
      <c r="G335" s="41">
        <f>IFERROR((D335-$C$24)/$C$25,"")</f>
        <v/>
      </c>
      <c r="H335" s="32">
        <f>IFERROR(D361-D335,"")</f>
        <v/>
      </c>
      <c r="I335" s="32">
        <f>IFERROR(D335-D331,"")</f>
        <v/>
      </c>
      <c r="J335" s="32">
        <f>IFERROR(D335-D322,"")</f>
        <v/>
      </c>
      <c r="K335">
        <f>IF(A335="","",$C$24)</f>
        <v/>
      </c>
      <c r="L335">
        <f>IF(A335="","",$C$24-$C$25)</f>
        <v/>
      </c>
      <c r="M335">
        <f>IF(A335="","",$C$24+$C$25)</f>
        <v/>
      </c>
    </row>
    <row r="336">
      <c r="A336" s="40">
        <f>IFERROR(INDEX($R$108:$R$388,ROW()-107),"")</f>
        <v/>
      </c>
      <c r="B336">
        <f>IFERROR(INDEX($S$108:$S$388,ROW()-107),"")</f>
        <v/>
      </c>
      <c r="C336">
        <f>IFERROR(INDEX($W$108:$W$388,ROW()-107),"")</f>
        <v/>
      </c>
      <c r="D336" s="32">
        <f>IFERROR((C336-B336)*100,"")</f>
        <v/>
      </c>
      <c r="E336" s="32">
        <f>IFERROR(D336-D335,"")</f>
        <v/>
      </c>
      <c r="F336" s="32">
        <f>IFERROR(D335,"")</f>
        <v/>
      </c>
      <c r="G336" s="41">
        <f>IFERROR((D336-$C$24)/$C$25,"")</f>
        <v/>
      </c>
      <c r="H336" s="32">
        <f>IFERROR(D362-D336,"")</f>
        <v/>
      </c>
      <c r="I336" s="32">
        <f>IFERROR(D336-D332,"")</f>
        <v/>
      </c>
      <c r="J336" s="32">
        <f>IFERROR(D336-D323,"")</f>
        <v/>
      </c>
      <c r="K336">
        <f>IF(A336="","",$C$24)</f>
        <v/>
      </c>
      <c r="L336">
        <f>IF(A336="","",$C$24-$C$25)</f>
        <v/>
      </c>
      <c r="M336">
        <f>IF(A336="","",$C$24+$C$25)</f>
        <v/>
      </c>
    </row>
    <row r="337">
      <c r="A337" s="40">
        <f>IFERROR(INDEX($R$108:$R$388,ROW()-107),"")</f>
        <v/>
      </c>
      <c r="B337">
        <f>IFERROR(INDEX($S$108:$S$388,ROW()-107),"")</f>
        <v/>
      </c>
      <c r="C337">
        <f>IFERROR(INDEX($W$108:$W$388,ROW()-107),"")</f>
        <v/>
      </c>
      <c r="D337" s="32">
        <f>IFERROR((C337-B337)*100,"")</f>
        <v/>
      </c>
      <c r="E337" s="32">
        <f>IFERROR(D337-D336,"")</f>
        <v/>
      </c>
      <c r="F337" s="32">
        <f>IFERROR(D336,"")</f>
        <v/>
      </c>
      <c r="G337" s="41">
        <f>IFERROR((D337-$C$24)/$C$25,"")</f>
        <v/>
      </c>
      <c r="H337" s="32">
        <f>IFERROR(D363-D337,"")</f>
        <v/>
      </c>
      <c r="I337" s="32">
        <f>IFERROR(D337-D333,"")</f>
        <v/>
      </c>
      <c r="J337" s="32">
        <f>IFERROR(D337-D324,"")</f>
        <v/>
      </c>
      <c r="K337">
        <f>IF(A337="","",$C$24)</f>
        <v/>
      </c>
      <c r="L337">
        <f>IF(A337="","",$C$24-$C$25)</f>
        <v/>
      </c>
      <c r="M337">
        <f>IF(A337="","",$C$24+$C$25)</f>
        <v/>
      </c>
    </row>
    <row r="338">
      <c r="A338" s="40">
        <f>IFERROR(INDEX($R$108:$R$388,ROW()-107),"")</f>
        <v/>
      </c>
      <c r="B338">
        <f>IFERROR(INDEX($S$108:$S$388,ROW()-107),"")</f>
        <v/>
      </c>
      <c r="C338">
        <f>IFERROR(INDEX($W$108:$W$388,ROW()-107),"")</f>
        <v/>
      </c>
      <c r="D338" s="32">
        <f>IFERROR((C338-B338)*100,"")</f>
        <v/>
      </c>
      <c r="E338" s="32">
        <f>IFERROR(D338-D337,"")</f>
        <v/>
      </c>
      <c r="F338" s="32">
        <f>IFERROR(D337,"")</f>
        <v/>
      </c>
      <c r="G338" s="41">
        <f>IFERROR((D338-$C$24)/$C$25,"")</f>
        <v/>
      </c>
      <c r="H338" s="32">
        <f>IFERROR(D364-D338,"")</f>
        <v/>
      </c>
      <c r="I338" s="32">
        <f>IFERROR(D338-D334,"")</f>
        <v/>
      </c>
      <c r="J338" s="32">
        <f>IFERROR(D338-D325,"")</f>
        <v/>
      </c>
      <c r="K338">
        <f>IF(A338="","",$C$24)</f>
        <v/>
      </c>
      <c r="L338">
        <f>IF(A338="","",$C$24-$C$25)</f>
        <v/>
      </c>
      <c r="M338">
        <f>IF(A338="","",$C$24+$C$25)</f>
        <v/>
      </c>
    </row>
    <row r="339">
      <c r="A339" s="40">
        <f>IFERROR(INDEX($R$108:$R$388,ROW()-107),"")</f>
        <v/>
      </c>
      <c r="B339">
        <f>IFERROR(INDEX($S$108:$S$388,ROW()-107),"")</f>
        <v/>
      </c>
      <c r="C339">
        <f>IFERROR(INDEX($W$108:$W$388,ROW()-107),"")</f>
        <v/>
      </c>
      <c r="D339" s="32">
        <f>IFERROR((C339-B339)*100,"")</f>
        <v/>
      </c>
      <c r="E339" s="32">
        <f>IFERROR(D339-D338,"")</f>
        <v/>
      </c>
      <c r="F339" s="32">
        <f>IFERROR(D338,"")</f>
        <v/>
      </c>
      <c r="G339" s="41">
        <f>IFERROR((D339-$C$24)/$C$25,"")</f>
        <v/>
      </c>
      <c r="H339" s="32">
        <f>IFERROR(D365-D339,"")</f>
        <v/>
      </c>
      <c r="I339" s="32">
        <f>IFERROR(D339-D335,"")</f>
        <v/>
      </c>
      <c r="J339" s="32">
        <f>IFERROR(D339-D326,"")</f>
        <v/>
      </c>
      <c r="K339">
        <f>IF(A339="","",$C$24)</f>
        <v/>
      </c>
      <c r="L339">
        <f>IF(A339="","",$C$24-$C$25)</f>
        <v/>
      </c>
      <c r="M339">
        <f>IF(A339="","",$C$24+$C$25)</f>
        <v/>
      </c>
    </row>
    <row r="340">
      <c r="A340" s="40">
        <f>IFERROR(INDEX($R$108:$R$388,ROW()-107),"")</f>
        <v/>
      </c>
      <c r="B340">
        <f>IFERROR(INDEX($S$108:$S$388,ROW()-107),"")</f>
        <v/>
      </c>
      <c r="C340">
        <f>IFERROR(INDEX($W$108:$W$388,ROW()-107),"")</f>
        <v/>
      </c>
      <c r="D340" s="32">
        <f>IFERROR((C340-B340)*100,"")</f>
        <v/>
      </c>
      <c r="E340" s="32">
        <f>IFERROR(D340-D339,"")</f>
        <v/>
      </c>
      <c r="F340" s="32">
        <f>IFERROR(D339,"")</f>
        <v/>
      </c>
      <c r="G340" s="41">
        <f>IFERROR((D340-$C$24)/$C$25,"")</f>
        <v/>
      </c>
      <c r="H340" s="32">
        <f>IFERROR(D366-D340,"")</f>
        <v/>
      </c>
      <c r="I340" s="32">
        <f>IFERROR(D340-D336,"")</f>
        <v/>
      </c>
      <c r="J340" s="32">
        <f>IFERROR(D340-D327,"")</f>
        <v/>
      </c>
      <c r="K340">
        <f>IF(A340="","",$C$24)</f>
        <v/>
      </c>
      <c r="L340">
        <f>IF(A340="","",$C$24-$C$25)</f>
        <v/>
      </c>
      <c r="M340">
        <f>IF(A340="","",$C$24+$C$25)</f>
        <v/>
      </c>
    </row>
    <row r="341">
      <c r="A341" s="40">
        <f>IFERROR(INDEX($R$108:$R$388,ROW()-107),"")</f>
        <v/>
      </c>
      <c r="B341">
        <f>IFERROR(INDEX($S$108:$S$388,ROW()-107),"")</f>
        <v/>
      </c>
      <c r="C341">
        <f>IFERROR(INDEX($W$108:$W$388,ROW()-107),"")</f>
        <v/>
      </c>
      <c r="D341" s="32">
        <f>IFERROR((C341-B341)*100,"")</f>
        <v/>
      </c>
      <c r="E341" s="32">
        <f>IFERROR(D341-D340,"")</f>
        <v/>
      </c>
      <c r="F341" s="32">
        <f>IFERROR(D340,"")</f>
        <v/>
      </c>
      <c r="G341" s="41">
        <f>IFERROR((D341-$C$24)/$C$25,"")</f>
        <v/>
      </c>
      <c r="H341" s="32">
        <f>IFERROR(D367-D341,"")</f>
        <v/>
      </c>
      <c r="I341" s="32">
        <f>IFERROR(D341-D337,"")</f>
        <v/>
      </c>
      <c r="J341" s="32">
        <f>IFERROR(D341-D328,"")</f>
        <v/>
      </c>
      <c r="K341">
        <f>IF(A341="","",$C$24)</f>
        <v/>
      </c>
      <c r="L341">
        <f>IF(A341="","",$C$24-$C$25)</f>
        <v/>
      </c>
      <c r="M341">
        <f>IF(A341="","",$C$24+$C$25)</f>
        <v/>
      </c>
    </row>
    <row r="342">
      <c r="A342" s="40">
        <f>IFERROR(INDEX($R$108:$R$388,ROW()-107),"")</f>
        <v/>
      </c>
      <c r="B342">
        <f>IFERROR(INDEX($S$108:$S$388,ROW()-107),"")</f>
        <v/>
      </c>
      <c r="C342">
        <f>IFERROR(INDEX($W$108:$W$388,ROW()-107),"")</f>
        <v/>
      </c>
      <c r="D342" s="32">
        <f>IFERROR((C342-B342)*100,"")</f>
        <v/>
      </c>
      <c r="E342" s="32">
        <f>IFERROR(D342-D341,"")</f>
        <v/>
      </c>
      <c r="F342" s="32">
        <f>IFERROR(D341,"")</f>
        <v/>
      </c>
      <c r="G342" s="41">
        <f>IFERROR((D342-$C$24)/$C$25,"")</f>
        <v/>
      </c>
      <c r="H342" s="32">
        <f>IFERROR(D368-D342,"")</f>
        <v/>
      </c>
      <c r="I342" s="32">
        <f>IFERROR(D342-D338,"")</f>
        <v/>
      </c>
      <c r="J342" s="32">
        <f>IFERROR(D342-D329,"")</f>
        <v/>
      </c>
      <c r="K342">
        <f>IF(A342="","",$C$24)</f>
        <v/>
      </c>
      <c r="L342">
        <f>IF(A342="","",$C$24-$C$25)</f>
        <v/>
      </c>
      <c r="M342">
        <f>IF(A342="","",$C$24+$C$25)</f>
        <v/>
      </c>
    </row>
    <row r="343">
      <c r="A343" s="40">
        <f>IFERROR(INDEX($R$108:$R$388,ROW()-107),"")</f>
        <v/>
      </c>
      <c r="B343">
        <f>IFERROR(INDEX($S$108:$S$388,ROW()-107),"")</f>
        <v/>
      </c>
      <c r="C343">
        <f>IFERROR(INDEX($W$108:$W$388,ROW()-107),"")</f>
        <v/>
      </c>
      <c r="D343" s="32">
        <f>IFERROR((C343-B343)*100,"")</f>
        <v/>
      </c>
      <c r="E343" s="32">
        <f>IFERROR(D343-D342,"")</f>
        <v/>
      </c>
      <c r="F343" s="32">
        <f>IFERROR(D342,"")</f>
        <v/>
      </c>
      <c r="G343" s="41">
        <f>IFERROR((D343-$C$24)/$C$25,"")</f>
        <v/>
      </c>
      <c r="H343" s="32">
        <f>IFERROR(D369-D343,"")</f>
        <v/>
      </c>
      <c r="I343" s="32">
        <f>IFERROR(D343-D339,"")</f>
        <v/>
      </c>
      <c r="J343" s="32">
        <f>IFERROR(D343-D330,"")</f>
        <v/>
      </c>
      <c r="K343">
        <f>IF(A343="","",$C$24)</f>
        <v/>
      </c>
      <c r="L343">
        <f>IF(A343="","",$C$24-$C$25)</f>
        <v/>
      </c>
      <c r="M343">
        <f>IF(A343="","",$C$24+$C$25)</f>
        <v/>
      </c>
    </row>
    <row r="344">
      <c r="A344" s="40">
        <f>IFERROR(INDEX($R$108:$R$388,ROW()-107),"")</f>
        <v/>
      </c>
      <c r="B344">
        <f>IFERROR(INDEX($S$108:$S$388,ROW()-107),"")</f>
        <v/>
      </c>
      <c r="C344">
        <f>IFERROR(INDEX($W$108:$W$388,ROW()-107),"")</f>
        <v/>
      </c>
      <c r="D344" s="32">
        <f>IFERROR((C344-B344)*100,"")</f>
        <v/>
      </c>
      <c r="E344" s="32">
        <f>IFERROR(D344-D343,"")</f>
        <v/>
      </c>
      <c r="F344" s="32">
        <f>IFERROR(D343,"")</f>
        <v/>
      </c>
      <c r="G344" s="41">
        <f>IFERROR((D344-$C$24)/$C$25,"")</f>
        <v/>
      </c>
      <c r="H344" s="32">
        <f>IFERROR(D370-D344,"")</f>
        <v/>
      </c>
      <c r="I344" s="32">
        <f>IFERROR(D344-D340,"")</f>
        <v/>
      </c>
      <c r="J344" s="32">
        <f>IFERROR(D344-D331,"")</f>
        <v/>
      </c>
      <c r="K344">
        <f>IF(A344="","",$C$24)</f>
        <v/>
      </c>
      <c r="L344">
        <f>IF(A344="","",$C$24-$C$25)</f>
        <v/>
      </c>
      <c r="M344">
        <f>IF(A344="","",$C$24+$C$25)</f>
        <v/>
      </c>
    </row>
    <row r="345">
      <c r="A345" s="40">
        <f>IFERROR(INDEX($R$108:$R$388,ROW()-107),"")</f>
        <v/>
      </c>
      <c r="B345">
        <f>IFERROR(INDEX($S$108:$S$388,ROW()-107),"")</f>
        <v/>
      </c>
      <c r="C345">
        <f>IFERROR(INDEX($W$108:$W$388,ROW()-107),"")</f>
        <v/>
      </c>
      <c r="D345" s="32">
        <f>IFERROR((C345-B345)*100,"")</f>
        <v/>
      </c>
      <c r="E345" s="32">
        <f>IFERROR(D345-D344,"")</f>
        <v/>
      </c>
      <c r="F345" s="32">
        <f>IFERROR(D344,"")</f>
        <v/>
      </c>
      <c r="G345" s="41">
        <f>IFERROR((D345-$C$24)/$C$25,"")</f>
        <v/>
      </c>
      <c r="H345" s="32">
        <f>IFERROR(D371-D345,"")</f>
        <v/>
      </c>
      <c r="I345" s="32">
        <f>IFERROR(D345-D341,"")</f>
        <v/>
      </c>
      <c r="J345" s="32">
        <f>IFERROR(D345-D332,"")</f>
        <v/>
      </c>
      <c r="K345">
        <f>IF(A345="","",$C$24)</f>
        <v/>
      </c>
      <c r="L345">
        <f>IF(A345="","",$C$24-$C$25)</f>
        <v/>
      </c>
      <c r="M345">
        <f>IF(A345="","",$C$24+$C$25)</f>
        <v/>
      </c>
    </row>
    <row r="346">
      <c r="A346" s="40">
        <f>IFERROR(INDEX($R$108:$R$388,ROW()-107),"")</f>
        <v/>
      </c>
      <c r="B346">
        <f>IFERROR(INDEX($S$108:$S$388,ROW()-107),"")</f>
        <v/>
      </c>
      <c r="C346">
        <f>IFERROR(INDEX($W$108:$W$388,ROW()-107),"")</f>
        <v/>
      </c>
      <c r="D346" s="32">
        <f>IFERROR((C346-B346)*100,"")</f>
        <v/>
      </c>
      <c r="E346" s="32">
        <f>IFERROR(D346-D345,"")</f>
        <v/>
      </c>
      <c r="F346" s="32">
        <f>IFERROR(D345,"")</f>
        <v/>
      </c>
      <c r="G346" s="41">
        <f>IFERROR((D346-$C$24)/$C$25,"")</f>
        <v/>
      </c>
      <c r="H346" s="32">
        <f>IFERROR(D372-D346,"")</f>
        <v/>
      </c>
      <c r="I346" s="32">
        <f>IFERROR(D346-D342,"")</f>
        <v/>
      </c>
      <c r="J346" s="32">
        <f>IFERROR(D346-D333,"")</f>
        <v/>
      </c>
      <c r="K346">
        <f>IF(A346="","",$C$24)</f>
        <v/>
      </c>
      <c r="L346">
        <f>IF(A346="","",$C$24-$C$25)</f>
        <v/>
      </c>
      <c r="M346">
        <f>IF(A346="","",$C$24+$C$25)</f>
        <v/>
      </c>
    </row>
    <row r="347">
      <c r="A347" s="40">
        <f>IFERROR(INDEX($R$108:$R$388,ROW()-107),"")</f>
        <v/>
      </c>
      <c r="B347">
        <f>IFERROR(INDEX($S$108:$S$388,ROW()-107),"")</f>
        <v/>
      </c>
      <c r="C347">
        <f>IFERROR(INDEX($W$108:$W$388,ROW()-107),"")</f>
        <v/>
      </c>
      <c r="D347" s="32">
        <f>IFERROR((C347-B347)*100,"")</f>
        <v/>
      </c>
      <c r="E347" s="32">
        <f>IFERROR(D347-D346,"")</f>
        <v/>
      </c>
      <c r="F347" s="32">
        <f>IFERROR(D346,"")</f>
        <v/>
      </c>
      <c r="G347" s="41">
        <f>IFERROR((D347-$C$24)/$C$25,"")</f>
        <v/>
      </c>
      <c r="H347" s="32">
        <f>IFERROR(D373-D347,"")</f>
        <v/>
      </c>
      <c r="I347" s="32">
        <f>IFERROR(D347-D343,"")</f>
        <v/>
      </c>
      <c r="J347" s="32">
        <f>IFERROR(D347-D334,"")</f>
        <v/>
      </c>
      <c r="K347">
        <f>IF(A347="","",$C$24)</f>
        <v/>
      </c>
      <c r="L347">
        <f>IF(A347="","",$C$24-$C$25)</f>
        <v/>
      </c>
      <c r="M347">
        <f>IF(A347="","",$C$24+$C$25)</f>
        <v/>
      </c>
    </row>
    <row r="348">
      <c r="A348" s="40">
        <f>IFERROR(INDEX($R$108:$R$388,ROW()-107),"")</f>
        <v/>
      </c>
      <c r="B348">
        <f>IFERROR(INDEX($S$108:$S$388,ROW()-107),"")</f>
        <v/>
      </c>
      <c r="C348">
        <f>IFERROR(INDEX($W$108:$W$388,ROW()-107),"")</f>
        <v/>
      </c>
      <c r="D348" s="32">
        <f>IFERROR((C348-B348)*100,"")</f>
        <v/>
      </c>
      <c r="E348" s="32">
        <f>IFERROR(D348-D347,"")</f>
        <v/>
      </c>
      <c r="F348" s="32">
        <f>IFERROR(D347,"")</f>
        <v/>
      </c>
      <c r="G348" s="41">
        <f>IFERROR((D348-$C$24)/$C$25,"")</f>
        <v/>
      </c>
      <c r="H348" s="32">
        <f>IFERROR(D374-D348,"")</f>
        <v/>
      </c>
      <c r="I348" s="32">
        <f>IFERROR(D348-D344,"")</f>
        <v/>
      </c>
      <c r="J348" s="32">
        <f>IFERROR(D348-D335,"")</f>
        <v/>
      </c>
      <c r="K348">
        <f>IF(A348="","",$C$24)</f>
        <v/>
      </c>
      <c r="L348">
        <f>IF(A348="","",$C$24-$C$25)</f>
        <v/>
      </c>
      <c r="M348">
        <f>IF(A348="","",$C$24+$C$25)</f>
        <v/>
      </c>
    </row>
    <row r="349">
      <c r="A349" s="40">
        <f>IFERROR(INDEX($R$108:$R$388,ROW()-107),"")</f>
        <v/>
      </c>
      <c r="B349">
        <f>IFERROR(INDEX($S$108:$S$388,ROW()-107),"")</f>
        <v/>
      </c>
      <c r="C349">
        <f>IFERROR(INDEX($W$108:$W$388,ROW()-107),"")</f>
        <v/>
      </c>
      <c r="D349" s="32">
        <f>IFERROR((C349-B349)*100,"")</f>
        <v/>
      </c>
      <c r="E349" s="32">
        <f>IFERROR(D349-D348,"")</f>
        <v/>
      </c>
      <c r="F349" s="32">
        <f>IFERROR(D348,"")</f>
        <v/>
      </c>
      <c r="G349" s="41">
        <f>IFERROR((D349-$C$24)/$C$25,"")</f>
        <v/>
      </c>
      <c r="H349" s="32">
        <f>IFERROR(D375-D349,"")</f>
        <v/>
      </c>
      <c r="I349" s="32">
        <f>IFERROR(D349-D345,"")</f>
        <v/>
      </c>
      <c r="J349" s="32">
        <f>IFERROR(D349-D336,"")</f>
        <v/>
      </c>
      <c r="K349">
        <f>IF(A349="","",$C$24)</f>
        <v/>
      </c>
      <c r="L349">
        <f>IF(A349="","",$C$24-$C$25)</f>
        <v/>
      </c>
      <c r="M349">
        <f>IF(A349="","",$C$24+$C$25)</f>
        <v/>
      </c>
    </row>
    <row r="350">
      <c r="A350" s="40">
        <f>IFERROR(INDEX($R$108:$R$388,ROW()-107),"")</f>
        <v/>
      </c>
      <c r="B350">
        <f>IFERROR(INDEX($S$108:$S$388,ROW()-107),"")</f>
        <v/>
      </c>
      <c r="C350">
        <f>IFERROR(INDEX($W$108:$W$388,ROW()-107),"")</f>
        <v/>
      </c>
      <c r="D350" s="32">
        <f>IFERROR((C350-B350)*100,"")</f>
        <v/>
      </c>
      <c r="E350" s="32">
        <f>IFERROR(D350-D349,"")</f>
        <v/>
      </c>
      <c r="F350" s="32">
        <f>IFERROR(D349,"")</f>
        <v/>
      </c>
      <c r="G350" s="41">
        <f>IFERROR((D350-$C$24)/$C$25,"")</f>
        <v/>
      </c>
      <c r="H350" s="32">
        <f>IFERROR(D376-D350,"")</f>
        <v/>
      </c>
      <c r="I350" s="32">
        <f>IFERROR(D350-D346,"")</f>
        <v/>
      </c>
      <c r="J350" s="32">
        <f>IFERROR(D350-D337,"")</f>
        <v/>
      </c>
      <c r="K350">
        <f>IF(A350="","",$C$24)</f>
        <v/>
      </c>
      <c r="L350">
        <f>IF(A350="","",$C$24-$C$25)</f>
        <v/>
      </c>
      <c r="M350">
        <f>IF(A350="","",$C$24+$C$25)</f>
        <v/>
      </c>
    </row>
    <row r="351">
      <c r="A351" s="40">
        <f>IFERROR(INDEX($R$108:$R$388,ROW()-107),"")</f>
        <v/>
      </c>
      <c r="B351">
        <f>IFERROR(INDEX($S$108:$S$388,ROW()-107),"")</f>
        <v/>
      </c>
      <c r="C351">
        <f>IFERROR(INDEX($W$108:$W$388,ROW()-107),"")</f>
        <v/>
      </c>
      <c r="D351" s="32">
        <f>IFERROR((C351-B351)*100,"")</f>
        <v/>
      </c>
      <c r="E351" s="32">
        <f>IFERROR(D351-D350,"")</f>
        <v/>
      </c>
      <c r="F351" s="32">
        <f>IFERROR(D350,"")</f>
        <v/>
      </c>
      <c r="G351" s="41">
        <f>IFERROR((D351-$C$24)/$C$25,"")</f>
        <v/>
      </c>
      <c r="H351" s="32">
        <f>IFERROR(D377-D351,"")</f>
        <v/>
      </c>
      <c r="I351" s="32">
        <f>IFERROR(D351-D347,"")</f>
        <v/>
      </c>
      <c r="J351" s="32">
        <f>IFERROR(D351-D338,"")</f>
        <v/>
      </c>
      <c r="K351">
        <f>IF(A351="","",$C$24)</f>
        <v/>
      </c>
      <c r="L351">
        <f>IF(A351="","",$C$24-$C$25)</f>
        <v/>
      </c>
      <c r="M351">
        <f>IF(A351="","",$C$24+$C$25)</f>
        <v/>
      </c>
    </row>
    <row r="352">
      <c r="A352" s="40">
        <f>IFERROR(INDEX($R$108:$R$388,ROW()-107),"")</f>
        <v/>
      </c>
      <c r="B352">
        <f>IFERROR(INDEX($S$108:$S$388,ROW()-107),"")</f>
        <v/>
      </c>
      <c r="C352">
        <f>IFERROR(INDEX($W$108:$W$388,ROW()-107),"")</f>
        <v/>
      </c>
      <c r="D352" s="32">
        <f>IFERROR((C352-B352)*100,"")</f>
        <v/>
      </c>
      <c r="E352" s="32">
        <f>IFERROR(D352-D351,"")</f>
        <v/>
      </c>
      <c r="F352" s="32">
        <f>IFERROR(D351,"")</f>
        <v/>
      </c>
      <c r="G352" s="41">
        <f>IFERROR((D352-$C$24)/$C$25,"")</f>
        <v/>
      </c>
      <c r="H352" s="32">
        <f>IFERROR(D378-D352,"")</f>
        <v/>
      </c>
      <c r="I352" s="32">
        <f>IFERROR(D352-D348,"")</f>
        <v/>
      </c>
      <c r="J352" s="32">
        <f>IFERROR(D352-D339,"")</f>
        <v/>
      </c>
      <c r="K352">
        <f>IF(A352="","",$C$24)</f>
        <v/>
      </c>
      <c r="L352">
        <f>IF(A352="","",$C$24-$C$25)</f>
        <v/>
      </c>
      <c r="M352">
        <f>IF(A352="","",$C$24+$C$25)</f>
        <v/>
      </c>
    </row>
    <row r="353">
      <c r="A353" s="40">
        <f>IFERROR(INDEX($R$108:$R$388,ROW()-107),"")</f>
        <v/>
      </c>
      <c r="B353">
        <f>IFERROR(INDEX($S$108:$S$388,ROW()-107),"")</f>
        <v/>
      </c>
      <c r="C353">
        <f>IFERROR(INDEX($W$108:$W$388,ROW()-107),"")</f>
        <v/>
      </c>
      <c r="D353" s="32">
        <f>IFERROR((C353-B353)*100,"")</f>
        <v/>
      </c>
      <c r="E353" s="32">
        <f>IFERROR(D353-D352,"")</f>
        <v/>
      </c>
      <c r="F353" s="32">
        <f>IFERROR(D352,"")</f>
        <v/>
      </c>
      <c r="G353" s="41">
        <f>IFERROR((D353-$C$24)/$C$25,"")</f>
        <v/>
      </c>
      <c r="H353" s="32">
        <f>IFERROR(D379-D353,"")</f>
        <v/>
      </c>
      <c r="I353" s="32">
        <f>IFERROR(D353-D349,"")</f>
        <v/>
      </c>
      <c r="J353" s="32">
        <f>IFERROR(D353-D340,"")</f>
        <v/>
      </c>
      <c r="K353">
        <f>IF(A353="","",$C$24)</f>
        <v/>
      </c>
      <c r="L353">
        <f>IF(A353="","",$C$24-$C$25)</f>
        <v/>
      </c>
      <c r="M353">
        <f>IF(A353="","",$C$24+$C$25)</f>
        <v/>
      </c>
    </row>
    <row r="354">
      <c r="A354" s="40">
        <f>IFERROR(INDEX($R$108:$R$388,ROW()-107),"")</f>
        <v/>
      </c>
      <c r="B354">
        <f>IFERROR(INDEX($S$108:$S$388,ROW()-107),"")</f>
        <v/>
      </c>
      <c r="C354">
        <f>IFERROR(INDEX($W$108:$W$388,ROW()-107),"")</f>
        <v/>
      </c>
      <c r="D354" s="32">
        <f>IFERROR((C354-B354)*100,"")</f>
        <v/>
      </c>
      <c r="E354" s="32">
        <f>IFERROR(D354-D353,"")</f>
        <v/>
      </c>
      <c r="F354" s="32">
        <f>IFERROR(D353,"")</f>
        <v/>
      </c>
      <c r="G354" s="41">
        <f>IFERROR((D354-$C$24)/$C$25,"")</f>
        <v/>
      </c>
      <c r="H354" s="32">
        <f>IFERROR(D380-D354,"")</f>
        <v/>
      </c>
      <c r="I354" s="32">
        <f>IFERROR(D354-D350,"")</f>
        <v/>
      </c>
      <c r="J354" s="32">
        <f>IFERROR(D354-D341,"")</f>
        <v/>
      </c>
      <c r="K354">
        <f>IF(A354="","",$C$24)</f>
        <v/>
      </c>
      <c r="L354">
        <f>IF(A354="","",$C$24-$C$25)</f>
        <v/>
      </c>
      <c r="M354">
        <f>IF(A354="","",$C$24+$C$25)</f>
        <v/>
      </c>
    </row>
    <row r="355">
      <c r="A355" s="40">
        <f>IFERROR(INDEX($R$108:$R$388,ROW()-107),"")</f>
        <v/>
      </c>
      <c r="B355">
        <f>IFERROR(INDEX($S$108:$S$388,ROW()-107),"")</f>
        <v/>
      </c>
      <c r="C355">
        <f>IFERROR(INDEX($W$108:$W$388,ROW()-107),"")</f>
        <v/>
      </c>
      <c r="D355" s="32">
        <f>IFERROR((C355-B355)*100,"")</f>
        <v/>
      </c>
      <c r="E355" s="32">
        <f>IFERROR(D355-D354,"")</f>
        <v/>
      </c>
      <c r="F355" s="32">
        <f>IFERROR(D354,"")</f>
        <v/>
      </c>
      <c r="G355" s="41">
        <f>IFERROR((D355-$C$24)/$C$25,"")</f>
        <v/>
      </c>
      <c r="H355" s="32">
        <f>IFERROR(D381-D355,"")</f>
        <v/>
      </c>
      <c r="I355" s="32">
        <f>IFERROR(D355-D351,"")</f>
        <v/>
      </c>
      <c r="J355" s="32">
        <f>IFERROR(D355-D342,"")</f>
        <v/>
      </c>
      <c r="K355">
        <f>IF(A355="","",$C$24)</f>
        <v/>
      </c>
      <c r="L355">
        <f>IF(A355="","",$C$24-$C$25)</f>
        <v/>
      </c>
      <c r="M355">
        <f>IF(A355="","",$C$24+$C$25)</f>
        <v/>
      </c>
    </row>
    <row r="356">
      <c r="A356" s="40">
        <f>IFERROR(INDEX($R$108:$R$388,ROW()-107),"")</f>
        <v/>
      </c>
      <c r="B356">
        <f>IFERROR(INDEX($S$108:$S$388,ROW()-107),"")</f>
        <v/>
      </c>
      <c r="C356">
        <f>IFERROR(INDEX($W$108:$W$388,ROW()-107),"")</f>
        <v/>
      </c>
      <c r="D356" s="32">
        <f>IFERROR((C356-B356)*100,"")</f>
        <v/>
      </c>
      <c r="E356" s="32">
        <f>IFERROR(D356-D355,"")</f>
        <v/>
      </c>
      <c r="F356" s="32">
        <f>IFERROR(D355,"")</f>
        <v/>
      </c>
      <c r="G356" s="41">
        <f>IFERROR((D356-$C$24)/$C$25,"")</f>
        <v/>
      </c>
      <c r="H356" s="32">
        <f>IFERROR(D382-D356,"")</f>
        <v/>
      </c>
      <c r="I356" s="32">
        <f>IFERROR(D356-D352,"")</f>
        <v/>
      </c>
      <c r="J356" s="32">
        <f>IFERROR(D356-D343,"")</f>
        <v/>
      </c>
      <c r="K356">
        <f>IF(A356="","",$C$24)</f>
        <v/>
      </c>
      <c r="L356">
        <f>IF(A356="","",$C$24-$C$25)</f>
        <v/>
      </c>
      <c r="M356">
        <f>IF(A356="","",$C$24+$C$25)</f>
        <v/>
      </c>
    </row>
    <row r="357">
      <c r="A357" s="40">
        <f>IFERROR(INDEX($R$108:$R$388,ROW()-107),"")</f>
        <v/>
      </c>
      <c r="B357">
        <f>IFERROR(INDEX($S$108:$S$388,ROW()-107),"")</f>
        <v/>
      </c>
      <c r="C357">
        <f>IFERROR(INDEX($W$108:$W$388,ROW()-107),"")</f>
        <v/>
      </c>
      <c r="D357" s="32">
        <f>IFERROR((C357-B357)*100,"")</f>
        <v/>
      </c>
      <c r="E357" s="32">
        <f>IFERROR(D357-D356,"")</f>
        <v/>
      </c>
      <c r="F357" s="32">
        <f>IFERROR(D356,"")</f>
        <v/>
      </c>
      <c r="G357" s="41">
        <f>IFERROR((D357-$C$24)/$C$25,"")</f>
        <v/>
      </c>
      <c r="H357" s="32">
        <f>IFERROR(D383-D357,"")</f>
        <v/>
      </c>
      <c r="I357" s="32">
        <f>IFERROR(D357-D353,"")</f>
        <v/>
      </c>
      <c r="J357" s="32">
        <f>IFERROR(D357-D344,"")</f>
        <v/>
      </c>
      <c r="K357">
        <f>IF(A357="","",$C$24)</f>
        <v/>
      </c>
      <c r="L357">
        <f>IF(A357="","",$C$24-$C$25)</f>
        <v/>
      </c>
      <c r="M357">
        <f>IF(A357="","",$C$24+$C$25)</f>
        <v/>
      </c>
    </row>
    <row r="358">
      <c r="A358" s="40">
        <f>IFERROR(INDEX($R$108:$R$388,ROW()-107),"")</f>
        <v/>
      </c>
      <c r="B358">
        <f>IFERROR(INDEX($S$108:$S$388,ROW()-107),"")</f>
        <v/>
      </c>
      <c r="C358">
        <f>IFERROR(INDEX($W$108:$W$388,ROW()-107),"")</f>
        <v/>
      </c>
      <c r="D358" s="32">
        <f>IFERROR((C358-B358)*100,"")</f>
        <v/>
      </c>
      <c r="E358" s="32">
        <f>IFERROR(D358-D357,"")</f>
        <v/>
      </c>
      <c r="F358" s="32">
        <f>IFERROR(D357,"")</f>
        <v/>
      </c>
      <c r="G358" s="41">
        <f>IFERROR((D358-$C$24)/$C$25,"")</f>
        <v/>
      </c>
      <c r="H358" s="32">
        <f>IFERROR(D384-D358,"")</f>
        <v/>
      </c>
      <c r="I358" s="32">
        <f>IFERROR(D358-D354,"")</f>
        <v/>
      </c>
      <c r="J358" s="32">
        <f>IFERROR(D358-D345,"")</f>
        <v/>
      </c>
      <c r="K358">
        <f>IF(A358="","",$C$24)</f>
        <v/>
      </c>
      <c r="L358">
        <f>IF(A358="","",$C$24-$C$25)</f>
        <v/>
      </c>
      <c r="M358">
        <f>IF(A358="","",$C$24+$C$25)</f>
        <v/>
      </c>
    </row>
    <row r="359">
      <c r="A359" s="40">
        <f>IFERROR(INDEX($R$108:$R$388,ROW()-107),"")</f>
        <v/>
      </c>
      <c r="B359">
        <f>IFERROR(INDEX($S$108:$S$388,ROW()-107),"")</f>
        <v/>
      </c>
      <c r="C359">
        <f>IFERROR(INDEX($W$108:$W$388,ROW()-107),"")</f>
        <v/>
      </c>
      <c r="D359" s="32">
        <f>IFERROR((C359-B359)*100,"")</f>
        <v/>
      </c>
      <c r="E359" s="32">
        <f>IFERROR(D359-D358,"")</f>
        <v/>
      </c>
      <c r="F359" s="32">
        <f>IFERROR(D358,"")</f>
        <v/>
      </c>
      <c r="G359" s="41">
        <f>IFERROR((D359-$C$24)/$C$25,"")</f>
        <v/>
      </c>
      <c r="H359" s="32">
        <f>IFERROR(D385-D359,"")</f>
        <v/>
      </c>
      <c r="I359" s="32">
        <f>IFERROR(D359-D355,"")</f>
        <v/>
      </c>
      <c r="J359" s="32">
        <f>IFERROR(D359-D346,"")</f>
        <v/>
      </c>
      <c r="K359">
        <f>IF(A359="","",$C$24)</f>
        <v/>
      </c>
      <c r="L359">
        <f>IF(A359="","",$C$24-$C$25)</f>
        <v/>
      </c>
      <c r="M359">
        <f>IF(A359="","",$C$24+$C$25)</f>
        <v/>
      </c>
    </row>
    <row r="360">
      <c r="A360" s="40">
        <f>IFERROR(INDEX($R$108:$R$388,ROW()-107),"")</f>
        <v/>
      </c>
      <c r="B360">
        <f>IFERROR(INDEX($S$108:$S$388,ROW()-107),"")</f>
        <v/>
      </c>
      <c r="C360">
        <f>IFERROR(INDEX($W$108:$W$388,ROW()-107),"")</f>
        <v/>
      </c>
      <c r="D360" s="32">
        <f>IFERROR((C360-B360)*100,"")</f>
        <v/>
      </c>
      <c r="E360" s="32">
        <f>IFERROR(D360-D359,"")</f>
        <v/>
      </c>
      <c r="F360" s="32">
        <f>IFERROR(D359,"")</f>
        <v/>
      </c>
      <c r="G360" s="41">
        <f>IFERROR((D360-$C$24)/$C$25,"")</f>
        <v/>
      </c>
      <c r="H360" s="32">
        <f>IFERROR(D386-D360,"")</f>
        <v/>
      </c>
      <c r="I360" s="32">
        <f>IFERROR(D360-D356,"")</f>
        <v/>
      </c>
      <c r="J360" s="32">
        <f>IFERROR(D360-D347,"")</f>
        <v/>
      </c>
      <c r="K360">
        <f>IF(A360="","",$C$24)</f>
        <v/>
      </c>
      <c r="L360">
        <f>IF(A360="","",$C$24-$C$25)</f>
        <v/>
      </c>
      <c r="M360">
        <f>IF(A360="","",$C$24+$C$25)</f>
        <v/>
      </c>
    </row>
    <row r="361">
      <c r="A361" s="40">
        <f>IFERROR(INDEX($R$108:$R$388,ROW()-107),"")</f>
        <v/>
      </c>
      <c r="B361">
        <f>IFERROR(INDEX($S$108:$S$388,ROW()-107),"")</f>
        <v/>
      </c>
      <c r="C361">
        <f>IFERROR(INDEX($W$108:$W$388,ROW()-107),"")</f>
        <v/>
      </c>
      <c r="D361" s="32">
        <f>IFERROR((C361-B361)*100,"")</f>
        <v/>
      </c>
      <c r="E361" s="32">
        <f>IFERROR(D361-D360,"")</f>
        <v/>
      </c>
      <c r="F361" s="32">
        <f>IFERROR(D360,"")</f>
        <v/>
      </c>
      <c r="G361" s="41">
        <f>IFERROR((D361-$C$24)/$C$25,"")</f>
        <v/>
      </c>
      <c r="H361" s="32">
        <f>IFERROR(D387-D361,"")</f>
        <v/>
      </c>
      <c r="I361" s="32">
        <f>IFERROR(D361-D357,"")</f>
        <v/>
      </c>
      <c r="J361" s="32">
        <f>IFERROR(D361-D348,"")</f>
        <v/>
      </c>
      <c r="K361">
        <f>IF(A361="","",$C$24)</f>
        <v/>
      </c>
      <c r="L361">
        <f>IF(A361="","",$C$24-$C$25)</f>
        <v/>
      </c>
      <c r="M361">
        <f>IF(A361="","",$C$24+$C$25)</f>
        <v/>
      </c>
    </row>
    <row r="362">
      <c r="A362" s="40">
        <f>IFERROR(INDEX($R$108:$R$388,ROW()-107),"")</f>
        <v/>
      </c>
      <c r="B362">
        <f>IFERROR(INDEX($S$108:$S$388,ROW()-107),"")</f>
        <v/>
      </c>
      <c r="C362">
        <f>IFERROR(INDEX($W$108:$W$388,ROW()-107),"")</f>
        <v/>
      </c>
      <c r="D362" s="32">
        <f>IFERROR((C362-B362)*100,"")</f>
        <v/>
      </c>
      <c r="E362" s="32">
        <f>IFERROR(D362-D361,"")</f>
        <v/>
      </c>
      <c r="F362" s="32">
        <f>IFERROR(D361,"")</f>
        <v/>
      </c>
      <c r="G362" s="41">
        <f>IFERROR((D362-$C$24)/$C$25,"")</f>
        <v/>
      </c>
      <c r="H362" s="32" t="n"/>
      <c r="I362" s="32">
        <f>IFERROR(D362-D358,"")</f>
        <v/>
      </c>
      <c r="J362" s="32">
        <f>IFERROR(D362-D349,"")</f>
        <v/>
      </c>
      <c r="K362">
        <f>IF(A362="","",$C$24)</f>
        <v/>
      </c>
      <c r="L362">
        <f>IF(A362="","",$C$24-$C$25)</f>
        <v/>
      </c>
      <c r="M362">
        <f>IF(A362="","",$C$24+$C$25)</f>
        <v/>
      </c>
    </row>
    <row r="363">
      <c r="A363" s="40">
        <f>IFERROR(INDEX($R$108:$R$388,ROW()-107),"")</f>
        <v/>
      </c>
      <c r="B363">
        <f>IFERROR(INDEX($S$108:$S$388,ROW()-107),"")</f>
        <v/>
      </c>
      <c r="C363">
        <f>IFERROR(INDEX($W$108:$W$388,ROW()-107),"")</f>
        <v/>
      </c>
      <c r="D363" s="32">
        <f>IFERROR((C363-B363)*100,"")</f>
        <v/>
      </c>
      <c r="E363" s="32">
        <f>IFERROR(D363-D362,"")</f>
        <v/>
      </c>
      <c r="F363" s="32">
        <f>IFERROR(D362,"")</f>
        <v/>
      </c>
      <c r="G363" s="41">
        <f>IFERROR((D363-$C$24)/$C$25,"")</f>
        <v/>
      </c>
      <c r="H363" s="32" t="n"/>
      <c r="I363" s="32">
        <f>IFERROR(D363-D359,"")</f>
        <v/>
      </c>
      <c r="J363" s="32">
        <f>IFERROR(D363-D350,"")</f>
        <v/>
      </c>
      <c r="K363">
        <f>IF(A363="","",$C$24)</f>
        <v/>
      </c>
      <c r="L363">
        <f>IF(A363="","",$C$24-$C$25)</f>
        <v/>
      </c>
      <c r="M363">
        <f>IF(A363="","",$C$24+$C$25)</f>
        <v/>
      </c>
    </row>
    <row r="364">
      <c r="A364" s="40">
        <f>IFERROR(INDEX($R$108:$R$388,ROW()-107),"")</f>
        <v/>
      </c>
      <c r="B364">
        <f>IFERROR(INDEX($S$108:$S$388,ROW()-107),"")</f>
        <v/>
      </c>
      <c r="C364">
        <f>IFERROR(INDEX($W$108:$W$388,ROW()-107),"")</f>
        <v/>
      </c>
      <c r="D364" s="32">
        <f>IFERROR((C364-B364)*100,"")</f>
        <v/>
      </c>
      <c r="E364" s="32">
        <f>IFERROR(D364-D363,"")</f>
        <v/>
      </c>
      <c r="F364" s="32">
        <f>IFERROR(D363,"")</f>
        <v/>
      </c>
      <c r="G364" s="41">
        <f>IFERROR((D364-$C$24)/$C$25,"")</f>
        <v/>
      </c>
      <c r="H364" s="32" t="n"/>
      <c r="I364" s="32">
        <f>IFERROR(D364-D360,"")</f>
        <v/>
      </c>
      <c r="J364" s="32">
        <f>IFERROR(D364-D351,"")</f>
        <v/>
      </c>
      <c r="K364">
        <f>IF(A364="","",$C$24)</f>
        <v/>
      </c>
      <c r="L364">
        <f>IF(A364="","",$C$24-$C$25)</f>
        <v/>
      </c>
      <c r="M364">
        <f>IF(A364="","",$C$24+$C$25)</f>
        <v/>
      </c>
    </row>
    <row r="365">
      <c r="A365" s="40">
        <f>IFERROR(INDEX($R$108:$R$388,ROW()-107),"")</f>
        <v/>
      </c>
      <c r="B365">
        <f>IFERROR(INDEX($S$108:$S$388,ROW()-107),"")</f>
        <v/>
      </c>
      <c r="C365">
        <f>IFERROR(INDEX($W$108:$W$388,ROW()-107),"")</f>
        <v/>
      </c>
      <c r="D365" s="32">
        <f>IFERROR((C365-B365)*100,"")</f>
        <v/>
      </c>
      <c r="E365" s="32">
        <f>IFERROR(D365-D364,"")</f>
        <v/>
      </c>
      <c r="F365" s="32">
        <f>IFERROR(D364,"")</f>
        <v/>
      </c>
      <c r="G365" s="41">
        <f>IFERROR((D365-$C$24)/$C$25,"")</f>
        <v/>
      </c>
      <c r="H365" s="32" t="n"/>
      <c r="I365" s="32">
        <f>IFERROR(D365-D361,"")</f>
        <v/>
      </c>
      <c r="J365" s="32">
        <f>IFERROR(D365-D352,"")</f>
        <v/>
      </c>
      <c r="K365">
        <f>IF(A365="","",$C$24)</f>
        <v/>
      </c>
      <c r="L365">
        <f>IF(A365="","",$C$24-$C$25)</f>
        <v/>
      </c>
      <c r="M365">
        <f>IF(A365="","",$C$24+$C$25)</f>
        <v/>
      </c>
    </row>
    <row r="366">
      <c r="A366" s="40">
        <f>IFERROR(INDEX($R$108:$R$388,ROW()-107),"")</f>
        <v/>
      </c>
      <c r="B366">
        <f>IFERROR(INDEX($S$108:$S$388,ROW()-107),"")</f>
        <v/>
      </c>
      <c r="C366">
        <f>IFERROR(INDEX($W$108:$W$388,ROW()-107),"")</f>
        <v/>
      </c>
      <c r="D366" s="32">
        <f>IFERROR((C366-B366)*100,"")</f>
        <v/>
      </c>
      <c r="E366" s="32">
        <f>IFERROR(D366-D365,"")</f>
        <v/>
      </c>
      <c r="F366" s="32">
        <f>IFERROR(D365,"")</f>
        <v/>
      </c>
      <c r="G366" s="41">
        <f>IFERROR((D366-$C$24)/$C$25,"")</f>
        <v/>
      </c>
      <c r="H366" s="32" t="n"/>
      <c r="I366" s="32">
        <f>IFERROR(D366-D362,"")</f>
        <v/>
      </c>
      <c r="J366" s="32">
        <f>IFERROR(D366-D353,"")</f>
        <v/>
      </c>
      <c r="K366">
        <f>IF(A366="","",$C$24)</f>
        <v/>
      </c>
      <c r="L366">
        <f>IF(A366="","",$C$24-$C$25)</f>
        <v/>
      </c>
      <c r="M366">
        <f>IF(A366="","",$C$24+$C$25)</f>
        <v/>
      </c>
    </row>
    <row r="367">
      <c r="A367" s="40">
        <f>IFERROR(INDEX($R$108:$R$388,ROW()-107),"")</f>
        <v/>
      </c>
      <c r="B367">
        <f>IFERROR(INDEX($S$108:$S$388,ROW()-107),"")</f>
        <v/>
      </c>
      <c r="C367">
        <f>IFERROR(INDEX($W$108:$W$388,ROW()-107),"")</f>
        <v/>
      </c>
      <c r="D367" s="32">
        <f>IFERROR((C367-B367)*100,"")</f>
        <v/>
      </c>
      <c r="E367" s="32">
        <f>IFERROR(D367-D366,"")</f>
        <v/>
      </c>
      <c r="F367" s="32">
        <f>IFERROR(D366,"")</f>
        <v/>
      </c>
      <c r="G367" s="41">
        <f>IFERROR((D367-$C$24)/$C$25,"")</f>
        <v/>
      </c>
      <c r="H367" s="32" t="n"/>
      <c r="I367" s="32">
        <f>IFERROR(D367-D363,"")</f>
        <v/>
      </c>
      <c r="J367" s="32">
        <f>IFERROR(D367-D354,"")</f>
        <v/>
      </c>
      <c r="K367">
        <f>IF(A367="","",$C$24)</f>
        <v/>
      </c>
      <c r="L367">
        <f>IF(A367="","",$C$24-$C$25)</f>
        <v/>
      </c>
      <c r="M367">
        <f>IF(A367="","",$C$24+$C$25)</f>
        <v/>
      </c>
    </row>
    <row r="368">
      <c r="A368" s="40">
        <f>IFERROR(INDEX($R$108:$R$388,ROW()-107),"")</f>
        <v/>
      </c>
      <c r="B368">
        <f>IFERROR(INDEX($S$108:$S$388,ROW()-107),"")</f>
        <v/>
      </c>
      <c r="C368">
        <f>IFERROR(INDEX($W$108:$W$388,ROW()-107),"")</f>
        <v/>
      </c>
      <c r="D368" s="32">
        <f>IFERROR((C368-B368)*100,"")</f>
        <v/>
      </c>
      <c r="E368" s="32">
        <f>IFERROR(D368-D367,"")</f>
        <v/>
      </c>
      <c r="F368" s="32">
        <f>IFERROR(D367,"")</f>
        <v/>
      </c>
      <c r="G368" s="41">
        <f>IFERROR((D368-$C$24)/$C$25,"")</f>
        <v/>
      </c>
      <c r="H368" s="32" t="n"/>
      <c r="I368" s="32">
        <f>IFERROR(D368-D364,"")</f>
        <v/>
      </c>
      <c r="J368" s="32">
        <f>IFERROR(D368-D355,"")</f>
        <v/>
      </c>
      <c r="K368">
        <f>IF(A368="","",$C$24)</f>
        <v/>
      </c>
      <c r="L368">
        <f>IF(A368="","",$C$24-$C$25)</f>
        <v/>
      </c>
      <c r="M368">
        <f>IF(A368="","",$C$24+$C$25)</f>
        <v/>
      </c>
    </row>
    <row r="369">
      <c r="A369" s="40">
        <f>IFERROR(INDEX($R$108:$R$388,ROW()-107),"")</f>
        <v/>
      </c>
      <c r="B369">
        <f>IFERROR(INDEX($S$108:$S$388,ROW()-107),"")</f>
        <v/>
      </c>
      <c r="C369">
        <f>IFERROR(INDEX($W$108:$W$388,ROW()-107),"")</f>
        <v/>
      </c>
      <c r="D369" s="32">
        <f>IFERROR((C369-B369)*100,"")</f>
        <v/>
      </c>
      <c r="E369" s="32">
        <f>IFERROR(D369-D368,"")</f>
        <v/>
      </c>
      <c r="F369" s="32">
        <f>IFERROR(D368,"")</f>
        <v/>
      </c>
      <c r="G369" s="41">
        <f>IFERROR((D369-$C$24)/$C$25,"")</f>
        <v/>
      </c>
      <c r="H369" s="32" t="n"/>
      <c r="I369" s="32">
        <f>IFERROR(D369-D365,"")</f>
        <v/>
      </c>
      <c r="J369" s="32">
        <f>IFERROR(D369-D356,"")</f>
        <v/>
      </c>
      <c r="K369">
        <f>IF(A369="","",$C$24)</f>
        <v/>
      </c>
      <c r="L369">
        <f>IF(A369="","",$C$24-$C$25)</f>
        <v/>
      </c>
      <c r="M369">
        <f>IF(A369="","",$C$24+$C$25)</f>
        <v/>
      </c>
    </row>
    <row r="370">
      <c r="A370" s="40">
        <f>IFERROR(INDEX($R$108:$R$388,ROW()-107),"")</f>
        <v/>
      </c>
      <c r="B370">
        <f>IFERROR(INDEX($S$108:$S$388,ROW()-107),"")</f>
        <v/>
      </c>
      <c r="C370">
        <f>IFERROR(INDEX($W$108:$W$388,ROW()-107),"")</f>
        <v/>
      </c>
      <c r="D370" s="32">
        <f>IFERROR((C370-B370)*100,"")</f>
        <v/>
      </c>
      <c r="E370" s="32">
        <f>IFERROR(D370-D369,"")</f>
        <v/>
      </c>
      <c r="F370" s="32">
        <f>IFERROR(D369,"")</f>
        <v/>
      </c>
      <c r="G370" s="41">
        <f>IFERROR((D370-$C$24)/$C$25,"")</f>
        <v/>
      </c>
      <c r="H370" s="32" t="n"/>
      <c r="I370" s="32">
        <f>IFERROR(D370-D366,"")</f>
        <v/>
      </c>
      <c r="J370" s="32">
        <f>IFERROR(D370-D357,"")</f>
        <v/>
      </c>
      <c r="K370">
        <f>IF(A370="","",$C$24)</f>
        <v/>
      </c>
      <c r="L370">
        <f>IF(A370="","",$C$24-$C$25)</f>
        <v/>
      </c>
      <c r="M370">
        <f>IF(A370="","",$C$24+$C$25)</f>
        <v/>
      </c>
    </row>
    <row r="371">
      <c r="A371" s="40">
        <f>IFERROR(INDEX($R$108:$R$388,ROW()-107),"")</f>
        <v/>
      </c>
      <c r="B371">
        <f>IFERROR(INDEX($S$108:$S$388,ROW()-107),"")</f>
        <v/>
      </c>
      <c r="C371">
        <f>IFERROR(INDEX($W$108:$W$388,ROW()-107),"")</f>
        <v/>
      </c>
      <c r="D371" s="32">
        <f>IFERROR((C371-B371)*100,"")</f>
        <v/>
      </c>
      <c r="E371" s="32">
        <f>IFERROR(D371-D370,"")</f>
        <v/>
      </c>
      <c r="F371" s="32">
        <f>IFERROR(D370,"")</f>
        <v/>
      </c>
      <c r="G371" s="41">
        <f>IFERROR((D371-$C$24)/$C$25,"")</f>
        <v/>
      </c>
      <c r="H371" s="32" t="n"/>
      <c r="I371" s="32">
        <f>IFERROR(D371-D367,"")</f>
        <v/>
      </c>
      <c r="J371" s="32">
        <f>IFERROR(D371-D358,"")</f>
        <v/>
      </c>
      <c r="K371">
        <f>IF(A371="","",$C$24)</f>
        <v/>
      </c>
      <c r="L371">
        <f>IF(A371="","",$C$24-$C$25)</f>
        <v/>
      </c>
      <c r="M371">
        <f>IF(A371="","",$C$24+$C$25)</f>
        <v/>
      </c>
    </row>
    <row r="372">
      <c r="A372" s="40">
        <f>IFERROR(INDEX($R$108:$R$388,ROW()-107),"")</f>
        <v/>
      </c>
      <c r="B372">
        <f>IFERROR(INDEX($S$108:$S$388,ROW()-107),"")</f>
        <v/>
      </c>
      <c r="C372">
        <f>IFERROR(INDEX($W$108:$W$388,ROW()-107),"")</f>
        <v/>
      </c>
      <c r="D372" s="32">
        <f>IFERROR((C372-B372)*100,"")</f>
        <v/>
      </c>
      <c r="E372" s="32">
        <f>IFERROR(D372-D371,"")</f>
        <v/>
      </c>
      <c r="F372" s="32">
        <f>IFERROR(D371,"")</f>
        <v/>
      </c>
      <c r="G372" s="41">
        <f>IFERROR((D372-$C$24)/$C$25,"")</f>
        <v/>
      </c>
      <c r="H372" s="32" t="n"/>
      <c r="I372" s="32">
        <f>IFERROR(D372-D368,"")</f>
        <v/>
      </c>
      <c r="J372" s="32">
        <f>IFERROR(D372-D359,"")</f>
        <v/>
      </c>
      <c r="K372">
        <f>IF(A372="","",$C$24)</f>
        <v/>
      </c>
      <c r="L372">
        <f>IF(A372="","",$C$24-$C$25)</f>
        <v/>
      </c>
      <c r="M372">
        <f>IF(A372="","",$C$24+$C$25)</f>
        <v/>
      </c>
    </row>
    <row r="373">
      <c r="A373" s="40">
        <f>IFERROR(INDEX($R$108:$R$388,ROW()-107),"")</f>
        <v/>
      </c>
      <c r="B373">
        <f>IFERROR(INDEX($S$108:$S$388,ROW()-107),"")</f>
        <v/>
      </c>
      <c r="C373">
        <f>IFERROR(INDEX($W$108:$W$388,ROW()-107),"")</f>
        <v/>
      </c>
      <c r="D373" s="32">
        <f>IFERROR((C373-B373)*100,"")</f>
        <v/>
      </c>
      <c r="E373" s="32">
        <f>IFERROR(D373-D372,"")</f>
        <v/>
      </c>
      <c r="F373" s="32">
        <f>IFERROR(D372,"")</f>
        <v/>
      </c>
      <c r="G373" s="41">
        <f>IFERROR((D373-$C$24)/$C$25,"")</f>
        <v/>
      </c>
      <c r="H373" s="32" t="n"/>
      <c r="I373" s="32">
        <f>IFERROR(D373-D369,"")</f>
        <v/>
      </c>
      <c r="J373" s="32">
        <f>IFERROR(D373-D360,"")</f>
        <v/>
      </c>
      <c r="K373">
        <f>IF(A373="","",$C$24)</f>
        <v/>
      </c>
      <c r="L373">
        <f>IF(A373="","",$C$24-$C$25)</f>
        <v/>
      </c>
      <c r="M373">
        <f>IF(A373="","",$C$24+$C$25)</f>
        <v/>
      </c>
    </row>
    <row r="374">
      <c r="A374" s="40">
        <f>IFERROR(INDEX($R$108:$R$388,ROW()-107),"")</f>
        <v/>
      </c>
      <c r="B374">
        <f>IFERROR(INDEX($S$108:$S$388,ROW()-107),"")</f>
        <v/>
      </c>
      <c r="C374">
        <f>IFERROR(INDEX($W$108:$W$388,ROW()-107),"")</f>
        <v/>
      </c>
      <c r="D374" s="32">
        <f>IFERROR((C374-B374)*100,"")</f>
        <v/>
      </c>
      <c r="E374" s="32">
        <f>IFERROR(D374-D373,"")</f>
        <v/>
      </c>
      <c r="F374" s="32">
        <f>IFERROR(D373,"")</f>
        <v/>
      </c>
      <c r="G374" s="41">
        <f>IFERROR((D374-$C$24)/$C$25,"")</f>
        <v/>
      </c>
      <c r="H374" s="32" t="n"/>
      <c r="I374" s="32">
        <f>IFERROR(D374-D370,"")</f>
        <v/>
      </c>
      <c r="J374" s="32">
        <f>IFERROR(D374-D361,"")</f>
        <v/>
      </c>
      <c r="K374">
        <f>IF(A374="","",$C$24)</f>
        <v/>
      </c>
      <c r="L374">
        <f>IF(A374="","",$C$24-$C$25)</f>
        <v/>
      </c>
      <c r="M374">
        <f>IF(A374="","",$C$24+$C$25)</f>
        <v/>
      </c>
    </row>
    <row r="375">
      <c r="A375" s="40">
        <f>IFERROR(INDEX($R$108:$R$388,ROW()-107),"")</f>
        <v/>
      </c>
      <c r="B375">
        <f>IFERROR(INDEX($S$108:$S$388,ROW()-107),"")</f>
        <v/>
      </c>
      <c r="C375">
        <f>IFERROR(INDEX($W$108:$W$388,ROW()-107),"")</f>
        <v/>
      </c>
      <c r="D375" s="32">
        <f>IFERROR((C375-B375)*100,"")</f>
        <v/>
      </c>
      <c r="E375" s="32">
        <f>IFERROR(D375-D374,"")</f>
        <v/>
      </c>
      <c r="F375" s="32">
        <f>IFERROR(D374,"")</f>
        <v/>
      </c>
      <c r="G375" s="41">
        <f>IFERROR((D375-$C$24)/$C$25,"")</f>
        <v/>
      </c>
      <c r="H375" s="32" t="n"/>
      <c r="I375" s="32">
        <f>IFERROR(D375-D371,"")</f>
        <v/>
      </c>
      <c r="J375" s="32">
        <f>IFERROR(D375-D362,"")</f>
        <v/>
      </c>
      <c r="K375">
        <f>IF(A375="","",$C$24)</f>
        <v/>
      </c>
      <c r="L375">
        <f>IF(A375="","",$C$24-$C$25)</f>
        <v/>
      </c>
      <c r="M375">
        <f>IF(A375="","",$C$24+$C$25)</f>
        <v/>
      </c>
    </row>
    <row r="376">
      <c r="A376" s="40">
        <f>IFERROR(INDEX($R$108:$R$388,ROW()-107),"")</f>
        <v/>
      </c>
      <c r="B376">
        <f>IFERROR(INDEX($S$108:$S$388,ROW()-107),"")</f>
        <v/>
      </c>
      <c r="C376">
        <f>IFERROR(INDEX($W$108:$W$388,ROW()-107),"")</f>
        <v/>
      </c>
      <c r="D376" s="32">
        <f>IFERROR((C376-B376)*100,"")</f>
        <v/>
      </c>
      <c r="E376" s="32">
        <f>IFERROR(D376-D375,"")</f>
        <v/>
      </c>
      <c r="F376" s="32">
        <f>IFERROR(D375,"")</f>
        <v/>
      </c>
      <c r="G376" s="41">
        <f>IFERROR((D376-$C$24)/$C$25,"")</f>
        <v/>
      </c>
      <c r="H376" s="32" t="n"/>
      <c r="I376" s="32">
        <f>IFERROR(D376-D372,"")</f>
        <v/>
      </c>
      <c r="J376" s="32">
        <f>IFERROR(D376-D363,"")</f>
        <v/>
      </c>
      <c r="K376">
        <f>IF(A376="","",$C$24)</f>
        <v/>
      </c>
      <c r="L376">
        <f>IF(A376="","",$C$24-$C$25)</f>
        <v/>
      </c>
      <c r="M376">
        <f>IF(A376="","",$C$24+$C$25)</f>
        <v/>
      </c>
    </row>
    <row r="377">
      <c r="A377" s="40">
        <f>IFERROR(INDEX($R$108:$R$388,ROW()-107),"")</f>
        <v/>
      </c>
      <c r="B377">
        <f>IFERROR(INDEX($S$108:$S$388,ROW()-107),"")</f>
        <v/>
      </c>
      <c r="C377">
        <f>IFERROR(INDEX($W$108:$W$388,ROW()-107),"")</f>
        <v/>
      </c>
      <c r="D377" s="32">
        <f>IFERROR((C377-B377)*100,"")</f>
        <v/>
      </c>
      <c r="E377" s="32">
        <f>IFERROR(D377-D376,"")</f>
        <v/>
      </c>
      <c r="F377" s="32">
        <f>IFERROR(D376,"")</f>
        <v/>
      </c>
      <c r="G377" s="41">
        <f>IFERROR((D377-$C$24)/$C$25,"")</f>
        <v/>
      </c>
      <c r="H377" s="32" t="n"/>
      <c r="I377" s="32">
        <f>IFERROR(D377-D373,"")</f>
        <v/>
      </c>
      <c r="J377" s="32">
        <f>IFERROR(D377-D364,"")</f>
        <v/>
      </c>
      <c r="K377">
        <f>IF(A377="","",$C$24)</f>
        <v/>
      </c>
      <c r="L377">
        <f>IF(A377="","",$C$24-$C$25)</f>
        <v/>
      </c>
      <c r="M377">
        <f>IF(A377="","",$C$24+$C$25)</f>
        <v/>
      </c>
    </row>
    <row r="378">
      <c r="A378" s="40">
        <f>IFERROR(INDEX($R$108:$R$388,ROW()-107),"")</f>
        <v/>
      </c>
      <c r="B378">
        <f>IFERROR(INDEX($S$108:$S$388,ROW()-107),"")</f>
        <v/>
      </c>
      <c r="C378">
        <f>IFERROR(INDEX($W$108:$W$388,ROW()-107),"")</f>
        <v/>
      </c>
      <c r="D378" s="32">
        <f>IFERROR((C378-B378)*100,"")</f>
        <v/>
      </c>
      <c r="E378" s="32">
        <f>IFERROR(D378-D377,"")</f>
        <v/>
      </c>
      <c r="F378" s="32">
        <f>IFERROR(D377,"")</f>
        <v/>
      </c>
      <c r="G378" s="41">
        <f>IFERROR((D378-$C$24)/$C$25,"")</f>
        <v/>
      </c>
      <c r="H378" s="32" t="n"/>
      <c r="I378" s="32">
        <f>IFERROR(D378-D374,"")</f>
        <v/>
      </c>
      <c r="J378" s="32">
        <f>IFERROR(D378-D365,"")</f>
        <v/>
      </c>
      <c r="K378">
        <f>IF(A378="","",$C$24)</f>
        <v/>
      </c>
      <c r="L378">
        <f>IF(A378="","",$C$24-$C$25)</f>
        <v/>
      </c>
      <c r="M378">
        <f>IF(A378="","",$C$24+$C$25)</f>
        <v/>
      </c>
    </row>
    <row r="379">
      <c r="A379" s="40">
        <f>IFERROR(INDEX($R$108:$R$388,ROW()-107),"")</f>
        <v/>
      </c>
      <c r="B379">
        <f>IFERROR(INDEX($S$108:$S$388,ROW()-107),"")</f>
        <v/>
      </c>
      <c r="C379">
        <f>IFERROR(INDEX($W$108:$W$388,ROW()-107),"")</f>
        <v/>
      </c>
      <c r="D379" s="32">
        <f>IFERROR((C379-B379)*100,"")</f>
        <v/>
      </c>
      <c r="E379" s="32">
        <f>IFERROR(D379-D378,"")</f>
        <v/>
      </c>
      <c r="F379" s="32">
        <f>IFERROR(D378,"")</f>
        <v/>
      </c>
      <c r="G379" s="41">
        <f>IFERROR((D379-$C$24)/$C$25,"")</f>
        <v/>
      </c>
      <c r="H379" s="32" t="n"/>
      <c r="I379" s="32">
        <f>IFERROR(D379-D375,"")</f>
        <v/>
      </c>
      <c r="J379" s="32">
        <f>IFERROR(D379-D366,"")</f>
        <v/>
      </c>
      <c r="K379">
        <f>IF(A379="","",$C$24)</f>
        <v/>
      </c>
      <c r="L379">
        <f>IF(A379="","",$C$24-$C$25)</f>
        <v/>
      </c>
      <c r="M379">
        <f>IF(A379="","",$C$24+$C$25)</f>
        <v/>
      </c>
    </row>
    <row r="380">
      <c r="A380" s="40">
        <f>IFERROR(INDEX($R$108:$R$388,ROW()-107),"")</f>
        <v/>
      </c>
      <c r="B380">
        <f>IFERROR(INDEX($S$108:$S$388,ROW()-107),"")</f>
        <v/>
      </c>
      <c r="C380">
        <f>IFERROR(INDEX($W$108:$W$388,ROW()-107),"")</f>
        <v/>
      </c>
      <c r="D380" s="32">
        <f>IFERROR((C380-B380)*100,"")</f>
        <v/>
      </c>
      <c r="E380" s="32">
        <f>IFERROR(D380-D379,"")</f>
        <v/>
      </c>
      <c r="F380" s="32">
        <f>IFERROR(D379,"")</f>
        <v/>
      </c>
      <c r="G380" s="41">
        <f>IFERROR((D380-$C$24)/$C$25,"")</f>
        <v/>
      </c>
      <c r="H380" s="32" t="n"/>
      <c r="I380" s="32">
        <f>IFERROR(D380-D376,"")</f>
        <v/>
      </c>
      <c r="J380" s="32">
        <f>IFERROR(D380-D367,"")</f>
        <v/>
      </c>
      <c r="K380">
        <f>IF(A380="","",$C$24)</f>
        <v/>
      </c>
      <c r="L380">
        <f>IF(A380="","",$C$24-$C$25)</f>
        <v/>
      </c>
      <c r="M380">
        <f>IF(A380="","",$C$24+$C$25)</f>
        <v/>
      </c>
    </row>
    <row r="381">
      <c r="A381" s="40">
        <f>IFERROR(INDEX($R$108:$R$388,ROW()-107),"")</f>
        <v/>
      </c>
      <c r="B381">
        <f>IFERROR(INDEX($S$108:$S$388,ROW()-107),"")</f>
        <v/>
      </c>
      <c r="C381">
        <f>IFERROR(INDEX($W$108:$W$388,ROW()-107),"")</f>
        <v/>
      </c>
      <c r="D381" s="32">
        <f>IFERROR((C381-B381)*100,"")</f>
        <v/>
      </c>
      <c r="E381" s="32">
        <f>IFERROR(D381-D380,"")</f>
        <v/>
      </c>
      <c r="F381" s="32">
        <f>IFERROR(D380,"")</f>
        <v/>
      </c>
      <c r="G381" s="41">
        <f>IFERROR((D381-$C$24)/$C$25,"")</f>
        <v/>
      </c>
      <c r="H381" s="32" t="n"/>
      <c r="I381" s="32">
        <f>IFERROR(D381-D377,"")</f>
        <v/>
      </c>
      <c r="J381" s="32">
        <f>IFERROR(D381-D368,"")</f>
        <v/>
      </c>
      <c r="K381">
        <f>IF(A381="","",$C$24)</f>
        <v/>
      </c>
      <c r="L381">
        <f>IF(A381="","",$C$24-$C$25)</f>
        <v/>
      </c>
      <c r="M381">
        <f>IF(A381="","",$C$24+$C$25)</f>
        <v/>
      </c>
    </row>
    <row r="382">
      <c r="A382" s="40">
        <f>IFERROR(INDEX($R$108:$R$388,ROW()-107),"")</f>
        <v/>
      </c>
      <c r="B382">
        <f>IFERROR(INDEX($S$108:$S$388,ROW()-107),"")</f>
        <v/>
      </c>
      <c r="C382">
        <f>IFERROR(INDEX($W$108:$W$388,ROW()-107),"")</f>
        <v/>
      </c>
      <c r="D382" s="32">
        <f>IFERROR((C382-B382)*100,"")</f>
        <v/>
      </c>
      <c r="E382" s="32">
        <f>IFERROR(D382-D381,"")</f>
        <v/>
      </c>
      <c r="F382" s="32">
        <f>IFERROR(D381,"")</f>
        <v/>
      </c>
      <c r="G382" s="41">
        <f>IFERROR((D382-$C$24)/$C$25,"")</f>
        <v/>
      </c>
      <c r="H382" s="32" t="n"/>
      <c r="I382" s="32">
        <f>IFERROR(D382-D378,"")</f>
        <v/>
      </c>
      <c r="J382" s="32">
        <f>IFERROR(D382-D369,"")</f>
        <v/>
      </c>
      <c r="K382">
        <f>IF(A382="","",$C$24)</f>
        <v/>
      </c>
      <c r="L382">
        <f>IF(A382="","",$C$24-$C$25)</f>
        <v/>
      </c>
      <c r="M382">
        <f>IF(A382="","",$C$24+$C$25)</f>
        <v/>
      </c>
    </row>
    <row r="383">
      <c r="A383" s="40">
        <f>IFERROR(INDEX($R$108:$R$388,ROW()-107),"")</f>
        <v/>
      </c>
      <c r="B383">
        <f>IFERROR(INDEX($S$108:$S$388,ROW()-107),"")</f>
        <v/>
      </c>
      <c r="C383">
        <f>IFERROR(INDEX($W$108:$W$388,ROW()-107),"")</f>
        <v/>
      </c>
      <c r="D383" s="32">
        <f>IFERROR((C383-B383)*100,"")</f>
        <v/>
      </c>
      <c r="E383" s="32">
        <f>IFERROR(D383-D382,"")</f>
        <v/>
      </c>
      <c r="F383" s="32">
        <f>IFERROR(D382,"")</f>
        <v/>
      </c>
      <c r="G383" s="41">
        <f>IFERROR((D383-$C$24)/$C$25,"")</f>
        <v/>
      </c>
      <c r="H383" s="32" t="n"/>
      <c r="I383" s="32">
        <f>IFERROR(D383-D379,"")</f>
        <v/>
      </c>
      <c r="J383" s="32">
        <f>IFERROR(D383-D370,"")</f>
        <v/>
      </c>
      <c r="K383">
        <f>IF(A383="","",$C$24)</f>
        <v/>
      </c>
      <c r="L383">
        <f>IF(A383="","",$C$24-$C$25)</f>
        <v/>
      </c>
      <c r="M383">
        <f>IF(A383="","",$C$24+$C$25)</f>
        <v/>
      </c>
    </row>
    <row r="384">
      <c r="A384" s="40">
        <f>IFERROR(INDEX($R$108:$R$388,ROW()-107),"")</f>
        <v/>
      </c>
      <c r="B384">
        <f>IFERROR(INDEX($S$108:$S$388,ROW()-107),"")</f>
        <v/>
      </c>
      <c r="C384">
        <f>IFERROR(INDEX($W$108:$W$388,ROW()-107),"")</f>
        <v/>
      </c>
      <c r="D384" s="32">
        <f>IFERROR((C384-B384)*100,"")</f>
        <v/>
      </c>
      <c r="E384" s="32">
        <f>IFERROR(D384-D383,"")</f>
        <v/>
      </c>
      <c r="F384" s="32">
        <f>IFERROR(D383,"")</f>
        <v/>
      </c>
      <c r="G384" s="41">
        <f>IFERROR((D384-$C$24)/$C$25,"")</f>
        <v/>
      </c>
      <c r="H384" s="32" t="n"/>
      <c r="I384" s="32">
        <f>IFERROR(D384-D380,"")</f>
        <v/>
      </c>
      <c r="J384" s="32">
        <f>IFERROR(D384-D371,"")</f>
        <v/>
      </c>
      <c r="K384">
        <f>IF(A384="","",$C$24)</f>
        <v/>
      </c>
      <c r="L384">
        <f>IF(A384="","",$C$24-$C$25)</f>
        <v/>
      </c>
      <c r="M384">
        <f>IF(A384="","",$C$24+$C$25)</f>
        <v/>
      </c>
    </row>
    <row r="385">
      <c r="A385" s="40">
        <f>IFERROR(INDEX($R$108:$R$388,ROW()-107),"")</f>
        <v/>
      </c>
      <c r="B385">
        <f>IFERROR(INDEX($S$108:$S$388,ROW()-107),"")</f>
        <v/>
      </c>
      <c r="C385">
        <f>IFERROR(INDEX($W$108:$W$388,ROW()-107),"")</f>
        <v/>
      </c>
      <c r="D385" s="32">
        <f>IFERROR((C385-B385)*100,"")</f>
        <v/>
      </c>
      <c r="E385" s="32">
        <f>IFERROR(D385-D384,"")</f>
        <v/>
      </c>
      <c r="F385" s="32">
        <f>IFERROR(D384,"")</f>
        <v/>
      </c>
      <c r="G385" s="41">
        <f>IFERROR((D385-$C$24)/$C$25,"")</f>
        <v/>
      </c>
      <c r="H385" s="32" t="n"/>
      <c r="I385" s="32">
        <f>IFERROR(D385-D381,"")</f>
        <v/>
      </c>
      <c r="J385" s="32">
        <f>IFERROR(D385-D372,"")</f>
        <v/>
      </c>
      <c r="K385">
        <f>IF(A385="","",$C$24)</f>
        <v/>
      </c>
      <c r="L385">
        <f>IF(A385="","",$C$24-$C$25)</f>
        <v/>
      </c>
      <c r="M385">
        <f>IF(A385="","",$C$24+$C$25)</f>
        <v/>
      </c>
    </row>
    <row r="386">
      <c r="A386" s="40">
        <f>IFERROR(INDEX($R$108:$R$388,ROW()-107),"")</f>
        <v/>
      </c>
      <c r="B386">
        <f>IFERROR(INDEX($S$108:$S$388,ROW()-107),"")</f>
        <v/>
      </c>
      <c r="C386">
        <f>IFERROR(INDEX($W$108:$W$388,ROW()-107),"")</f>
        <v/>
      </c>
      <c r="D386" s="32">
        <f>IFERROR((C386-B386)*100,"")</f>
        <v/>
      </c>
      <c r="E386" s="32">
        <f>IFERROR(D386-D385,"")</f>
        <v/>
      </c>
      <c r="F386" s="32">
        <f>IFERROR(D385,"")</f>
        <v/>
      </c>
      <c r="G386" s="41">
        <f>IFERROR((D386-$C$24)/$C$25,"")</f>
        <v/>
      </c>
      <c r="H386" s="32" t="n"/>
      <c r="I386" s="32">
        <f>IFERROR(D386-D382,"")</f>
        <v/>
      </c>
      <c r="J386" s="32">
        <f>IFERROR(D386-D373,"")</f>
        <v/>
      </c>
      <c r="K386">
        <f>IF(A386="","",$C$24)</f>
        <v/>
      </c>
      <c r="L386">
        <f>IF(A386="","",$C$24-$C$25)</f>
        <v/>
      </c>
      <c r="M386">
        <f>IF(A386="","",$C$24+$C$25)</f>
        <v/>
      </c>
    </row>
    <row r="387">
      <c r="A387" s="40">
        <f>IFERROR(INDEX($R$108:$R$388,ROW()-107),"")</f>
        <v/>
      </c>
      <c r="B387">
        <f>IFERROR(INDEX($S$108:$S$388,ROW()-107),"")</f>
        <v/>
      </c>
      <c r="C387">
        <f>IFERROR(INDEX($W$108:$W$388,ROW()-107),"")</f>
        <v/>
      </c>
      <c r="D387" s="32">
        <f>IFERROR((C387-B387)*100,"")</f>
        <v/>
      </c>
      <c r="E387" s="32">
        <f>IFERROR(D387-D386,"")</f>
        <v/>
      </c>
      <c r="F387" s="32">
        <f>IFERROR(D386,"")</f>
        <v/>
      </c>
      <c r="G387" s="41">
        <f>IFERROR((D387-$C$24)/$C$25,"")</f>
        <v/>
      </c>
      <c r="H387" s="32" t="n"/>
      <c r="I387" s="32">
        <f>IFERROR(D387-D383,"")</f>
        <v/>
      </c>
      <c r="J387" s="32">
        <f>IFERROR(D387-D374,"")</f>
        <v/>
      </c>
      <c r="K387">
        <f>IF(A387="","",$C$24)</f>
        <v/>
      </c>
      <c r="L387">
        <f>IF(A387="","",$C$24-$C$25)</f>
        <v/>
      </c>
      <c r="M387">
        <f>IF(A387="","",$C$24+$C$25)</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D152"/>
  <sheetViews>
    <sheetView showGridLines="0" workbookViewId="0">
      <pane ySplit="4" topLeftCell="A5" activePane="bottomLeft" state="frozen"/>
      <selection pane="bottomLeft" activeCell="A1" sqref="A1"/>
    </sheetView>
  </sheetViews>
  <sheetFormatPr baseColWidth="8" defaultRowHeight="15"/>
  <cols>
    <col width="12" customWidth="1" min="1" max="1"/>
    <col width="16" customWidth="1" min="2" max="2"/>
    <col width="18" customWidth="1" min="3" max="3"/>
    <col width="16" customWidth="1" min="4" max="4"/>
    <col width="20" customWidth="1" min="5" max="5"/>
    <col width="12" customWidth="1" min="6" max="6"/>
  </cols>
  <sheetData>
    <row r="1">
      <c r="A1" s="1" t="inlineStr">
        <is>
          <t>JPY bull steepener — the macro evidence, charted</t>
        </is>
      </c>
    </row>
    <row r="2">
      <c r="A2" s="2" t="inlineStr">
        <is>
          <t>Two charts. The first is why the priced hikes rest on the wrong measure; the second is why rising wages have not become inflation.</t>
        </is>
      </c>
    </row>
    <row r="3" ht="4" customHeight="1">
      <c r="A3" s="3" t="n"/>
      <c r="B3" s="3" t="n"/>
      <c r="C3" s="3" t="n"/>
      <c r="D3" s="3" t="n"/>
      <c r="E3" s="3" t="n"/>
      <c r="F3" s="3" t="n"/>
      <c r="G3" s="3" t="n"/>
      <c r="H3" s="3" t="n"/>
    </row>
    <row r="5">
      <c r="A5" s="4" t="inlineStr">
        <is>
          <t>What each chart is for</t>
        </is>
      </c>
    </row>
    <row r="6" ht="58" customHeight="1">
      <c r="A6" s="10" t="inlineStr">
        <is>
          <t>Chart 1 — CPI</t>
        </is>
      </c>
      <c r="B6" s="6" t="inlineStr">
        <is>
          <t>Headline against core-core, with the 2% target. Headline is crude oil and the BoJ's own April Outlook says it wanes; core-core is the measure the Bank targets in practice, and it was 1.7% in June, the lowest since August 2022. The hikes priced into the 2-year rest on the line that is going away.</t>
        </is>
      </c>
    </row>
    <row r="7" ht="58" customHeight="1">
      <c r="A7" s="10" t="inlineStr">
        <is>
          <t>Chart 2 — wages vs spending</t>
        </is>
      </c>
      <c r="B7" s="6" t="inlineStr">
        <is>
          <t>Real wages rose 1.6% in June, a sixth straight month, with base pay up 3.4% and accelerating. That is the strongest argument against the trade and it belongs on the page. The answer is the second series: household spending has fallen seven months running. Income is rising and it is not being spent, and core-core still fell. The wage channel is working on paper and not in prices.</t>
        </is>
      </c>
    </row>
    <row r="10">
      <c r="A10" s="4" t="inlineStr">
        <is>
          <t>Series and their tickers</t>
        </is>
      </c>
    </row>
    <row r="11" ht="18" customHeight="1">
      <c r="A11" s="9" t="inlineStr">
        <is>
          <t>Series</t>
        </is>
      </c>
      <c r="B11" s="9" t="inlineStr">
        <is>
          <t>Ticker</t>
        </is>
      </c>
      <c r="C11" s="9" t="inlineStr">
        <is>
          <t>Latest</t>
        </is>
      </c>
      <c r="D11" s="9" t="inlineStr">
        <is>
          <t>Status</t>
        </is>
      </c>
    </row>
    <row r="12">
      <c r="A12" s="22" t="inlineStr">
        <is>
          <t>Japan headline CPI y/y</t>
        </is>
      </c>
      <c r="B12" s="5" t="inlineStr">
        <is>
          <t>JNCPIYOY Index</t>
        </is>
      </c>
      <c r="C12" s="42">
        <f>BDP($B12,"PX_LAST")</f>
        <v/>
      </c>
      <c r="D12" s="16" t="inlineStr">
        <is>
          <t>Confirmed pattern, unconfirmed identifier — SECF &lt;GO&gt;</t>
        </is>
      </c>
    </row>
    <row r="13">
      <c r="A13" s="22" t="inlineStr">
        <is>
          <t>Japan core-core CPI y/y</t>
        </is>
      </c>
      <c r="B13" s="5" t="inlineStr">
        <is>
          <t>JCPNEFEY Index</t>
        </is>
      </c>
      <c r="C13" s="42">
        <f>BDP($B13,"PX_LAST")</f>
        <v/>
      </c>
      <c r="D13" s="16" t="inlineStr">
        <is>
          <t>Confirmed pattern, unconfirmed identifier — SECF &lt;GO&gt;</t>
        </is>
      </c>
    </row>
    <row r="14">
      <c r="A14" s="22" t="inlineStr">
        <is>
          <t>Japan real wages y/y</t>
        </is>
      </c>
      <c r="B14" s="5" t="inlineStr">
        <is>
          <t>JNLSRWY Index</t>
        </is>
      </c>
      <c r="C14" s="42">
        <f>BDP($B14,"PX_LAST")</f>
        <v/>
      </c>
      <c r="D14" s="16" t="inlineStr">
        <is>
          <t>Candidate only. If it does not resolve, the labour series are on ECST S &lt;GO&gt; under Japan / earnings and Japan / household survey.</t>
        </is>
      </c>
      <c r="R14" s="8" t="inlineStr">
        <is>
          <t>Staging — one BQL call per security. Each spills DATE and value; the working columns on the left look them up by date. Blocks: R = Japan headline CPI y/y · V = Japan core-core CPI y/y · Z = Japan real wages y/y · AD = Japan household spending y/y.  If a block comes back with an extra ID column, shift that block's value column by one — nothing else needs to change.</t>
        </is>
      </c>
    </row>
    <row r="15">
      <c r="A15" s="22" t="inlineStr">
        <is>
          <t>Japan household spending y/y</t>
        </is>
      </c>
      <c r="B15" s="5" t="inlineStr">
        <is>
          <t>JNHSSPYY Index</t>
        </is>
      </c>
      <c r="C15" s="42">
        <f>BDP($B15,"PX_LAST")</f>
        <v/>
      </c>
      <c r="D15" s="16" t="inlineStr">
        <is>
          <t>Candidate only. If it does not resolve, the labour series are on ECST S &lt;GO&gt; under Japan / earnings and Japan / household survey.</t>
        </is>
      </c>
    </row>
    <row r="16">
      <c r="R16" s="7">
        <f>BQL("JNCPIYOY Index","px_last(frq=M, dates=range("&amp;TEXT(Start5Y,"yyyy-mm-dd")&amp;","&amp;TEXT(AsOf,"yyyy-mm-dd")&amp;"), fill=prev)")</f>
        <v/>
      </c>
      <c r="V16" s="7">
        <f>BQL("JCPNEFEY Index","px_last(frq=M, dates=range("&amp;TEXT(Start5Y,"yyyy-mm-dd")&amp;","&amp;TEXT(AsOf,"yyyy-mm-dd")&amp;"), fill=prev)")</f>
        <v/>
      </c>
      <c r="Z16" s="7">
        <f>BQL("JNLSRWY Index","px_last(frq=M, dates=range("&amp;TEXT(Start5Y,"yyyy-mm-dd")&amp;","&amp;TEXT(AsOf,"yyyy-mm-dd")&amp;"), fill=prev)")</f>
        <v/>
      </c>
      <c r="AD16" s="7">
        <f>BQL("JNHSSPYY Index","px_last(frq=M, dates=range("&amp;TEXT(Start5Y,"yyyy-mm-dd")&amp;","&amp;TEXT(AsOf,"yyyy-mm-dd")&amp;"), fill=prev)")</f>
        <v/>
      </c>
    </row>
    <row r="18">
      <c r="A18" s="4" t="inlineStr">
        <is>
          <t>Date alignment check</t>
        </is>
      </c>
      <c r="C18" s="4">
        <f>IFERROR(SUMPRODUCT(--($R$20:$R$150&lt;&gt;"")*($V$20:$V$150&lt;&gt;"")*($R$20:$R$150&lt;&gt;$V$20:$V$150))+SUMPRODUCT(--($R$20:$R$150&lt;&gt;"")*($Z$20:$Z$150&lt;&gt;"")*($R$20:$R$150&lt;&gt;$Z$20:$Z$150))+SUMPRODUCT(--($R$20:$R$150&lt;&gt;"")*($AD$20:$AD$150&lt;&gt;"")*($R$20:$R$150&lt;&gt;$AD$20:$AD$150)),"")</f>
        <v/>
      </c>
      <c r="D18" s="2">
        <f>IF(C18="","",IF(C18=0,"OK — blocks are row-aligned","MISALIGNED: "&amp;C18&amp;" rows differ. Do not use these numbers; switch the value columns to INDEX/MATCH on the date."))</f>
        <v/>
      </c>
    </row>
    <row r="19" ht="18" customHeight="1">
      <c r="A19" s="9" t="inlineStr">
        <is>
          <t>Date</t>
        </is>
      </c>
      <c r="B19" s="9" t="inlineStr">
        <is>
          <t>Japan headline CPI y/y</t>
        </is>
      </c>
      <c r="C19" s="9" t="inlineStr">
        <is>
          <t>Japan core-core CPI y/y</t>
        </is>
      </c>
      <c r="D19" s="9" t="inlineStr">
        <is>
          <t>Japan real wages y/y</t>
        </is>
      </c>
      <c r="E19" s="9" t="inlineStr">
        <is>
          <t>Japan household spending y/y</t>
        </is>
      </c>
      <c r="F19" s="9" t="inlineStr">
        <is>
          <t>2% target</t>
        </is>
      </c>
    </row>
    <row r="20">
      <c r="A20" s="26">
        <f>IFERROR(INDEX($R$20:$R$150,ROW()-19),"")</f>
        <v/>
      </c>
      <c r="B20" s="43">
        <f>IFERROR(INDEX($S$20:$S$150,ROW()-19),"")</f>
        <v/>
      </c>
      <c r="C20" s="43">
        <f>IFERROR(INDEX($W$20:$W$150,ROW()-19),"")</f>
        <v/>
      </c>
      <c r="D20" s="43">
        <f>IFERROR(INDEX($AA$20:$AA$150,ROW()-19),"")</f>
        <v/>
      </c>
      <c r="E20" s="43">
        <f>IFERROR(INDEX($AE$20:$AE$150,ROW()-19),"")</f>
        <v/>
      </c>
      <c r="F20" s="43">
        <f>IF(A20="","",2)</f>
        <v/>
      </c>
    </row>
    <row r="21">
      <c r="A21" s="26">
        <f>IFERROR(INDEX($R$20:$R$150,ROW()-19),"")</f>
        <v/>
      </c>
      <c r="B21" s="43">
        <f>IFERROR(INDEX($S$20:$S$150,ROW()-19),"")</f>
        <v/>
      </c>
      <c r="C21" s="43">
        <f>IFERROR(INDEX($W$20:$W$150,ROW()-19),"")</f>
        <v/>
      </c>
      <c r="D21" s="43">
        <f>IFERROR(INDEX($AA$20:$AA$150,ROW()-19),"")</f>
        <v/>
      </c>
      <c r="E21" s="43">
        <f>IFERROR(INDEX($AE$20:$AE$150,ROW()-19),"")</f>
        <v/>
      </c>
      <c r="F21" s="43">
        <f>IF(A21="","",2)</f>
        <v/>
      </c>
    </row>
    <row r="22">
      <c r="A22" s="26">
        <f>IFERROR(INDEX($R$20:$R$150,ROW()-19),"")</f>
        <v/>
      </c>
      <c r="B22" s="43">
        <f>IFERROR(INDEX($S$20:$S$150,ROW()-19),"")</f>
        <v/>
      </c>
      <c r="C22" s="43">
        <f>IFERROR(INDEX($W$20:$W$150,ROW()-19),"")</f>
        <v/>
      </c>
      <c r="D22" s="43">
        <f>IFERROR(INDEX($AA$20:$AA$150,ROW()-19),"")</f>
        <v/>
      </c>
      <c r="E22" s="43">
        <f>IFERROR(INDEX($AE$20:$AE$150,ROW()-19),"")</f>
        <v/>
      </c>
      <c r="F22" s="43">
        <f>IF(A22="","",2)</f>
        <v/>
      </c>
    </row>
    <row r="23">
      <c r="A23" s="26">
        <f>IFERROR(INDEX($R$20:$R$150,ROW()-19),"")</f>
        <v/>
      </c>
      <c r="B23" s="43">
        <f>IFERROR(INDEX($S$20:$S$150,ROW()-19),"")</f>
        <v/>
      </c>
      <c r="C23" s="43">
        <f>IFERROR(INDEX($W$20:$W$150,ROW()-19),"")</f>
        <v/>
      </c>
      <c r="D23" s="43">
        <f>IFERROR(INDEX($AA$20:$AA$150,ROW()-19),"")</f>
        <v/>
      </c>
      <c r="E23" s="43">
        <f>IFERROR(INDEX($AE$20:$AE$150,ROW()-19),"")</f>
        <v/>
      </c>
      <c r="F23" s="43">
        <f>IF(A23="","",2)</f>
        <v/>
      </c>
    </row>
    <row r="24">
      <c r="A24" s="26">
        <f>IFERROR(INDEX($R$20:$R$150,ROW()-19),"")</f>
        <v/>
      </c>
      <c r="B24" s="43">
        <f>IFERROR(INDEX($S$20:$S$150,ROW()-19),"")</f>
        <v/>
      </c>
      <c r="C24" s="43">
        <f>IFERROR(INDEX($W$20:$W$150,ROW()-19),"")</f>
        <v/>
      </c>
      <c r="D24" s="43">
        <f>IFERROR(INDEX($AA$20:$AA$150,ROW()-19),"")</f>
        <v/>
      </c>
      <c r="E24" s="43">
        <f>IFERROR(INDEX($AE$20:$AE$150,ROW()-19),"")</f>
        <v/>
      </c>
      <c r="F24" s="43">
        <f>IF(A24="","",2)</f>
        <v/>
      </c>
    </row>
    <row r="25">
      <c r="A25" s="26">
        <f>IFERROR(INDEX($R$20:$R$150,ROW()-19),"")</f>
        <v/>
      </c>
      <c r="B25" s="43">
        <f>IFERROR(INDEX($S$20:$S$150,ROW()-19),"")</f>
        <v/>
      </c>
      <c r="C25" s="43">
        <f>IFERROR(INDEX($W$20:$W$150,ROW()-19),"")</f>
        <v/>
      </c>
      <c r="D25" s="43">
        <f>IFERROR(INDEX($AA$20:$AA$150,ROW()-19),"")</f>
        <v/>
      </c>
      <c r="E25" s="43">
        <f>IFERROR(INDEX($AE$20:$AE$150,ROW()-19),"")</f>
        <v/>
      </c>
      <c r="F25" s="43">
        <f>IF(A25="","",2)</f>
        <v/>
      </c>
    </row>
    <row r="26">
      <c r="A26" s="26">
        <f>IFERROR(INDEX($R$20:$R$150,ROW()-19),"")</f>
        <v/>
      </c>
      <c r="B26" s="43">
        <f>IFERROR(INDEX($S$20:$S$150,ROW()-19),"")</f>
        <v/>
      </c>
      <c r="C26" s="43">
        <f>IFERROR(INDEX($W$20:$W$150,ROW()-19),"")</f>
        <v/>
      </c>
      <c r="D26" s="43">
        <f>IFERROR(INDEX($AA$20:$AA$150,ROW()-19),"")</f>
        <v/>
      </c>
      <c r="E26" s="43">
        <f>IFERROR(INDEX($AE$20:$AE$150,ROW()-19),"")</f>
        <v/>
      </c>
      <c r="F26" s="43">
        <f>IF(A26="","",2)</f>
        <v/>
      </c>
    </row>
    <row r="27">
      <c r="A27" s="26">
        <f>IFERROR(INDEX($R$20:$R$150,ROW()-19),"")</f>
        <v/>
      </c>
      <c r="B27" s="43">
        <f>IFERROR(INDEX($S$20:$S$150,ROW()-19),"")</f>
        <v/>
      </c>
      <c r="C27" s="43">
        <f>IFERROR(INDEX($W$20:$W$150,ROW()-19),"")</f>
        <v/>
      </c>
      <c r="D27" s="43">
        <f>IFERROR(INDEX($AA$20:$AA$150,ROW()-19),"")</f>
        <v/>
      </c>
      <c r="E27" s="43">
        <f>IFERROR(INDEX($AE$20:$AE$150,ROW()-19),"")</f>
        <v/>
      </c>
      <c r="F27" s="43">
        <f>IF(A27="","",2)</f>
        <v/>
      </c>
    </row>
    <row r="28">
      <c r="A28" s="26">
        <f>IFERROR(INDEX($R$20:$R$150,ROW()-19),"")</f>
        <v/>
      </c>
      <c r="B28" s="43">
        <f>IFERROR(INDEX($S$20:$S$150,ROW()-19),"")</f>
        <v/>
      </c>
      <c r="C28" s="43">
        <f>IFERROR(INDEX($W$20:$W$150,ROW()-19),"")</f>
        <v/>
      </c>
      <c r="D28" s="43">
        <f>IFERROR(INDEX($AA$20:$AA$150,ROW()-19),"")</f>
        <v/>
      </c>
      <c r="E28" s="43">
        <f>IFERROR(INDEX($AE$20:$AE$150,ROW()-19),"")</f>
        <v/>
      </c>
      <c r="F28" s="43">
        <f>IF(A28="","",2)</f>
        <v/>
      </c>
    </row>
    <row r="29">
      <c r="A29" s="26">
        <f>IFERROR(INDEX($R$20:$R$150,ROW()-19),"")</f>
        <v/>
      </c>
      <c r="B29" s="43">
        <f>IFERROR(INDEX($S$20:$S$150,ROW()-19),"")</f>
        <v/>
      </c>
      <c r="C29" s="43">
        <f>IFERROR(INDEX($W$20:$W$150,ROW()-19),"")</f>
        <v/>
      </c>
      <c r="D29" s="43">
        <f>IFERROR(INDEX($AA$20:$AA$150,ROW()-19),"")</f>
        <v/>
      </c>
      <c r="E29" s="43">
        <f>IFERROR(INDEX($AE$20:$AE$150,ROW()-19),"")</f>
        <v/>
      </c>
      <c r="F29" s="43">
        <f>IF(A29="","",2)</f>
        <v/>
      </c>
    </row>
    <row r="30">
      <c r="A30" s="26">
        <f>IFERROR(INDEX($R$20:$R$150,ROW()-19),"")</f>
        <v/>
      </c>
      <c r="B30" s="43">
        <f>IFERROR(INDEX($S$20:$S$150,ROW()-19),"")</f>
        <v/>
      </c>
      <c r="C30" s="43">
        <f>IFERROR(INDEX($W$20:$W$150,ROW()-19),"")</f>
        <v/>
      </c>
      <c r="D30" s="43">
        <f>IFERROR(INDEX($AA$20:$AA$150,ROW()-19),"")</f>
        <v/>
      </c>
      <c r="E30" s="43">
        <f>IFERROR(INDEX($AE$20:$AE$150,ROW()-19),"")</f>
        <v/>
      </c>
      <c r="F30" s="43">
        <f>IF(A30="","",2)</f>
        <v/>
      </c>
    </row>
    <row r="31">
      <c r="A31" s="26">
        <f>IFERROR(INDEX($R$20:$R$150,ROW()-19),"")</f>
        <v/>
      </c>
      <c r="B31" s="43">
        <f>IFERROR(INDEX($S$20:$S$150,ROW()-19),"")</f>
        <v/>
      </c>
      <c r="C31" s="43">
        <f>IFERROR(INDEX($W$20:$W$150,ROW()-19),"")</f>
        <v/>
      </c>
      <c r="D31" s="43">
        <f>IFERROR(INDEX($AA$20:$AA$150,ROW()-19),"")</f>
        <v/>
      </c>
      <c r="E31" s="43">
        <f>IFERROR(INDEX($AE$20:$AE$150,ROW()-19),"")</f>
        <v/>
      </c>
      <c r="F31" s="43">
        <f>IF(A31="","",2)</f>
        <v/>
      </c>
    </row>
    <row r="32">
      <c r="A32" s="26">
        <f>IFERROR(INDEX($R$20:$R$150,ROW()-19),"")</f>
        <v/>
      </c>
      <c r="B32" s="43">
        <f>IFERROR(INDEX($S$20:$S$150,ROW()-19),"")</f>
        <v/>
      </c>
      <c r="C32" s="43">
        <f>IFERROR(INDEX($W$20:$W$150,ROW()-19),"")</f>
        <v/>
      </c>
      <c r="D32" s="43">
        <f>IFERROR(INDEX($AA$20:$AA$150,ROW()-19),"")</f>
        <v/>
      </c>
      <c r="E32" s="43">
        <f>IFERROR(INDEX($AE$20:$AE$150,ROW()-19),"")</f>
        <v/>
      </c>
      <c r="F32" s="43">
        <f>IF(A32="","",2)</f>
        <v/>
      </c>
    </row>
    <row r="33">
      <c r="A33" s="26">
        <f>IFERROR(INDEX($R$20:$R$150,ROW()-19),"")</f>
        <v/>
      </c>
      <c r="B33" s="43">
        <f>IFERROR(INDEX($S$20:$S$150,ROW()-19),"")</f>
        <v/>
      </c>
      <c r="C33" s="43">
        <f>IFERROR(INDEX($W$20:$W$150,ROW()-19),"")</f>
        <v/>
      </c>
      <c r="D33" s="43">
        <f>IFERROR(INDEX($AA$20:$AA$150,ROW()-19),"")</f>
        <v/>
      </c>
      <c r="E33" s="43">
        <f>IFERROR(INDEX($AE$20:$AE$150,ROW()-19),"")</f>
        <v/>
      </c>
      <c r="F33" s="43">
        <f>IF(A33="","",2)</f>
        <v/>
      </c>
    </row>
    <row r="34">
      <c r="A34" s="26">
        <f>IFERROR(INDEX($R$20:$R$150,ROW()-19),"")</f>
        <v/>
      </c>
      <c r="B34" s="43">
        <f>IFERROR(INDEX($S$20:$S$150,ROW()-19),"")</f>
        <v/>
      </c>
      <c r="C34" s="43">
        <f>IFERROR(INDEX($W$20:$W$150,ROW()-19),"")</f>
        <v/>
      </c>
      <c r="D34" s="43">
        <f>IFERROR(INDEX($AA$20:$AA$150,ROW()-19),"")</f>
        <v/>
      </c>
      <c r="E34" s="43">
        <f>IFERROR(INDEX($AE$20:$AE$150,ROW()-19),"")</f>
        <v/>
      </c>
      <c r="F34" s="43">
        <f>IF(A34="","",2)</f>
        <v/>
      </c>
    </row>
    <row r="35">
      <c r="A35" s="26">
        <f>IFERROR(INDEX($R$20:$R$150,ROW()-19),"")</f>
        <v/>
      </c>
      <c r="B35" s="43">
        <f>IFERROR(INDEX($S$20:$S$150,ROW()-19),"")</f>
        <v/>
      </c>
      <c r="C35" s="43">
        <f>IFERROR(INDEX($W$20:$W$150,ROW()-19),"")</f>
        <v/>
      </c>
      <c r="D35" s="43">
        <f>IFERROR(INDEX($AA$20:$AA$150,ROW()-19),"")</f>
        <v/>
      </c>
      <c r="E35" s="43">
        <f>IFERROR(INDEX($AE$20:$AE$150,ROW()-19),"")</f>
        <v/>
      </c>
      <c r="F35" s="43">
        <f>IF(A35="","",2)</f>
        <v/>
      </c>
    </row>
    <row r="36">
      <c r="A36" s="26">
        <f>IFERROR(INDEX($R$20:$R$150,ROW()-19),"")</f>
        <v/>
      </c>
      <c r="B36" s="43">
        <f>IFERROR(INDEX($S$20:$S$150,ROW()-19),"")</f>
        <v/>
      </c>
      <c r="C36" s="43">
        <f>IFERROR(INDEX($W$20:$W$150,ROW()-19),"")</f>
        <v/>
      </c>
      <c r="D36" s="43">
        <f>IFERROR(INDEX($AA$20:$AA$150,ROW()-19),"")</f>
        <v/>
      </c>
      <c r="E36" s="43">
        <f>IFERROR(INDEX($AE$20:$AE$150,ROW()-19),"")</f>
        <v/>
      </c>
      <c r="F36" s="43">
        <f>IF(A36="","",2)</f>
        <v/>
      </c>
    </row>
    <row r="37">
      <c r="A37" s="26">
        <f>IFERROR(INDEX($R$20:$R$150,ROW()-19),"")</f>
        <v/>
      </c>
      <c r="B37" s="43">
        <f>IFERROR(INDEX($S$20:$S$150,ROW()-19),"")</f>
        <v/>
      </c>
      <c r="C37" s="43">
        <f>IFERROR(INDEX($W$20:$W$150,ROW()-19),"")</f>
        <v/>
      </c>
      <c r="D37" s="43">
        <f>IFERROR(INDEX($AA$20:$AA$150,ROW()-19),"")</f>
        <v/>
      </c>
      <c r="E37" s="43">
        <f>IFERROR(INDEX($AE$20:$AE$150,ROW()-19),"")</f>
        <v/>
      </c>
      <c r="F37" s="43">
        <f>IF(A37="","",2)</f>
        <v/>
      </c>
    </row>
    <row r="38">
      <c r="A38" s="26">
        <f>IFERROR(INDEX($R$20:$R$150,ROW()-19),"")</f>
        <v/>
      </c>
      <c r="B38" s="43">
        <f>IFERROR(INDEX($S$20:$S$150,ROW()-19),"")</f>
        <v/>
      </c>
      <c r="C38" s="43">
        <f>IFERROR(INDEX($W$20:$W$150,ROW()-19),"")</f>
        <v/>
      </c>
      <c r="D38" s="43">
        <f>IFERROR(INDEX($AA$20:$AA$150,ROW()-19),"")</f>
        <v/>
      </c>
      <c r="E38" s="43">
        <f>IFERROR(INDEX($AE$20:$AE$150,ROW()-19),"")</f>
        <v/>
      </c>
      <c r="F38" s="43">
        <f>IF(A38="","",2)</f>
        <v/>
      </c>
    </row>
    <row r="39">
      <c r="A39" s="26">
        <f>IFERROR(INDEX($R$20:$R$150,ROW()-19),"")</f>
        <v/>
      </c>
      <c r="B39" s="43">
        <f>IFERROR(INDEX($S$20:$S$150,ROW()-19),"")</f>
        <v/>
      </c>
      <c r="C39" s="43">
        <f>IFERROR(INDEX($W$20:$W$150,ROW()-19),"")</f>
        <v/>
      </c>
      <c r="D39" s="43">
        <f>IFERROR(INDEX($AA$20:$AA$150,ROW()-19),"")</f>
        <v/>
      </c>
      <c r="E39" s="43">
        <f>IFERROR(INDEX($AE$20:$AE$150,ROW()-19),"")</f>
        <v/>
      </c>
      <c r="F39" s="43">
        <f>IF(A39="","",2)</f>
        <v/>
      </c>
    </row>
    <row r="40">
      <c r="A40" s="26">
        <f>IFERROR(INDEX($R$20:$R$150,ROW()-19),"")</f>
        <v/>
      </c>
      <c r="B40" s="43">
        <f>IFERROR(INDEX($S$20:$S$150,ROW()-19),"")</f>
        <v/>
      </c>
      <c r="C40" s="43">
        <f>IFERROR(INDEX($W$20:$W$150,ROW()-19),"")</f>
        <v/>
      </c>
      <c r="D40" s="43">
        <f>IFERROR(INDEX($AA$20:$AA$150,ROW()-19),"")</f>
        <v/>
      </c>
      <c r="E40" s="43">
        <f>IFERROR(INDEX($AE$20:$AE$150,ROW()-19),"")</f>
        <v/>
      </c>
      <c r="F40" s="43">
        <f>IF(A40="","",2)</f>
        <v/>
      </c>
    </row>
    <row r="41">
      <c r="A41" s="26">
        <f>IFERROR(INDEX($R$20:$R$150,ROW()-19),"")</f>
        <v/>
      </c>
      <c r="B41" s="43">
        <f>IFERROR(INDEX($S$20:$S$150,ROW()-19),"")</f>
        <v/>
      </c>
      <c r="C41" s="43">
        <f>IFERROR(INDEX($W$20:$W$150,ROW()-19),"")</f>
        <v/>
      </c>
      <c r="D41" s="43">
        <f>IFERROR(INDEX($AA$20:$AA$150,ROW()-19),"")</f>
        <v/>
      </c>
      <c r="E41" s="43">
        <f>IFERROR(INDEX($AE$20:$AE$150,ROW()-19),"")</f>
        <v/>
      </c>
      <c r="F41" s="43">
        <f>IF(A41="","",2)</f>
        <v/>
      </c>
    </row>
    <row r="42">
      <c r="A42" s="26">
        <f>IFERROR(INDEX($R$20:$R$150,ROW()-19),"")</f>
        <v/>
      </c>
      <c r="B42" s="43">
        <f>IFERROR(INDEX($S$20:$S$150,ROW()-19),"")</f>
        <v/>
      </c>
      <c r="C42" s="43">
        <f>IFERROR(INDEX($W$20:$W$150,ROW()-19),"")</f>
        <v/>
      </c>
      <c r="D42" s="43">
        <f>IFERROR(INDEX($AA$20:$AA$150,ROW()-19),"")</f>
        <v/>
      </c>
      <c r="E42" s="43">
        <f>IFERROR(INDEX($AE$20:$AE$150,ROW()-19),"")</f>
        <v/>
      </c>
      <c r="F42" s="43">
        <f>IF(A42="","",2)</f>
        <v/>
      </c>
    </row>
    <row r="43">
      <c r="A43" s="26">
        <f>IFERROR(INDEX($R$20:$R$150,ROW()-19),"")</f>
        <v/>
      </c>
      <c r="B43" s="43">
        <f>IFERROR(INDEX($S$20:$S$150,ROW()-19),"")</f>
        <v/>
      </c>
      <c r="C43" s="43">
        <f>IFERROR(INDEX($W$20:$W$150,ROW()-19),"")</f>
        <v/>
      </c>
      <c r="D43" s="43">
        <f>IFERROR(INDEX($AA$20:$AA$150,ROW()-19),"")</f>
        <v/>
      </c>
      <c r="E43" s="43">
        <f>IFERROR(INDEX($AE$20:$AE$150,ROW()-19),"")</f>
        <v/>
      </c>
      <c r="F43" s="43">
        <f>IF(A43="","",2)</f>
        <v/>
      </c>
    </row>
    <row r="44">
      <c r="A44" s="26">
        <f>IFERROR(INDEX($R$20:$R$150,ROW()-19),"")</f>
        <v/>
      </c>
      <c r="B44" s="43">
        <f>IFERROR(INDEX($S$20:$S$150,ROW()-19),"")</f>
        <v/>
      </c>
      <c r="C44" s="43">
        <f>IFERROR(INDEX($W$20:$W$150,ROW()-19),"")</f>
        <v/>
      </c>
      <c r="D44" s="43">
        <f>IFERROR(INDEX($AA$20:$AA$150,ROW()-19),"")</f>
        <v/>
      </c>
      <c r="E44" s="43">
        <f>IFERROR(INDEX($AE$20:$AE$150,ROW()-19),"")</f>
        <v/>
      </c>
      <c r="F44" s="43">
        <f>IF(A44="","",2)</f>
        <v/>
      </c>
    </row>
    <row r="45">
      <c r="A45" s="26">
        <f>IFERROR(INDEX($R$20:$R$150,ROW()-19),"")</f>
        <v/>
      </c>
      <c r="B45" s="43">
        <f>IFERROR(INDEX($S$20:$S$150,ROW()-19),"")</f>
        <v/>
      </c>
      <c r="C45" s="43">
        <f>IFERROR(INDEX($W$20:$W$150,ROW()-19),"")</f>
        <v/>
      </c>
      <c r="D45" s="43">
        <f>IFERROR(INDEX($AA$20:$AA$150,ROW()-19),"")</f>
        <v/>
      </c>
      <c r="E45" s="43">
        <f>IFERROR(INDEX($AE$20:$AE$150,ROW()-19),"")</f>
        <v/>
      </c>
      <c r="F45" s="43">
        <f>IF(A45="","",2)</f>
        <v/>
      </c>
    </row>
    <row r="46">
      <c r="A46" s="26">
        <f>IFERROR(INDEX($R$20:$R$150,ROW()-19),"")</f>
        <v/>
      </c>
      <c r="B46" s="43">
        <f>IFERROR(INDEX($S$20:$S$150,ROW()-19),"")</f>
        <v/>
      </c>
      <c r="C46" s="43">
        <f>IFERROR(INDEX($W$20:$W$150,ROW()-19),"")</f>
        <v/>
      </c>
      <c r="D46" s="43">
        <f>IFERROR(INDEX($AA$20:$AA$150,ROW()-19),"")</f>
        <v/>
      </c>
      <c r="E46" s="43">
        <f>IFERROR(INDEX($AE$20:$AE$150,ROW()-19),"")</f>
        <v/>
      </c>
      <c r="F46" s="43">
        <f>IF(A46="","",2)</f>
        <v/>
      </c>
    </row>
    <row r="47">
      <c r="A47" s="26">
        <f>IFERROR(INDEX($R$20:$R$150,ROW()-19),"")</f>
        <v/>
      </c>
      <c r="B47" s="43">
        <f>IFERROR(INDEX($S$20:$S$150,ROW()-19),"")</f>
        <v/>
      </c>
      <c r="C47" s="43">
        <f>IFERROR(INDEX($W$20:$W$150,ROW()-19),"")</f>
        <v/>
      </c>
      <c r="D47" s="43">
        <f>IFERROR(INDEX($AA$20:$AA$150,ROW()-19),"")</f>
        <v/>
      </c>
      <c r="E47" s="43">
        <f>IFERROR(INDEX($AE$20:$AE$150,ROW()-19),"")</f>
        <v/>
      </c>
      <c r="F47" s="43">
        <f>IF(A47="","",2)</f>
        <v/>
      </c>
    </row>
    <row r="48">
      <c r="A48" s="26">
        <f>IFERROR(INDEX($R$20:$R$150,ROW()-19),"")</f>
        <v/>
      </c>
      <c r="B48" s="43">
        <f>IFERROR(INDEX($S$20:$S$150,ROW()-19),"")</f>
        <v/>
      </c>
      <c r="C48" s="43">
        <f>IFERROR(INDEX($W$20:$W$150,ROW()-19),"")</f>
        <v/>
      </c>
      <c r="D48" s="43">
        <f>IFERROR(INDEX($AA$20:$AA$150,ROW()-19),"")</f>
        <v/>
      </c>
      <c r="E48" s="43">
        <f>IFERROR(INDEX($AE$20:$AE$150,ROW()-19),"")</f>
        <v/>
      </c>
      <c r="F48" s="43">
        <f>IF(A48="","",2)</f>
        <v/>
      </c>
    </row>
    <row r="49">
      <c r="A49" s="26">
        <f>IFERROR(INDEX($R$20:$R$150,ROW()-19),"")</f>
        <v/>
      </c>
      <c r="B49" s="43">
        <f>IFERROR(INDEX($S$20:$S$150,ROW()-19),"")</f>
        <v/>
      </c>
      <c r="C49" s="43">
        <f>IFERROR(INDEX($W$20:$W$150,ROW()-19),"")</f>
        <v/>
      </c>
      <c r="D49" s="43">
        <f>IFERROR(INDEX($AA$20:$AA$150,ROW()-19),"")</f>
        <v/>
      </c>
      <c r="E49" s="43">
        <f>IFERROR(INDEX($AE$20:$AE$150,ROW()-19),"")</f>
        <v/>
      </c>
      <c r="F49" s="43">
        <f>IF(A49="","",2)</f>
        <v/>
      </c>
    </row>
    <row r="50">
      <c r="A50" s="26">
        <f>IFERROR(INDEX($R$20:$R$150,ROW()-19),"")</f>
        <v/>
      </c>
      <c r="B50" s="43">
        <f>IFERROR(INDEX($S$20:$S$150,ROW()-19),"")</f>
        <v/>
      </c>
      <c r="C50" s="43">
        <f>IFERROR(INDEX($W$20:$W$150,ROW()-19),"")</f>
        <v/>
      </c>
      <c r="D50" s="43">
        <f>IFERROR(INDEX($AA$20:$AA$150,ROW()-19),"")</f>
        <v/>
      </c>
      <c r="E50" s="43">
        <f>IFERROR(INDEX($AE$20:$AE$150,ROW()-19),"")</f>
        <v/>
      </c>
      <c r="F50" s="43">
        <f>IF(A50="","",2)</f>
        <v/>
      </c>
    </row>
    <row r="51">
      <c r="A51" s="26">
        <f>IFERROR(INDEX($R$20:$R$150,ROW()-19),"")</f>
        <v/>
      </c>
      <c r="B51" s="43">
        <f>IFERROR(INDEX($S$20:$S$150,ROW()-19),"")</f>
        <v/>
      </c>
      <c r="C51" s="43">
        <f>IFERROR(INDEX($W$20:$W$150,ROW()-19),"")</f>
        <v/>
      </c>
      <c r="D51" s="43">
        <f>IFERROR(INDEX($AA$20:$AA$150,ROW()-19),"")</f>
        <v/>
      </c>
      <c r="E51" s="43">
        <f>IFERROR(INDEX($AE$20:$AE$150,ROW()-19),"")</f>
        <v/>
      </c>
      <c r="F51" s="43">
        <f>IF(A51="","",2)</f>
        <v/>
      </c>
    </row>
    <row r="52">
      <c r="A52" s="26">
        <f>IFERROR(INDEX($R$20:$R$150,ROW()-19),"")</f>
        <v/>
      </c>
      <c r="B52" s="43">
        <f>IFERROR(INDEX($S$20:$S$150,ROW()-19),"")</f>
        <v/>
      </c>
      <c r="C52" s="43">
        <f>IFERROR(INDEX($W$20:$W$150,ROW()-19),"")</f>
        <v/>
      </c>
      <c r="D52" s="43">
        <f>IFERROR(INDEX($AA$20:$AA$150,ROW()-19),"")</f>
        <v/>
      </c>
      <c r="E52" s="43">
        <f>IFERROR(INDEX($AE$20:$AE$150,ROW()-19),"")</f>
        <v/>
      </c>
      <c r="F52" s="43">
        <f>IF(A52="","",2)</f>
        <v/>
      </c>
    </row>
    <row r="53">
      <c r="A53" s="26">
        <f>IFERROR(INDEX($R$20:$R$150,ROW()-19),"")</f>
        <v/>
      </c>
      <c r="B53" s="43">
        <f>IFERROR(INDEX($S$20:$S$150,ROW()-19),"")</f>
        <v/>
      </c>
      <c r="C53" s="43">
        <f>IFERROR(INDEX($W$20:$W$150,ROW()-19),"")</f>
        <v/>
      </c>
      <c r="D53" s="43">
        <f>IFERROR(INDEX($AA$20:$AA$150,ROW()-19),"")</f>
        <v/>
      </c>
      <c r="E53" s="43">
        <f>IFERROR(INDEX($AE$20:$AE$150,ROW()-19),"")</f>
        <v/>
      </c>
      <c r="F53" s="43">
        <f>IF(A53="","",2)</f>
        <v/>
      </c>
    </row>
    <row r="54">
      <c r="A54" s="26">
        <f>IFERROR(INDEX($R$20:$R$150,ROW()-19),"")</f>
        <v/>
      </c>
      <c r="B54" s="43">
        <f>IFERROR(INDEX($S$20:$S$150,ROW()-19),"")</f>
        <v/>
      </c>
      <c r="C54" s="43">
        <f>IFERROR(INDEX($W$20:$W$150,ROW()-19),"")</f>
        <v/>
      </c>
      <c r="D54" s="43">
        <f>IFERROR(INDEX($AA$20:$AA$150,ROW()-19),"")</f>
        <v/>
      </c>
      <c r="E54" s="43">
        <f>IFERROR(INDEX($AE$20:$AE$150,ROW()-19),"")</f>
        <v/>
      </c>
      <c r="F54" s="43">
        <f>IF(A54="","",2)</f>
        <v/>
      </c>
    </row>
    <row r="55">
      <c r="A55" s="26">
        <f>IFERROR(INDEX($R$20:$R$150,ROW()-19),"")</f>
        <v/>
      </c>
      <c r="B55" s="43">
        <f>IFERROR(INDEX($S$20:$S$150,ROW()-19),"")</f>
        <v/>
      </c>
      <c r="C55" s="43">
        <f>IFERROR(INDEX($W$20:$W$150,ROW()-19),"")</f>
        <v/>
      </c>
      <c r="D55" s="43">
        <f>IFERROR(INDEX($AA$20:$AA$150,ROW()-19),"")</f>
        <v/>
      </c>
      <c r="E55" s="43">
        <f>IFERROR(INDEX($AE$20:$AE$150,ROW()-19),"")</f>
        <v/>
      </c>
      <c r="F55" s="43">
        <f>IF(A55="","",2)</f>
        <v/>
      </c>
    </row>
    <row r="56">
      <c r="A56" s="26">
        <f>IFERROR(INDEX($R$20:$R$150,ROW()-19),"")</f>
        <v/>
      </c>
      <c r="B56" s="43">
        <f>IFERROR(INDEX($S$20:$S$150,ROW()-19),"")</f>
        <v/>
      </c>
      <c r="C56" s="43">
        <f>IFERROR(INDEX($W$20:$W$150,ROW()-19),"")</f>
        <v/>
      </c>
      <c r="D56" s="43">
        <f>IFERROR(INDEX($AA$20:$AA$150,ROW()-19),"")</f>
        <v/>
      </c>
      <c r="E56" s="43">
        <f>IFERROR(INDEX($AE$20:$AE$150,ROW()-19),"")</f>
        <v/>
      </c>
      <c r="F56" s="43">
        <f>IF(A56="","",2)</f>
        <v/>
      </c>
    </row>
    <row r="57">
      <c r="A57" s="26">
        <f>IFERROR(INDEX($R$20:$R$150,ROW()-19),"")</f>
        <v/>
      </c>
      <c r="B57" s="43">
        <f>IFERROR(INDEX($S$20:$S$150,ROW()-19),"")</f>
        <v/>
      </c>
      <c r="C57" s="43">
        <f>IFERROR(INDEX($W$20:$W$150,ROW()-19),"")</f>
        <v/>
      </c>
      <c r="D57" s="43">
        <f>IFERROR(INDEX($AA$20:$AA$150,ROW()-19),"")</f>
        <v/>
      </c>
      <c r="E57" s="43">
        <f>IFERROR(INDEX($AE$20:$AE$150,ROW()-19),"")</f>
        <v/>
      </c>
      <c r="F57" s="43">
        <f>IF(A57="","",2)</f>
        <v/>
      </c>
    </row>
    <row r="58">
      <c r="A58" s="26">
        <f>IFERROR(INDEX($R$20:$R$150,ROW()-19),"")</f>
        <v/>
      </c>
      <c r="B58" s="43">
        <f>IFERROR(INDEX($S$20:$S$150,ROW()-19),"")</f>
        <v/>
      </c>
      <c r="C58" s="43">
        <f>IFERROR(INDEX($W$20:$W$150,ROW()-19),"")</f>
        <v/>
      </c>
      <c r="D58" s="43">
        <f>IFERROR(INDEX($AA$20:$AA$150,ROW()-19),"")</f>
        <v/>
      </c>
      <c r="E58" s="43">
        <f>IFERROR(INDEX($AE$20:$AE$150,ROW()-19),"")</f>
        <v/>
      </c>
      <c r="F58" s="43">
        <f>IF(A58="","",2)</f>
        <v/>
      </c>
    </row>
    <row r="59">
      <c r="A59" s="26">
        <f>IFERROR(INDEX($R$20:$R$150,ROW()-19),"")</f>
        <v/>
      </c>
      <c r="B59" s="43">
        <f>IFERROR(INDEX($S$20:$S$150,ROW()-19),"")</f>
        <v/>
      </c>
      <c r="C59" s="43">
        <f>IFERROR(INDEX($W$20:$W$150,ROW()-19),"")</f>
        <v/>
      </c>
      <c r="D59" s="43">
        <f>IFERROR(INDEX($AA$20:$AA$150,ROW()-19),"")</f>
        <v/>
      </c>
      <c r="E59" s="43">
        <f>IFERROR(INDEX($AE$20:$AE$150,ROW()-19),"")</f>
        <v/>
      </c>
      <c r="F59" s="43">
        <f>IF(A59="","",2)</f>
        <v/>
      </c>
    </row>
    <row r="60">
      <c r="A60" s="26">
        <f>IFERROR(INDEX($R$20:$R$150,ROW()-19),"")</f>
        <v/>
      </c>
      <c r="B60" s="43">
        <f>IFERROR(INDEX($S$20:$S$150,ROW()-19),"")</f>
        <v/>
      </c>
      <c r="C60" s="43">
        <f>IFERROR(INDEX($W$20:$W$150,ROW()-19),"")</f>
        <v/>
      </c>
      <c r="D60" s="43">
        <f>IFERROR(INDEX($AA$20:$AA$150,ROW()-19),"")</f>
        <v/>
      </c>
      <c r="E60" s="43">
        <f>IFERROR(INDEX($AE$20:$AE$150,ROW()-19),"")</f>
        <v/>
      </c>
      <c r="F60" s="43">
        <f>IF(A60="","",2)</f>
        <v/>
      </c>
    </row>
    <row r="61">
      <c r="A61" s="26">
        <f>IFERROR(INDEX($R$20:$R$150,ROW()-19),"")</f>
        <v/>
      </c>
      <c r="B61" s="43">
        <f>IFERROR(INDEX($S$20:$S$150,ROW()-19),"")</f>
        <v/>
      </c>
      <c r="C61" s="43">
        <f>IFERROR(INDEX($W$20:$W$150,ROW()-19),"")</f>
        <v/>
      </c>
      <c r="D61" s="43">
        <f>IFERROR(INDEX($AA$20:$AA$150,ROW()-19),"")</f>
        <v/>
      </c>
      <c r="E61" s="43">
        <f>IFERROR(INDEX($AE$20:$AE$150,ROW()-19),"")</f>
        <v/>
      </c>
      <c r="F61" s="43">
        <f>IF(A61="","",2)</f>
        <v/>
      </c>
    </row>
    <row r="62">
      <c r="A62" s="26">
        <f>IFERROR(INDEX($R$20:$R$150,ROW()-19),"")</f>
        <v/>
      </c>
      <c r="B62" s="43">
        <f>IFERROR(INDEX($S$20:$S$150,ROW()-19),"")</f>
        <v/>
      </c>
      <c r="C62" s="43">
        <f>IFERROR(INDEX($W$20:$W$150,ROW()-19),"")</f>
        <v/>
      </c>
      <c r="D62" s="43">
        <f>IFERROR(INDEX($AA$20:$AA$150,ROW()-19),"")</f>
        <v/>
      </c>
      <c r="E62" s="43">
        <f>IFERROR(INDEX($AE$20:$AE$150,ROW()-19),"")</f>
        <v/>
      </c>
      <c r="F62" s="43">
        <f>IF(A62="","",2)</f>
        <v/>
      </c>
    </row>
    <row r="63">
      <c r="A63" s="26">
        <f>IFERROR(INDEX($R$20:$R$150,ROW()-19),"")</f>
        <v/>
      </c>
      <c r="B63" s="43">
        <f>IFERROR(INDEX($S$20:$S$150,ROW()-19),"")</f>
        <v/>
      </c>
      <c r="C63" s="43">
        <f>IFERROR(INDEX($W$20:$W$150,ROW()-19),"")</f>
        <v/>
      </c>
      <c r="D63" s="43">
        <f>IFERROR(INDEX($AA$20:$AA$150,ROW()-19),"")</f>
        <v/>
      </c>
      <c r="E63" s="43">
        <f>IFERROR(INDEX($AE$20:$AE$150,ROW()-19),"")</f>
        <v/>
      </c>
      <c r="F63" s="43">
        <f>IF(A63="","",2)</f>
        <v/>
      </c>
    </row>
    <row r="64">
      <c r="A64" s="26">
        <f>IFERROR(INDEX($R$20:$R$150,ROW()-19),"")</f>
        <v/>
      </c>
      <c r="B64" s="43">
        <f>IFERROR(INDEX($S$20:$S$150,ROW()-19),"")</f>
        <v/>
      </c>
      <c r="C64" s="43">
        <f>IFERROR(INDEX($W$20:$W$150,ROW()-19),"")</f>
        <v/>
      </c>
      <c r="D64" s="43">
        <f>IFERROR(INDEX($AA$20:$AA$150,ROW()-19),"")</f>
        <v/>
      </c>
      <c r="E64" s="43">
        <f>IFERROR(INDEX($AE$20:$AE$150,ROW()-19),"")</f>
        <v/>
      </c>
      <c r="F64" s="43">
        <f>IF(A64="","",2)</f>
        <v/>
      </c>
    </row>
    <row r="65">
      <c r="A65" s="26">
        <f>IFERROR(INDEX($R$20:$R$150,ROW()-19),"")</f>
        <v/>
      </c>
      <c r="B65" s="43">
        <f>IFERROR(INDEX($S$20:$S$150,ROW()-19),"")</f>
        <v/>
      </c>
      <c r="C65" s="43">
        <f>IFERROR(INDEX($W$20:$W$150,ROW()-19),"")</f>
        <v/>
      </c>
      <c r="D65" s="43">
        <f>IFERROR(INDEX($AA$20:$AA$150,ROW()-19),"")</f>
        <v/>
      </c>
      <c r="E65" s="43">
        <f>IFERROR(INDEX($AE$20:$AE$150,ROW()-19),"")</f>
        <v/>
      </c>
      <c r="F65" s="43">
        <f>IF(A65="","",2)</f>
        <v/>
      </c>
    </row>
    <row r="66">
      <c r="A66" s="26">
        <f>IFERROR(INDEX($R$20:$R$150,ROW()-19),"")</f>
        <v/>
      </c>
      <c r="B66" s="43">
        <f>IFERROR(INDEX($S$20:$S$150,ROW()-19),"")</f>
        <v/>
      </c>
      <c r="C66" s="43">
        <f>IFERROR(INDEX($W$20:$W$150,ROW()-19),"")</f>
        <v/>
      </c>
      <c r="D66" s="43">
        <f>IFERROR(INDEX($AA$20:$AA$150,ROW()-19),"")</f>
        <v/>
      </c>
      <c r="E66" s="43">
        <f>IFERROR(INDEX($AE$20:$AE$150,ROW()-19),"")</f>
        <v/>
      </c>
      <c r="F66" s="43">
        <f>IF(A66="","",2)</f>
        <v/>
      </c>
    </row>
    <row r="67">
      <c r="A67" s="26">
        <f>IFERROR(INDEX($R$20:$R$150,ROW()-19),"")</f>
        <v/>
      </c>
      <c r="B67" s="43">
        <f>IFERROR(INDEX($S$20:$S$150,ROW()-19),"")</f>
        <v/>
      </c>
      <c r="C67" s="43">
        <f>IFERROR(INDEX($W$20:$W$150,ROW()-19),"")</f>
        <v/>
      </c>
      <c r="D67" s="43">
        <f>IFERROR(INDEX($AA$20:$AA$150,ROW()-19),"")</f>
        <v/>
      </c>
      <c r="E67" s="43">
        <f>IFERROR(INDEX($AE$20:$AE$150,ROW()-19),"")</f>
        <v/>
      </c>
      <c r="F67" s="43">
        <f>IF(A67="","",2)</f>
        <v/>
      </c>
    </row>
    <row r="68">
      <c r="A68" s="26">
        <f>IFERROR(INDEX($R$20:$R$150,ROW()-19),"")</f>
        <v/>
      </c>
      <c r="B68" s="43">
        <f>IFERROR(INDEX($S$20:$S$150,ROW()-19),"")</f>
        <v/>
      </c>
      <c r="C68" s="43">
        <f>IFERROR(INDEX($W$20:$W$150,ROW()-19),"")</f>
        <v/>
      </c>
      <c r="D68" s="43">
        <f>IFERROR(INDEX($AA$20:$AA$150,ROW()-19),"")</f>
        <v/>
      </c>
      <c r="E68" s="43">
        <f>IFERROR(INDEX($AE$20:$AE$150,ROW()-19),"")</f>
        <v/>
      </c>
      <c r="F68" s="43">
        <f>IF(A68="","",2)</f>
        <v/>
      </c>
    </row>
    <row r="69">
      <c r="A69" s="26">
        <f>IFERROR(INDEX($R$20:$R$150,ROW()-19),"")</f>
        <v/>
      </c>
      <c r="B69" s="43">
        <f>IFERROR(INDEX($S$20:$S$150,ROW()-19),"")</f>
        <v/>
      </c>
      <c r="C69" s="43">
        <f>IFERROR(INDEX($W$20:$W$150,ROW()-19),"")</f>
        <v/>
      </c>
      <c r="D69" s="43">
        <f>IFERROR(INDEX($AA$20:$AA$150,ROW()-19),"")</f>
        <v/>
      </c>
      <c r="E69" s="43">
        <f>IFERROR(INDEX($AE$20:$AE$150,ROW()-19),"")</f>
        <v/>
      </c>
      <c r="F69" s="43">
        <f>IF(A69="","",2)</f>
        <v/>
      </c>
    </row>
    <row r="70">
      <c r="A70" s="26">
        <f>IFERROR(INDEX($R$20:$R$150,ROW()-19),"")</f>
        <v/>
      </c>
      <c r="B70" s="43">
        <f>IFERROR(INDEX($S$20:$S$150,ROW()-19),"")</f>
        <v/>
      </c>
      <c r="C70" s="43">
        <f>IFERROR(INDEX($W$20:$W$150,ROW()-19),"")</f>
        <v/>
      </c>
      <c r="D70" s="43">
        <f>IFERROR(INDEX($AA$20:$AA$150,ROW()-19),"")</f>
        <v/>
      </c>
      <c r="E70" s="43">
        <f>IFERROR(INDEX($AE$20:$AE$150,ROW()-19),"")</f>
        <v/>
      </c>
      <c r="F70" s="43">
        <f>IF(A70="","",2)</f>
        <v/>
      </c>
    </row>
    <row r="71">
      <c r="A71" s="26">
        <f>IFERROR(INDEX($R$20:$R$150,ROW()-19),"")</f>
        <v/>
      </c>
      <c r="B71" s="43">
        <f>IFERROR(INDEX($S$20:$S$150,ROW()-19),"")</f>
        <v/>
      </c>
      <c r="C71" s="43">
        <f>IFERROR(INDEX($W$20:$W$150,ROW()-19),"")</f>
        <v/>
      </c>
      <c r="D71" s="43">
        <f>IFERROR(INDEX($AA$20:$AA$150,ROW()-19),"")</f>
        <v/>
      </c>
      <c r="E71" s="43">
        <f>IFERROR(INDEX($AE$20:$AE$150,ROW()-19),"")</f>
        <v/>
      </c>
      <c r="F71" s="43">
        <f>IF(A71="","",2)</f>
        <v/>
      </c>
    </row>
    <row r="72">
      <c r="A72" s="26">
        <f>IFERROR(INDEX($R$20:$R$150,ROW()-19),"")</f>
        <v/>
      </c>
      <c r="B72" s="43">
        <f>IFERROR(INDEX($S$20:$S$150,ROW()-19),"")</f>
        <v/>
      </c>
      <c r="C72" s="43">
        <f>IFERROR(INDEX($W$20:$W$150,ROW()-19),"")</f>
        <v/>
      </c>
      <c r="D72" s="43">
        <f>IFERROR(INDEX($AA$20:$AA$150,ROW()-19),"")</f>
        <v/>
      </c>
      <c r="E72" s="43">
        <f>IFERROR(INDEX($AE$20:$AE$150,ROW()-19),"")</f>
        <v/>
      </c>
      <c r="F72" s="43">
        <f>IF(A72="","",2)</f>
        <v/>
      </c>
    </row>
    <row r="73">
      <c r="A73" s="26">
        <f>IFERROR(INDEX($R$20:$R$150,ROW()-19),"")</f>
        <v/>
      </c>
      <c r="B73" s="43">
        <f>IFERROR(INDEX($S$20:$S$150,ROW()-19),"")</f>
        <v/>
      </c>
      <c r="C73" s="43">
        <f>IFERROR(INDEX($W$20:$W$150,ROW()-19),"")</f>
        <v/>
      </c>
      <c r="D73" s="43">
        <f>IFERROR(INDEX($AA$20:$AA$150,ROW()-19),"")</f>
        <v/>
      </c>
      <c r="E73" s="43">
        <f>IFERROR(INDEX($AE$20:$AE$150,ROW()-19),"")</f>
        <v/>
      </c>
      <c r="F73" s="43">
        <f>IF(A73="","",2)</f>
        <v/>
      </c>
    </row>
    <row r="74">
      <c r="A74" s="26">
        <f>IFERROR(INDEX($R$20:$R$150,ROW()-19),"")</f>
        <v/>
      </c>
      <c r="B74" s="43">
        <f>IFERROR(INDEX($S$20:$S$150,ROW()-19),"")</f>
        <v/>
      </c>
      <c r="C74" s="43">
        <f>IFERROR(INDEX($W$20:$W$150,ROW()-19),"")</f>
        <v/>
      </c>
      <c r="D74" s="43">
        <f>IFERROR(INDEX($AA$20:$AA$150,ROW()-19),"")</f>
        <v/>
      </c>
      <c r="E74" s="43">
        <f>IFERROR(INDEX($AE$20:$AE$150,ROW()-19),"")</f>
        <v/>
      </c>
      <c r="F74" s="43">
        <f>IF(A74="","",2)</f>
        <v/>
      </c>
    </row>
    <row r="75">
      <c r="A75" s="26">
        <f>IFERROR(INDEX($R$20:$R$150,ROW()-19),"")</f>
        <v/>
      </c>
      <c r="B75" s="43">
        <f>IFERROR(INDEX($S$20:$S$150,ROW()-19),"")</f>
        <v/>
      </c>
      <c r="C75" s="43">
        <f>IFERROR(INDEX($W$20:$W$150,ROW()-19),"")</f>
        <v/>
      </c>
      <c r="D75" s="43">
        <f>IFERROR(INDEX($AA$20:$AA$150,ROW()-19),"")</f>
        <v/>
      </c>
      <c r="E75" s="43">
        <f>IFERROR(INDEX($AE$20:$AE$150,ROW()-19),"")</f>
        <v/>
      </c>
      <c r="F75" s="43">
        <f>IF(A75="","",2)</f>
        <v/>
      </c>
    </row>
    <row r="76">
      <c r="A76" s="26">
        <f>IFERROR(INDEX($R$20:$R$150,ROW()-19),"")</f>
        <v/>
      </c>
      <c r="B76" s="43">
        <f>IFERROR(INDEX($S$20:$S$150,ROW()-19),"")</f>
        <v/>
      </c>
      <c r="C76" s="43">
        <f>IFERROR(INDEX($W$20:$W$150,ROW()-19),"")</f>
        <v/>
      </c>
      <c r="D76" s="43">
        <f>IFERROR(INDEX($AA$20:$AA$150,ROW()-19),"")</f>
        <v/>
      </c>
      <c r="E76" s="43">
        <f>IFERROR(INDEX($AE$20:$AE$150,ROW()-19),"")</f>
        <v/>
      </c>
      <c r="F76" s="43">
        <f>IF(A76="","",2)</f>
        <v/>
      </c>
    </row>
    <row r="77">
      <c r="A77" s="26">
        <f>IFERROR(INDEX($R$20:$R$150,ROW()-19),"")</f>
        <v/>
      </c>
      <c r="B77" s="43">
        <f>IFERROR(INDEX($S$20:$S$150,ROW()-19),"")</f>
        <v/>
      </c>
      <c r="C77" s="43">
        <f>IFERROR(INDEX($W$20:$W$150,ROW()-19),"")</f>
        <v/>
      </c>
      <c r="D77" s="43">
        <f>IFERROR(INDEX($AA$20:$AA$150,ROW()-19),"")</f>
        <v/>
      </c>
      <c r="E77" s="43">
        <f>IFERROR(INDEX($AE$20:$AE$150,ROW()-19),"")</f>
        <v/>
      </c>
      <c r="F77" s="43">
        <f>IF(A77="","",2)</f>
        <v/>
      </c>
    </row>
    <row r="78">
      <c r="A78" s="26">
        <f>IFERROR(INDEX($R$20:$R$150,ROW()-19),"")</f>
        <v/>
      </c>
      <c r="B78" s="43">
        <f>IFERROR(INDEX($S$20:$S$150,ROW()-19),"")</f>
        <v/>
      </c>
      <c r="C78" s="43">
        <f>IFERROR(INDEX($W$20:$W$150,ROW()-19),"")</f>
        <v/>
      </c>
      <c r="D78" s="43">
        <f>IFERROR(INDEX($AA$20:$AA$150,ROW()-19),"")</f>
        <v/>
      </c>
      <c r="E78" s="43">
        <f>IFERROR(INDEX($AE$20:$AE$150,ROW()-19),"")</f>
        <v/>
      </c>
      <c r="F78" s="43">
        <f>IF(A78="","",2)</f>
        <v/>
      </c>
    </row>
    <row r="79">
      <c r="A79" s="26">
        <f>IFERROR(INDEX($R$20:$R$150,ROW()-19),"")</f>
        <v/>
      </c>
      <c r="B79" s="43">
        <f>IFERROR(INDEX($S$20:$S$150,ROW()-19),"")</f>
        <v/>
      </c>
      <c r="C79" s="43">
        <f>IFERROR(INDEX($W$20:$W$150,ROW()-19),"")</f>
        <v/>
      </c>
      <c r="D79" s="43">
        <f>IFERROR(INDEX($AA$20:$AA$150,ROW()-19),"")</f>
        <v/>
      </c>
      <c r="E79" s="43">
        <f>IFERROR(INDEX($AE$20:$AE$150,ROW()-19),"")</f>
        <v/>
      </c>
      <c r="F79" s="43">
        <f>IF(A79="","",2)</f>
        <v/>
      </c>
    </row>
    <row r="80">
      <c r="A80" s="26">
        <f>IFERROR(INDEX($R$20:$R$150,ROW()-19),"")</f>
        <v/>
      </c>
      <c r="B80" s="43">
        <f>IFERROR(INDEX($S$20:$S$150,ROW()-19),"")</f>
        <v/>
      </c>
      <c r="C80" s="43">
        <f>IFERROR(INDEX($W$20:$W$150,ROW()-19),"")</f>
        <v/>
      </c>
      <c r="D80" s="43">
        <f>IFERROR(INDEX($AA$20:$AA$150,ROW()-19),"")</f>
        <v/>
      </c>
      <c r="E80" s="43">
        <f>IFERROR(INDEX($AE$20:$AE$150,ROW()-19),"")</f>
        <v/>
      </c>
      <c r="F80" s="43">
        <f>IF(A80="","",2)</f>
        <v/>
      </c>
    </row>
    <row r="81">
      <c r="A81" s="26">
        <f>IFERROR(INDEX($R$20:$R$150,ROW()-19),"")</f>
        <v/>
      </c>
      <c r="B81" s="43">
        <f>IFERROR(INDEX($S$20:$S$150,ROW()-19),"")</f>
        <v/>
      </c>
      <c r="C81" s="43">
        <f>IFERROR(INDEX($W$20:$W$150,ROW()-19),"")</f>
        <v/>
      </c>
      <c r="D81" s="43">
        <f>IFERROR(INDEX($AA$20:$AA$150,ROW()-19),"")</f>
        <v/>
      </c>
      <c r="E81" s="43">
        <f>IFERROR(INDEX($AE$20:$AE$150,ROW()-19),"")</f>
        <v/>
      </c>
      <c r="F81" s="43">
        <f>IF(A81="","",2)</f>
        <v/>
      </c>
    </row>
    <row r="82">
      <c r="A82" s="26">
        <f>IFERROR(INDEX($R$20:$R$150,ROW()-19),"")</f>
        <v/>
      </c>
      <c r="B82" s="43">
        <f>IFERROR(INDEX($S$20:$S$150,ROW()-19),"")</f>
        <v/>
      </c>
      <c r="C82" s="43">
        <f>IFERROR(INDEX($W$20:$W$150,ROW()-19),"")</f>
        <v/>
      </c>
      <c r="D82" s="43">
        <f>IFERROR(INDEX($AA$20:$AA$150,ROW()-19),"")</f>
        <v/>
      </c>
      <c r="E82" s="43">
        <f>IFERROR(INDEX($AE$20:$AE$150,ROW()-19),"")</f>
        <v/>
      </c>
      <c r="F82" s="43">
        <f>IF(A82="","",2)</f>
        <v/>
      </c>
    </row>
    <row r="83">
      <c r="A83" s="26">
        <f>IFERROR(INDEX($R$20:$R$150,ROW()-19),"")</f>
        <v/>
      </c>
      <c r="B83" s="43">
        <f>IFERROR(INDEX($S$20:$S$150,ROW()-19),"")</f>
        <v/>
      </c>
      <c r="C83" s="43">
        <f>IFERROR(INDEX($W$20:$W$150,ROW()-19),"")</f>
        <v/>
      </c>
      <c r="D83" s="43">
        <f>IFERROR(INDEX($AA$20:$AA$150,ROW()-19),"")</f>
        <v/>
      </c>
      <c r="E83" s="43">
        <f>IFERROR(INDEX($AE$20:$AE$150,ROW()-19),"")</f>
        <v/>
      </c>
      <c r="F83" s="43">
        <f>IF(A83="","",2)</f>
        <v/>
      </c>
    </row>
    <row r="84">
      <c r="A84" s="26">
        <f>IFERROR(INDEX($R$20:$R$150,ROW()-19),"")</f>
        <v/>
      </c>
      <c r="B84" s="43">
        <f>IFERROR(INDEX($S$20:$S$150,ROW()-19),"")</f>
        <v/>
      </c>
      <c r="C84" s="43">
        <f>IFERROR(INDEX($W$20:$W$150,ROW()-19),"")</f>
        <v/>
      </c>
      <c r="D84" s="43">
        <f>IFERROR(INDEX($AA$20:$AA$150,ROW()-19),"")</f>
        <v/>
      </c>
      <c r="E84" s="43">
        <f>IFERROR(INDEX($AE$20:$AE$150,ROW()-19),"")</f>
        <v/>
      </c>
      <c r="F84" s="43">
        <f>IF(A84="","",2)</f>
        <v/>
      </c>
    </row>
    <row r="85">
      <c r="A85" s="26">
        <f>IFERROR(INDEX($R$20:$R$150,ROW()-19),"")</f>
        <v/>
      </c>
      <c r="B85" s="43">
        <f>IFERROR(INDEX($S$20:$S$150,ROW()-19),"")</f>
        <v/>
      </c>
      <c r="C85" s="43">
        <f>IFERROR(INDEX($W$20:$W$150,ROW()-19),"")</f>
        <v/>
      </c>
      <c r="D85" s="43">
        <f>IFERROR(INDEX($AA$20:$AA$150,ROW()-19),"")</f>
        <v/>
      </c>
      <c r="E85" s="43">
        <f>IFERROR(INDEX($AE$20:$AE$150,ROW()-19),"")</f>
        <v/>
      </c>
      <c r="F85" s="43">
        <f>IF(A85="","",2)</f>
        <v/>
      </c>
    </row>
    <row r="86">
      <c r="A86" s="26">
        <f>IFERROR(INDEX($R$20:$R$150,ROW()-19),"")</f>
        <v/>
      </c>
      <c r="B86" s="43">
        <f>IFERROR(INDEX($S$20:$S$150,ROW()-19),"")</f>
        <v/>
      </c>
      <c r="C86" s="43">
        <f>IFERROR(INDEX($W$20:$W$150,ROW()-19),"")</f>
        <v/>
      </c>
      <c r="D86" s="43">
        <f>IFERROR(INDEX($AA$20:$AA$150,ROW()-19),"")</f>
        <v/>
      </c>
      <c r="E86" s="43">
        <f>IFERROR(INDEX($AE$20:$AE$150,ROW()-19),"")</f>
        <v/>
      </c>
      <c r="F86" s="43">
        <f>IF(A86="","",2)</f>
        <v/>
      </c>
    </row>
    <row r="87">
      <c r="A87" s="26">
        <f>IFERROR(INDEX($R$20:$R$150,ROW()-19),"")</f>
        <v/>
      </c>
      <c r="B87" s="43">
        <f>IFERROR(INDEX($S$20:$S$150,ROW()-19),"")</f>
        <v/>
      </c>
      <c r="C87" s="43">
        <f>IFERROR(INDEX($W$20:$W$150,ROW()-19),"")</f>
        <v/>
      </c>
      <c r="D87" s="43">
        <f>IFERROR(INDEX($AA$20:$AA$150,ROW()-19),"")</f>
        <v/>
      </c>
      <c r="E87" s="43">
        <f>IFERROR(INDEX($AE$20:$AE$150,ROW()-19),"")</f>
        <v/>
      </c>
      <c r="F87" s="43">
        <f>IF(A87="","",2)</f>
        <v/>
      </c>
    </row>
    <row r="88">
      <c r="A88" s="26">
        <f>IFERROR(INDEX($R$20:$R$150,ROW()-19),"")</f>
        <v/>
      </c>
      <c r="B88" s="43">
        <f>IFERROR(INDEX($S$20:$S$150,ROW()-19),"")</f>
        <v/>
      </c>
      <c r="C88" s="43">
        <f>IFERROR(INDEX($W$20:$W$150,ROW()-19),"")</f>
        <v/>
      </c>
      <c r="D88" s="43">
        <f>IFERROR(INDEX($AA$20:$AA$150,ROW()-19),"")</f>
        <v/>
      </c>
      <c r="E88" s="43">
        <f>IFERROR(INDEX($AE$20:$AE$150,ROW()-19),"")</f>
        <v/>
      </c>
      <c r="F88" s="43">
        <f>IF(A88="","",2)</f>
        <v/>
      </c>
    </row>
    <row r="89">
      <c r="A89" s="26">
        <f>IFERROR(INDEX($R$20:$R$150,ROW()-19),"")</f>
        <v/>
      </c>
      <c r="B89" s="43">
        <f>IFERROR(INDEX($S$20:$S$150,ROW()-19),"")</f>
        <v/>
      </c>
      <c r="C89" s="43">
        <f>IFERROR(INDEX($W$20:$W$150,ROW()-19),"")</f>
        <v/>
      </c>
      <c r="D89" s="43">
        <f>IFERROR(INDEX($AA$20:$AA$150,ROW()-19),"")</f>
        <v/>
      </c>
      <c r="E89" s="43">
        <f>IFERROR(INDEX($AE$20:$AE$150,ROW()-19),"")</f>
        <v/>
      </c>
      <c r="F89" s="43">
        <f>IF(A89="","",2)</f>
        <v/>
      </c>
    </row>
    <row r="90">
      <c r="A90" s="26">
        <f>IFERROR(INDEX($R$20:$R$150,ROW()-19),"")</f>
        <v/>
      </c>
      <c r="B90" s="43">
        <f>IFERROR(INDEX($S$20:$S$150,ROW()-19),"")</f>
        <v/>
      </c>
      <c r="C90" s="43">
        <f>IFERROR(INDEX($W$20:$W$150,ROW()-19),"")</f>
        <v/>
      </c>
      <c r="D90" s="43">
        <f>IFERROR(INDEX($AA$20:$AA$150,ROW()-19),"")</f>
        <v/>
      </c>
      <c r="E90" s="43">
        <f>IFERROR(INDEX($AE$20:$AE$150,ROW()-19),"")</f>
        <v/>
      </c>
      <c r="F90" s="43">
        <f>IF(A90="","",2)</f>
        <v/>
      </c>
    </row>
    <row r="91">
      <c r="A91" s="26">
        <f>IFERROR(INDEX($R$20:$R$150,ROW()-19),"")</f>
        <v/>
      </c>
      <c r="B91" s="43">
        <f>IFERROR(INDEX($S$20:$S$150,ROW()-19),"")</f>
        <v/>
      </c>
      <c r="C91" s="43">
        <f>IFERROR(INDEX($W$20:$W$150,ROW()-19),"")</f>
        <v/>
      </c>
      <c r="D91" s="43">
        <f>IFERROR(INDEX($AA$20:$AA$150,ROW()-19),"")</f>
        <v/>
      </c>
      <c r="E91" s="43">
        <f>IFERROR(INDEX($AE$20:$AE$150,ROW()-19),"")</f>
        <v/>
      </c>
      <c r="F91" s="43">
        <f>IF(A91="","",2)</f>
        <v/>
      </c>
    </row>
    <row r="92">
      <c r="A92" s="26">
        <f>IFERROR(INDEX($R$20:$R$150,ROW()-19),"")</f>
        <v/>
      </c>
      <c r="B92" s="43">
        <f>IFERROR(INDEX($S$20:$S$150,ROW()-19),"")</f>
        <v/>
      </c>
      <c r="C92" s="43">
        <f>IFERROR(INDEX($W$20:$W$150,ROW()-19),"")</f>
        <v/>
      </c>
      <c r="D92" s="43">
        <f>IFERROR(INDEX($AA$20:$AA$150,ROW()-19),"")</f>
        <v/>
      </c>
      <c r="E92" s="43">
        <f>IFERROR(INDEX($AE$20:$AE$150,ROW()-19),"")</f>
        <v/>
      </c>
      <c r="F92" s="43">
        <f>IF(A92="","",2)</f>
        <v/>
      </c>
    </row>
    <row r="93">
      <c r="A93" s="26">
        <f>IFERROR(INDEX($R$20:$R$150,ROW()-19),"")</f>
        <v/>
      </c>
      <c r="B93" s="43">
        <f>IFERROR(INDEX($S$20:$S$150,ROW()-19),"")</f>
        <v/>
      </c>
      <c r="C93" s="43">
        <f>IFERROR(INDEX($W$20:$W$150,ROW()-19),"")</f>
        <v/>
      </c>
      <c r="D93" s="43">
        <f>IFERROR(INDEX($AA$20:$AA$150,ROW()-19),"")</f>
        <v/>
      </c>
      <c r="E93" s="43">
        <f>IFERROR(INDEX($AE$20:$AE$150,ROW()-19),"")</f>
        <v/>
      </c>
      <c r="F93" s="43">
        <f>IF(A93="","",2)</f>
        <v/>
      </c>
    </row>
    <row r="94">
      <c r="A94" s="26">
        <f>IFERROR(INDEX($R$20:$R$150,ROW()-19),"")</f>
        <v/>
      </c>
      <c r="B94" s="43">
        <f>IFERROR(INDEX($S$20:$S$150,ROW()-19),"")</f>
        <v/>
      </c>
      <c r="C94" s="43">
        <f>IFERROR(INDEX($W$20:$W$150,ROW()-19),"")</f>
        <v/>
      </c>
      <c r="D94" s="43">
        <f>IFERROR(INDEX($AA$20:$AA$150,ROW()-19),"")</f>
        <v/>
      </c>
      <c r="E94" s="43">
        <f>IFERROR(INDEX($AE$20:$AE$150,ROW()-19),"")</f>
        <v/>
      </c>
      <c r="F94" s="43">
        <f>IF(A94="","",2)</f>
        <v/>
      </c>
    </row>
    <row r="95">
      <c r="A95" s="26">
        <f>IFERROR(INDEX($R$20:$R$150,ROW()-19),"")</f>
        <v/>
      </c>
      <c r="B95" s="43">
        <f>IFERROR(INDEX($S$20:$S$150,ROW()-19),"")</f>
        <v/>
      </c>
      <c r="C95" s="43">
        <f>IFERROR(INDEX($W$20:$W$150,ROW()-19),"")</f>
        <v/>
      </c>
      <c r="D95" s="43">
        <f>IFERROR(INDEX($AA$20:$AA$150,ROW()-19),"")</f>
        <v/>
      </c>
      <c r="E95" s="43">
        <f>IFERROR(INDEX($AE$20:$AE$150,ROW()-19),"")</f>
        <v/>
      </c>
      <c r="F95" s="43">
        <f>IF(A95="","",2)</f>
        <v/>
      </c>
    </row>
    <row r="96">
      <c r="A96" s="26">
        <f>IFERROR(INDEX($R$20:$R$150,ROW()-19),"")</f>
        <v/>
      </c>
      <c r="B96" s="43">
        <f>IFERROR(INDEX($S$20:$S$150,ROW()-19),"")</f>
        <v/>
      </c>
      <c r="C96" s="43">
        <f>IFERROR(INDEX($W$20:$W$150,ROW()-19),"")</f>
        <v/>
      </c>
      <c r="D96" s="43">
        <f>IFERROR(INDEX($AA$20:$AA$150,ROW()-19),"")</f>
        <v/>
      </c>
      <c r="E96" s="43">
        <f>IFERROR(INDEX($AE$20:$AE$150,ROW()-19),"")</f>
        <v/>
      </c>
      <c r="F96" s="43">
        <f>IF(A96="","",2)</f>
        <v/>
      </c>
    </row>
    <row r="97">
      <c r="A97" s="26">
        <f>IFERROR(INDEX($R$20:$R$150,ROW()-19),"")</f>
        <v/>
      </c>
      <c r="B97" s="43">
        <f>IFERROR(INDEX($S$20:$S$150,ROW()-19),"")</f>
        <v/>
      </c>
      <c r="C97" s="43">
        <f>IFERROR(INDEX($W$20:$W$150,ROW()-19),"")</f>
        <v/>
      </c>
      <c r="D97" s="43">
        <f>IFERROR(INDEX($AA$20:$AA$150,ROW()-19),"")</f>
        <v/>
      </c>
      <c r="E97" s="43">
        <f>IFERROR(INDEX($AE$20:$AE$150,ROW()-19),"")</f>
        <v/>
      </c>
      <c r="F97" s="43">
        <f>IF(A97="","",2)</f>
        <v/>
      </c>
    </row>
    <row r="98">
      <c r="A98" s="26">
        <f>IFERROR(INDEX($R$20:$R$150,ROW()-19),"")</f>
        <v/>
      </c>
      <c r="B98" s="43">
        <f>IFERROR(INDEX($S$20:$S$150,ROW()-19),"")</f>
        <v/>
      </c>
      <c r="C98" s="43">
        <f>IFERROR(INDEX($W$20:$W$150,ROW()-19),"")</f>
        <v/>
      </c>
      <c r="D98" s="43">
        <f>IFERROR(INDEX($AA$20:$AA$150,ROW()-19),"")</f>
        <v/>
      </c>
      <c r="E98" s="43">
        <f>IFERROR(INDEX($AE$20:$AE$150,ROW()-19),"")</f>
        <v/>
      </c>
      <c r="F98" s="43">
        <f>IF(A98="","",2)</f>
        <v/>
      </c>
    </row>
    <row r="99">
      <c r="A99" s="26">
        <f>IFERROR(INDEX($R$20:$R$150,ROW()-19),"")</f>
        <v/>
      </c>
      <c r="B99" s="43">
        <f>IFERROR(INDEX($S$20:$S$150,ROW()-19),"")</f>
        <v/>
      </c>
      <c r="C99" s="43">
        <f>IFERROR(INDEX($W$20:$W$150,ROW()-19),"")</f>
        <v/>
      </c>
      <c r="D99" s="43">
        <f>IFERROR(INDEX($AA$20:$AA$150,ROW()-19),"")</f>
        <v/>
      </c>
      <c r="E99" s="43">
        <f>IFERROR(INDEX($AE$20:$AE$150,ROW()-19),"")</f>
        <v/>
      </c>
      <c r="F99" s="43">
        <f>IF(A99="","",2)</f>
        <v/>
      </c>
    </row>
    <row r="100">
      <c r="A100" s="26">
        <f>IFERROR(INDEX($R$20:$R$150,ROW()-19),"")</f>
        <v/>
      </c>
      <c r="B100" s="43">
        <f>IFERROR(INDEX($S$20:$S$150,ROW()-19),"")</f>
        <v/>
      </c>
      <c r="C100" s="43">
        <f>IFERROR(INDEX($W$20:$W$150,ROW()-19),"")</f>
        <v/>
      </c>
      <c r="D100" s="43">
        <f>IFERROR(INDEX($AA$20:$AA$150,ROW()-19),"")</f>
        <v/>
      </c>
      <c r="E100" s="43">
        <f>IFERROR(INDEX($AE$20:$AE$150,ROW()-19),"")</f>
        <v/>
      </c>
      <c r="F100" s="43">
        <f>IF(A100="","",2)</f>
        <v/>
      </c>
    </row>
    <row r="101">
      <c r="A101" s="26">
        <f>IFERROR(INDEX($R$20:$R$150,ROW()-19),"")</f>
        <v/>
      </c>
      <c r="B101" s="43">
        <f>IFERROR(INDEX($S$20:$S$150,ROW()-19),"")</f>
        <v/>
      </c>
      <c r="C101" s="43">
        <f>IFERROR(INDEX($W$20:$W$150,ROW()-19),"")</f>
        <v/>
      </c>
      <c r="D101" s="43">
        <f>IFERROR(INDEX($AA$20:$AA$150,ROW()-19),"")</f>
        <v/>
      </c>
      <c r="E101" s="43">
        <f>IFERROR(INDEX($AE$20:$AE$150,ROW()-19),"")</f>
        <v/>
      </c>
      <c r="F101" s="43">
        <f>IF(A101="","",2)</f>
        <v/>
      </c>
    </row>
    <row r="102">
      <c r="A102" s="26">
        <f>IFERROR(INDEX($R$20:$R$150,ROW()-19),"")</f>
        <v/>
      </c>
      <c r="B102" s="43">
        <f>IFERROR(INDEX($S$20:$S$150,ROW()-19),"")</f>
        <v/>
      </c>
      <c r="C102" s="43">
        <f>IFERROR(INDEX($W$20:$W$150,ROW()-19),"")</f>
        <v/>
      </c>
      <c r="D102" s="43">
        <f>IFERROR(INDEX($AA$20:$AA$150,ROW()-19),"")</f>
        <v/>
      </c>
      <c r="E102" s="43">
        <f>IFERROR(INDEX($AE$20:$AE$150,ROW()-19),"")</f>
        <v/>
      </c>
      <c r="F102" s="43">
        <f>IF(A102="","",2)</f>
        <v/>
      </c>
    </row>
    <row r="103">
      <c r="A103" s="26">
        <f>IFERROR(INDEX($R$20:$R$150,ROW()-19),"")</f>
        <v/>
      </c>
      <c r="B103" s="43">
        <f>IFERROR(INDEX($S$20:$S$150,ROW()-19),"")</f>
        <v/>
      </c>
      <c r="C103" s="43">
        <f>IFERROR(INDEX($W$20:$W$150,ROW()-19),"")</f>
        <v/>
      </c>
      <c r="D103" s="43">
        <f>IFERROR(INDEX($AA$20:$AA$150,ROW()-19),"")</f>
        <v/>
      </c>
      <c r="E103" s="43">
        <f>IFERROR(INDEX($AE$20:$AE$150,ROW()-19),"")</f>
        <v/>
      </c>
      <c r="F103" s="43">
        <f>IF(A103="","",2)</f>
        <v/>
      </c>
    </row>
    <row r="104">
      <c r="A104" s="26">
        <f>IFERROR(INDEX($R$20:$R$150,ROW()-19),"")</f>
        <v/>
      </c>
      <c r="B104" s="43">
        <f>IFERROR(INDEX($S$20:$S$150,ROW()-19),"")</f>
        <v/>
      </c>
      <c r="C104" s="43">
        <f>IFERROR(INDEX($W$20:$W$150,ROW()-19),"")</f>
        <v/>
      </c>
      <c r="D104" s="43">
        <f>IFERROR(INDEX($AA$20:$AA$150,ROW()-19),"")</f>
        <v/>
      </c>
      <c r="E104" s="43">
        <f>IFERROR(INDEX($AE$20:$AE$150,ROW()-19),"")</f>
        <v/>
      </c>
      <c r="F104" s="43">
        <f>IF(A104="","",2)</f>
        <v/>
      </c>
    </row>
    <row r="105">
      <c r="A105" s="26">
        <f>IFERROR(INDEX($R$20:$R$150,ROW()-19),"")</f>
        <v/>
      </c>
      <c r="B105" s="43">
        <f>IFERROR(INDEX($S$20:$S$150,ROW()-19),"")</f>
        <v/>
      </c>
      <c r="C105" s="43">
        <f>IFERROR(INDEX($W$20:$W$150,ROW()-19),"")</f>
        <v/>
      </c>
      <c r="D105" s="43">
        <f>IFERROR(INDEX($AA$20:$AA$150,ROW()-19),"")</f>
        <v/>
      </c>
      <c r="E105" s="43">
        <f>IFERROR(INDEX($AE$20:$AE$150,ROW()-19),"")</f>
        <v/>
      </c>
      <c r="F105" s="43">
        <f>IF(A105="","",2)</f>
        <v/>
      </c>
    </row>
    <row r="106">
      <c r="A106" s="26">
        <f>IFERROR(INDEX($R$20:$R$150,ROW()-19),"")</f>
        <v/>
      </c>
      <c r="B106" s="43">
        <f>IFERROR(INDEX($S$20:$S$150,ROW()-19),"")</f>
        <v/>
      </c>
      <c r="C106" s="43">
        <f>IFERROR(INDEX($W$20:$W$150,ROW()-19),"")</f>
        <v/>
      </c>
      <c r="D106" s="43">
        <f>IFERROR(INDEX($AA$20:$AA$150,ROW()-19),"")</f>
        <v/>
      </c>
      <c r="E106" s="43">
        <f>IFERROR(INDEX($AE$20:$AE$150,ROW()-19),"")</f>
        <v/>
      </c>
      <c r="F106" s="43">
        <f>IF(A106="","",2)</f>
        <v/>
      </c>
    </row>
    <row r="107">
      <c r="A107" s="26">
        <f>IFERROR(INDEX($R$20:$R$150,ROW()-19),"")</f>
        <v/>
      </c>
      <c r="B107" s="43">
        <f>IFERROR(INDEX($S$20:$S$150,ROW()-19),"")</f>
        <v/>
      </c>
      <c r="C107" s="43">
        <f>IFERROR(INDEX($W$20:$W$150,ROW()-19),"")</f>
        <v/>
      </c>
      <c r="D107" s="43">
        <f>IFERROR(INDEX($AA$20:$AA$150,ROW()-19),"")</f>
        <v/>
      </c>
      <c r="E107" s="43">
        <f>IFERROR(INDEX($AE$20:$AE$150,ROW()-19),"")</f>
        <v/>
      </c>
      <c r="F107" s="43">
        <f>IF(A107="","",2)</f>
        <v/>
      </c>
    </row>
    <row r="108">
      <c r="A108" s="26">
        <f>IFERROR(INDEX($R$20:$R$150,ROW()-19),"")</f>
        <v/>
      </c>
      <c r="B108" s="43">
        <f>IFERROR(INDEX($S$20:$S$150,ROW()-19),"")</f>
        <v/>
      </c>
      <c r="C108" s="43">
        <f>IFERROR(INDEX($W$20:$W$150,ROW()-19),"")</f>
        <v/>
      </c>
      <c r="D108" s="43">
        <f>IFERROR(INDEX($AA$20:$AA$150,ROW()-19),"")</f>
        <v/>
      </c>
      <c r="E108" s="43">
        <f>IFERROR(INDEX($AE$20:$AE$150,ROW()-19),"")</f>
        <v/>
      </c>
      <c r="F108" s="43">
        <f>IF(A108="","",2)</f>
        <v/>
      </c>
    </row>
    <row r="109">
      <c r="A109" s="26">
        <f>IFERROR(INDEX($R$20:$R$150,ROW()-19),"")</f>
        <v/>
      </c>
      <c r="B109" s="43">
        <f>IFERROR(INDEX($S$20:$S$150,ROW()-19),"")</f>
        <v/>
      </c>
      <c r="C109" s="43">
        <f>IFERROR(INDEX($W$20:$W$150,ROW()-19),"")</f>
        <v/>
      </c>
      <c r="D109" s="43">
        <f>IFERROR(INDEX($AA$20:$AA$150,ROW()-19),"")</f>
        <v/>
      </c>
      <c r="E109" s="43">
        <f>IFERROR(INDEX($AE$20:$AE$150,ROW()-19),"")</f>
        <v/>
      </c>
      <c r="F109" s="43">
        <f>IF(A109="","",2)</f>
        <v/>
      </c>
    </row>
    <row r="110">
      <c r="A110" s="26">
        <f>IFERROR(INDEX($R$20:$R$150,ROW()-19),"")</f>
        <v/>
      </c>
      <c r="B110" s="43">
        <f>IFERROR(INDEX($S$20:$S$150,ROW()-19),"")</f>
        <v/>
      </c>
      <c r="C110" s="43">
        <f>IFERROR(INDEX($W$20:$W$150,ROW()-19),"")</f>
        <v/>
      </c>
      <c r="D110" s="43">
        <f>IFERROR(INDEX($AA$20:$AA$150,ROW()-19),"")</f>
        <v/>
      </c>
      <c r="E110" s="43">
        <f>IFERROR(INDEX($AE$20:$AE$150,ROW()-19),"")</f>
        <v/>
      </c>
      <c r="F110" s="43">
        <f>IF(A110="","",2)</f>
        <v/>
      </c>
    </row>
    <row r="111">
      <c r="A111" s="26">
        <f>IFERROR(INDEX($R$20:$R$150,ROW()-19),"")</f>
        <v/>
      </c>
      <c r="B111" s="43">
        <f>IFERROR(INDEX($S$20:$S$150,ROW()-19),"")</f>
        <v/>
      </c>
      <c r="C111" s="43">
        <f>IFERROR(INDEX($W$20:$W$150,ROW()-19),"")</f>
        <v/>
      </c>
      <c r="D111" s="43">
        <f>IFERROR(INDEX($AA$20:$AA$150,ROW()-19),"")</f>
        <v/>
      </c>
      <c r="E111" s="43">
        <f>IFERROR(INDEX($AE$20:$AE$150,ROW()-19),"")</f>
        <v/>
      </c>
      <c r="F111" s="43">
        <f>IF(A111="","",2)</f>
        <v/>
      </c>
    </row>
    <row r="112">
      <c r="A112" s="26">
        <f>IFERROR(INDEX($R$20:$R$150,ROW()-19),"")</f>
        <v/>
      </c>
      <c r="B112" s="43">
        <f>IFERROR(INDEX($S$20:$S$150,ROW()-19),"")</f>
        <v/>
      </c>
      <c r="C112" s="43">
        <f>IFERROR(INDEX($W$20:$W$150,ROW()-19),"")</f>
        <v/>
      </c>
      <c r="D112" s="43">
        <f>IFERROR(INDEX($AA$20:$AA$150,ROW()-19),"")</f>
        <v/>
      </c>
      <c r="E112" s="43">
        <f>IFERROR(INDEX($AE$20:$AE$150,ROW()-19),"")</f>
        <v/>
      </c>
      <c r="F112" s="43">
        <f>IF(A112="","",2)</f>
        <v/>
      </c>
    </row>
    <row r="113">
      <c r="A113" s="26">
        <f>IFERROR(INDEX($R$20:$R$150,ROW()-19),"")</f>
        <v/>
      </c>
      <c r="B113" s="43">
        <f>IFERROR(INDEX($S$20:$S$150,ROW()-19),"")</f>
        <v/>
      </c>
      <c r="C113" s="43">
        <f>IFERROR(INDEX($W$20:$W$150,ROW()-19),"")</f>
        <v/>
      </c>
      <c r="D113" s="43">
        <f>IFERROR(INDEX($AA$20:$AA$150,ROW()-19),"")</f>
        <v/>
      </c>
      <c r="E113" s="43">
        <f>IFERROR(INDEX($AE$20:$AE$150,ROW()-19),"")</f>
        <v/>
      </c>
      <c r="F113" s="43">
        <f>IF(A113="","",2)</f>
        <v/>
      </c>
    </row>
    <row r="114">
      <c r="A114" s="26">
        <f>IFERROR(INDEX($R$20:$R$150,ROW()-19),"")</f>
        <v/>
      </c>
      <c r="B114" s="43">
        <f>IFERROR(INDEX($S$20:$S$150,ROW()-19),"")</f>
        <v/>
      </c>
      <c r="C114" s="43">
        <f>IFERROR(INDEX($W$20:$W$150,ROW()-19),"")</f>
        <v/>
      </c>
      <c r="D114" s="43">
        <f>IFERROR(INDEX($AA$20:$AA$150,ROW()-19),"")</f>
        <v/>
      </c>
      <c r="E114" s="43">
        <f>IFERROR(INDEX($AE$20:$AE$150,ROW()-19),"")</f>
        <v/>
      </c>
      <c r="F114" s="43">
        <f>IF(A114="","",2)</f>
        <v/>
      </c>
    </row>
    <row r="115">
      <c r="A115" s="26">
        <f>IFERROR(INDEX($R$20:$R$150,ROW()-19),"")</f>
        <v/>
      </c>
      <c r="B115" s="43">
        <f>IFERROR(INDEX($S$20:$S$150,ROW()-19),"")</f>
        <v/>
      </c>
      <c r="C115" s="43">
        <f>IFERROR(INDEX($W$20:$W$150,ROW()-19),"")</f>
        <v/>
      </c>
      <c r="D115" s="43">
        <f>IFERROR(INDEX($AA$20:$AA$150,ROW()-19),"")</f>
        <v/>
      </c>
      <c r="E115" s="43">
        <f>IFERROR(INDEX($AE$20:$AE$150,ROW()-19),"")</f>
        <v/>
      </c>
      <c r="F115" s="43">
        <f>IF(A115="","",2)</f>
        <v/>
      </c>
    </row>
    <row r="116">
      <c r="A116" s="26">
        <f>IFERROR(INDEX($R$20:$R$150,ROW()-19),"")</f>
        <v/>
      </c>
      <c r="B116" s="43">
        <f>IFERROR(INDEX($S$20:$S$150,ROW()-19),"")</f>
        <v/>
      </c>
      <c r="C116" s="43">
        <f>IFERROR(INDEX($W$20:$W$150,ROW()-19),"")</f>
        <v/>
      </c>
      <c r="D116" s="43">
        <f>IFERROR(INDEX($AA$20:$AA$150,ROW()-19),"")</f>
        <v/>
      </c>
      <c r="E116" s="43">
        <f>IFERROR(INDEX($AE$20:$AE$150,ROW()-19),"")</f>
        <v/>
      </c>
      <c r="F116" s="43">
        <f>IF(A116="","",2)</f>
        <v/>
      </c>
    </row>
    <row r="117">
      <c r="A117" s="26">
        <f>IFERROR(INDEX($R$20:$R$150,ROW()-19),"")</f>
        <v/>
      </c>
      <c r="B117" s="43">
        <f>IFERROR(INDEX($S$20:$S$150,ROW()-19),"")</f>
        <v/>
      </c>
      <c r="C117" s="43">
        <f>IFERROR(INDEX($W$20:$W$150,ROW()-19),"")</f>
        <v/>
      </c>
      <c r="D117" s="43">
        <f>IFERROR(INDEX($AA$20:$AA$150,ROW()-19),"")</f>
        <v/>
      </c>
      <c r="E117" s="43">
        <f>IFERROR(INDEX($AE$20:$AE$150,ROW()-19),"")</f>
        <v/>
      </c>
      <c r="F117" s="43">
        <f>IF(A117="","",2)</f>
        <v/>
      </c>
    </row>
    <row r="118">
      <c r="A118" s="26">
        <f>IFERROR(INDEX($R$20:$R$150,ROW()-19),"")</f>
        <v/>
      </c>
      <c r="B118" s="43">
        <f>IFERROR(INDEX($S$20:$S$150,ROW()-19),"")</f>
        <v/>
      </c>
      <c r="C118" s="43">
        <f>IFERROR(INDEX($W$20:$W$150,ROW()-19),"")</f>
        <v/>
      </c>
      <c r="D118" s="43">
        <f>IFERROR(INDEX($AA$20:$AA$150,ROW()-19),"")</f>
        <v/>
      </c>
      <c r="E118" s="43">
        <f>IFERROR(INDEX($AE$20:$AE$150,ROW()-19),"")</f>
        <v/>
      </c>
      <c r="F118" s="43">
        <f>IF(A118="","",2)</f>
        <v/>
      </c>
    </row>
    <row r="119">
      <c r="A119" s="26">
        <f>IFERROR(INDEX($R$20:$R$150,ROW()-19),"")</f>
        <v/>
      </c>
      <c r="B119" s="43">
        <f>IFERROR(INDEX($S$20:$S$150,ROW()-19),"")</f>
        <v/>
      </c>
      <c r="C119" s="43">
        <f>IFERROR(INDEX($W$20:$W$150,ROW()-19),"")</f>
        <v/>
      </c>
      <c r="D119" s="43">
        <f>IFERROR(INDEX($AA$20:$AA$150,ROW()-19),"")</f>
        <v/>
      </c>
      <c r="E119" s="43">
        <f>IFERROR(INDEX($AE$20:$AE$150,ROW()-19),"")</f>
        <v/>
      </c>
      <c r="F119" s="43">
        <f>IF(A119="","",2)</f>
        <v/>
      </c>
    </row>
    <row r="120">
      <c r="A120" s="26">
        <f>IFERROR(INDEX($R$20:$R$150,ROW()-19),"")</f>
        <v/>
      </c>
      <c r="B120" s="43">
        <f>IFERROR(INDEX($S$20:$S$150,ROW()-19),"")</f>
        <v/>
      </c>
      <c r="C120" s="43">
        <f>IFERROR(INDEX($W$20:$W$150,ROW()-19),"")</f>
        <v/>
      </c>
      <c r="D120" s="43">
        <f>IFERROR(INDEX($AA$20:$AA$150,ROW()-19),"")</f>
        <v/>
      </c>
      <c r="E120" s="43">
        <f>IFERROR(INDEX($AE$20:$AE$150,ROW()-19),"")</f>
        <v/>
      </c>
      <c r="F120" s="43">
        <f>IF(A120="","",2)</f>
        <v/>
      </c>
    </row>
    <row r="121">
      <c r="A121" s="26">
        <f>IFERROR(INDEX($R$20:$R$150,ROW()-19),"")</f>
        <v/>
      </c>
      <c r="B121" s="43">
        <f>IFERROR(INDEX($S$20:$S$150,ROW()-19),"")</f>
        <v/>
      </c>
      <c r="C121" s="43">
        <f>IFERROR(INDEX($W$20:$W$150,ROW()-19),"")</f>
        <v/>
      </c>
      <c r="D121" s="43">
        <f>IFERROR(INDEX($AA$20:$AA$150,ROW()-19),"")</f>
        <v/>
      </c>
      <c r="E121" s="43">
        <f>IFERROR(INDEX($AE$20:$AE$150,ROW()-19),"")</f>
        <v/>
      </c>
      <c r="F121" s="43">
        <f>IF(A121="","",2)</f>
        <v/>
      </c>
    </row>
    <row r="122">
      <c r="A122" s="26">
        <f>IFERROR(INDEX($R$20:$R$150,ROW()-19),"")</f>
        <v/>
      </c>
      <c r="B122" s="43">
        <f>IFERROR(INDEX($S$20:$S$150,ROW()-19),"")</f>
        <v/>
      </c>
      <c r="C122" s="43">
        <f>IFERROR(INDEX($W$20:$W$150,ROW()-19),"")</f>
        <v/>
      </c>
      <c r="D122" s="43">
        <f>IFERROR(INDEX($AA$20:$AA$150,ROW()-19),"")</f>
        <v/>
      </c>
      <c r="E122" s="43">
        <f>IFERROR(INDEX($AE$20:$AE$150,ROW()-19),"")</f>
        <v/>
      </c>
      <c r="F122" s="43">
        <f>IF(A122="","",2)</f>
        <v/>
      </c>
    </row>
    <row r="123">
      <c r="A123" s="26">
        <f>IFERROR(INDEX($R$20:$R$150,ROW()-19),"")</f>
        <v/>
      </c>
      <c r="B123" s="43">
        <f>IFERROR(INDEX($S$20:$S$150,ROW()-19),"")</f>
        <v/>
      </c>
      <c r="C123" s="43">
        <f>IFERROR(INDEX($W$20:$W$150,ROW()-19),"")</f>
        <v/>
      </c>
      <c r="D123" s="43">
        <f>IFERROR(INDEX($AA$20:$AA$150,ROW()-19),"")</f>
        <v/>
      </c>
      <c r="E123" s="43">
        <f>IFERROR(INDEX($AE$20:$AE$150,ROW()-19),"")</f>
        <v/>
      </c>
      <c r="F123" s="43">
        <f>IF(A123="","",2)</f>
        <v/>
      </c>
    </row>
    <row r="124">
      <c r="A124" s="26">
        <f>IFERROR(INDEX($R$20:$R$150,ROW()-19),"")</f>
        <v/>
      </c>
      <c r="B124" s="43">
        <f>IFERROR(INDEX($S$20:$S$150,ROW()-19),"")</f>
        <v/>
      </c>
      <c r="C124" s="43">
        <f>IFERROR(INDEX($W$20:$W$150,ROW()-19),"")</f>
        <v/>
      </c>
      <c r="D124" s="43">
        <f>IFERROR(INDEX($AA$20:$AA$150,ROW()-19),"")</f>
        <v/>
      </c>
      <c r="E124" s="43">
        <f>IFERROR(INDEX($AE$20:$AE$150,ROW()-19),"")</f>
        <v/>
      </c>
      <c r="F124" s="43">
        <f>IF(A124="","",2)</f>
        <v/>
      </c>
    </row>
    <row r="125">
      <c r="A125" s="26">
        <f>IFERROR(INDEX($R$20:$R$150,ROW()-19),"")</f>
        <v/>
      </c>
      <c r="B125" s="43">
        <f>IFERROR(INDEX($S$20:$S$150,ROW()-19),"")</f>
        <v/>
      </c>
      <c r="C125" s="43">
        <f>IFERROR(INDEX($W$20:$W$150,ROW()-19),"")</f>
        <v/>
      </c>
      <c r="D125" s="43">
        <f>IFERROR(INDEX($AA$20:$AA$150,ROW()-19),"")</f>
        <v/>
      </c>
      <c r="E125" s="43">
        <f>IFERROR(INDEX($AE$20:$AE$150,ROW()-19),"")</f>
        <v/>
      </c>
      <c r="F125" s="43">
        <f>IF(A125="","",2)</f>
        <v/>
      </c>
    </row>
    <row r="126">
      <c r="A126" s="26">
        <f>IFERROR(INDEX($R$20:$R$150,ROW()-19),"")</f>
        <v/>
      </c>
      <c r="B126" s="43">
        <f>IFERROR(INDEX($S$20:$S$150,ROW()-19),"")</f>
        <v/>
      </c>
      <c r="C126" s="43">
        <f>IFERROR(INDEX($W$20:$W$150,ROW()-19),"")</f>
        <v/>
      </c>
      <c r="D126" s="43">
        <f>IFERROR(INDEX($AA$20:$AA$150,ROW()-19),"")</f>
        <v/>
      </c>
      <c r="E126" s="43">
        <f>IFERROR(INDEX($AE$20:$AE$150,ROW()-19),"")</f>
        <v/>
      </c>
      <c r="F126" s="43">
        <f>IF(A126="","",2)</f>
        <v/>
      </c>
    </row>
    <row r="127">
      <c r="A127" s="26">
        <f>IFERROR(INDEX($R$20:$R$150,ROW()-19),"")</f>
        <v/>
      </c>
      <c r="B127" s="43">
        <f>IFERROR(INDEX($S$20:$S$150,ROW()-19),"")</f>
        <v/>
      </c>
      <c r="C127" s="43">
        <f>IFERROR(INDEX($W$20:$W$150,ROW()-19),"")</f>
        <v/>
      </c>
      <c r="D127" s="43">
        <f>IFERROR(INDEX($AA$20:$AA$150,ROW()-19),"")</f>
        <v/>
      </c>
      <c r="E127" s="43">
        <f>IFERROR(INDEX($AE$20:$AE$150,ROW()-19),"")</f>
        <v/>
      </c>
      <c r="F127" s="43">
        <f>IF(A127="","",2)</f>
        <v/>
      </c>
    </row>
    <row r="128">
      <c r="A128" s="26">
        <f>IFERROR(INDEX($R$20:$R$150,ROW()-19),"")</f>
        <v/>
      </c>
      <c r="B128" s="43">
        <f>IFERROR(INDEX($S$20:$S$150,ROW()-19),"")</f>
        <v/>
      </c>
      <c r="C128" s="43">
        <f>IFERROR(INDEX($W$20:$W$150,ROW()-19),"")</f>
        <v/>
      </c>
      <c r="D128" s="43">
        <f>IFERROR(INDEX($AA$20:$AA$150,ROW()-19),"")</f>
        <v/>
      </c>
      <c r="E128" s="43">
        <f>IFERROR(INDEX($AE$20:$AE$150,ROW()-19),"")</f>
        <v/>
      </c>
      <c r="F128" s="43">
        <f>IF(A128="","",2)</f>
        <v/>
      </c>
    </row>
    <row r="129">
      <c r="A129" s="26">
        <f>IFERROR(INDEX($R$20:$R$150,ROW()-19),"")</f>
        <v/>
      </c>
      <c r="B129" s="43">
        <f>IFERROR(INDEX($S$20:$S$150,ROW()-19),"")</f>
        <v/>
      </c>
      <c r="C129" s="43">
        <f>IFERROR(INDEX($W$20:$W$150,ROW()-19),"")</f>
        <v/>
      </c>
      <c r="D129" s="43">
        <f>IFERROR(INDEX($AA$20:$AA$150,ROW()-19),"")</f>
        <v/>
      </c>
      <c r="E129" s="43">
        <f>IFERROR(INDEX($AE$20:$AE$150,ROW()-19),"")</f>
        <v/>
      </c>
      <c r="F129" s="43">
        <f>IF(A129="","",2)</f>
        <v/>
      </c>
    </row>
    <row r="130">
      <c r="A130" s="26">
        <f>IFERROR(INDEX($R$20:$R$150,ROW()-19),"")</f>
        <v/>
      </c>
      <c r="B130" s="43">
        <f>IFERROR(INDEX($S$20:$S$150,ROW()-19),"")</f>
        <v/>
      </c>
      <c r="C130" s="43">
        <f>IFERROR(INDEX($W$20:$W$150,ROW()-19),"")</f>
        <v/>
      </c>
      <c r="D130" s="43">
        <f>IFERROR(INDEX($AA$20:$AA$150,ROW()-19),"")</f>
        <v/>
      </c>
      <c r="E130" s="43">
        <f>IFERROR(INDEX($AE$20:$AE$150,ROW()-19),"")</f>
        <v/>
      </c>
      <c r="F130" s="43">
        <f>IF(A130="","",2)</f>
        <v/>
      </c>
    </row>
    <row r="131">
      <c r="A131" s="26">
        <f>IFERROR(INDEX($R$20:$R$150,ROW()-19),"")</f>
        <v/>
      </c>
      <c r="B131" s="43">
        <f>IFERROR(INDEX($S$20:$S$150,ROW()-19),"")</f>
        <v/>
      </c>
      <c r="C131" s="43">
        <f>IFERROR(INDEX($W$20:$W$150,ROW()-19),"")</f>
        <v/>
      </c>
      <c r="D131" s="43">
        <f>IFERROR(INDEX($AA$20:$AA$150,ROW()-19),"")</f>
        <v/>
      </c>
      <c r="E131" s="43">
        <f>IFERROR(INDEX($AE$20:$AE$150,ROW()-19),"")</f>
        <v/>
      </c>
      <c r="F131" s="43">
        <f>IF(A131="","",2)</f>
        <v/>
      </c>
    </row>
    <row r="132">
      <c r="A132" s="26">
        <f>IFERROR(INDEX($R$20:$R$150,ROW()-19),"")</f>
        <v/>
      </c>
      <c r="B132" s="43">
        <f>IFERROR(INDEX($S$20:$S$150,ROW()-19),"")</f>
        <v/>
      </c>
      <c r="C132" s="43">
        <f>IFERROR(INDEX($W$20:$W$150,ROW()-19),"")</f>
        <v/>
      </c>
      <c r="D132" s="43">
        <f>IFERROR(INDEX($AA$20:$AA$150,ROW()-19),"")</f>
        <v/>
      </c>
      <c r="E132" s="43">
        <f>IFERROR(INDEX($AE$20:$AE$150,ROW()-19),"")</f>
        <v/>
      </c>
      <c r="F132" s="43">
        <f>IF(A132="","",2)</f>
        <v/>
      </c>
    </row>
    <row r="133">
      <c r="A133" s="26">
        <f>IFERROR(INDEX($R$20:$R$150,ROW()-19),"")</f>
        <v/>
      </c>
      <c r="B133" s="43">
        <f>IFERROR(INDEX($S$20:$S$150,ROW()-19),"")</f>
        <v/>
      </c>
      <c r="C133" s="43">
        <f>IFERROR(INDEX($W$20:$W$150,ROW()-19),"")</f>
        <v/>
      </c>
      <c r="D133" s="43">
        <f>IFERROR(INDEX($AA$20:$AA$150,ROW()-19),"")</f>
        <v/>
      </c>
      <c r="E133" s="43">
        <f>IFERROR(INDEX($AE$20:$AE$150,ROW()-19),"")</f>
        <v/>
      </c>
      <c r="F133" s="43">
        <f>IF(A133="","",2)</f>
        <v/>
      </c>
    </row>
    <row r="134">
      <c r="A134" s="26">
        <f>IFERROR(INDEX($R$20:$R$150,ROW()-19),"")</f>
        <v/>
      </c>
      <c r="B134" s="43">
        <f>IFERROR(INDEX($S$20:$S$150,ROW()-19),"")</f>
        <v/>
      </c>
      <c r="C134" s="43">
        <f>IFERROR(INDEX($W$20:$W$150,ROW()-19),"")</f>
        <v/>
      </c>
      <c r="D134" s="43">
        <f>IFERROR(INDEX($AA$20:$AA$150,ROW()-19),"")</f>
        <v/>
      </c>
      <c r="E134" s="43">
        <f>IFERROR(INDEX($AE$20:$AE$150,ROW()-19),"")</f>
        <v/>
      </c>
      <c r="F134" s="43">
        <f>IF(A134="","",2)</f>
        <v/>
      </c>
    </row>
    <row r="135">
      <c r="A135" s="26">
        <f>IFERROR(INDEX($R$20:$R$150,ROW()-19),"")</f>
        <v/>
      </c>
      <c r="B135" s="43">
        <f>IFERROR(INDEX($S$20:$S$150,ROW()-19),"")</f>
        <v/>
      </c>
      <c r="C135" s="43">
        <f>IFERROR(INDEX($W$20:$W$150,ROW()-19),"")</f>
        <v/>
      </c>
      <c r="D135" s="43">
        <f>IFERROR(INDEX($AA$20:$AA$150,ROW()-19),"")</f>
        <v/>
      </c>
      <c r="E135" s="43">
        <f>IFERROR(INDEX($AE$20:$AE$150,ROW()-19),"")</f>
        <v/>
      </c>
      <c r="F135" s="43">
        <f>IF(A135="","",2)</f>
        <v/>
      </c>
    </row>
    <row r="136">
      <c r="A136" s="26">
        <f>IFERROR(INDEX($R$20:$R$150,ROW()-19),"")</f>
        <v/>
      </c>
      <c r="B136" s="43">
        <f>IFERROR(INDEX($S$20:$S$150,ROW()-19),"")</f>
        <v/>
      </c>
      <c r="C136" s="43">
        <f>IFERROR(INDEX($W$20:$W$150,ROW()-19),"")</f>
        <v/>
      </c>
      <c r="D136" s="43">
        <f>IFERROR(INDEX($AA$20:$AA$150,ROW()-19),"")</f>
        <v/>
      </c>
      <c r="E136" s="43">
        <f>IFERROR(INDEX($AE$20:$AE$150,ROW()-19),"")</f>
        <v/>
      </c>
      <c r="F136" s="43">
        <f>IF(A136="","",2)</f>
        <v/>
      </c>
    </row>
    <row r="137">
      <c r="A137" s="26">
        <f>IFERROR(INDEX($R$20:$R$150,ROW()-19),"")</f>
        <v/>
      </c>
      <c r="B137" s="43">
        <f>IFERROR(INDEX($S$20:$S$150,ROW()-19),"")</f>
        <v/>
      </c>
      <c r="C137" s="43">
        <f>IFERROR(INDEX($W$20:$W$150,ROW()-19),"")</f>
        <v/>
      </c>
      <c r="D137" s="43">
        <f>IFERROR(INDEX($AA$20:$AA$150,ROW()-19),"")</f>
        <v/>
      </c>
      <c r="E137" s="43">
        <f>IFERROR(INDEX($AE$20:$AE$150,ROW()-19),"")</f>
        <v/>
      </c>
      <c r="F137" s="43">
        <f>IF(A137="","",2)</f>
        <v/>
      </c>
    </row>
    <row r="138">
      <c r="A138" s="26">
        <f>IFERROR(INDEX($R$20:$R$150,ROW()-19),"")</f>
        <v/>
      </c>
      <c r="B138" s="43">
        <f>IFERROR(INDEX($S$20:$S$150,ROW()-19),"")</f>
        <v/>
      </c>
      <c r="C138" s="43">
        <f>IFERROR(INDEX($W$20:$W$150,ROW()-19),"")</f>
        <v/>
      </c>
      <c r="D138" s="43">
        <f>IFERROR(INDEX($AA$20:$AA$150,ROW()-19),"")</f>
        <v/>
      </c>
      <c r="E138" s="43">
        <f>IFERROR(INDEX($AE$20:$AE$150,ROW()-19),"")</f>
        <v/>
      </c>
      <c r="F138" s="43">
        <f>IF(A138="","",2)</f>
        <v/>
      </c>
    </row>
    <row r="139">
      <c r="A139" s="26">
        <f>IFERROR(INDEX($R$20:$R$150,ROW()-19),"")</f>
        <v/>
      </c>
      <c r="B139" s="43">
        <f>IFERROR(INDEX($S$20:$S$150,ROW()-19),"")</f>
        <v/>
      </c>
      <c r="C139" s="43">
        <f>IFERROR(INDEX($W$20:$W$150,ROW()-19),"")</f>
        <v/>
      </c>
      <c r="D139" s="43">
        <f>IFERROR(INDEX($AA$20:$AA$150,ROW()-19),"")</f>
        <v/>
      </c>
      <c r="E139" s="43">
        <f>IFERROR(INDEX($AE$20:$AE$150,ROW()-19),"")</f>
        <v/>
      </c>
      <c r="F139" s="43">
        <f>IF(A139="","",2)</f>
        <v/>
      </c>
    </row>
    <row r="140">
      <c r="A140" s="26">
        <f>IFERROR(INDEX($R$20:$R$150,ROW()-19),"")</f>
        <v/>
      </c>
      <c r="B140" s="43">
        <f>IFERROR(INDEX($S$20:$S$150,ROW()-19),"")</f>
        <v/>
      </c>
      <c r="C140" s="43">
        <f>IFERROR(INDEX($W$20:$W$150,ROW()-19),"")</f>
        <v/>
      </c>
      <c r="D140" s="43">
        <f>IFERROR(INDEX($AA$20:$AA$150,ROW()-19),"")</f>
        <v/>
      </c>
      <c r="E140" s="43">
        <f>IFERROR(INDEX($AE$20:$AE$150,ROW()-19),"")</f>
        <v/>
      </c>
      <c r="F140" s="43">
        <f>IF(A140="","",2)</f>
        <v/>
      </c>
    </row>
    <row r="141">
      <c r="A141" s="26">
        <f>IFERROR(INDEX($R$20:$R$150,ROW()-19),"")</f>
        <v/>
      </c>
      <c r="B141" s="43">
        <f>IFERROR(INDEX($S$20:$S$150,ROW()-19),"")</f>
        <v/>
      </c>
      <c r="C141" s="43">
        <f>IFERROR(INDEX($W$20:$W$150,ROW()-19),"")</f>
        <v/>
      </c>
      <c r="D141" s="43">
        <f>IFERROR(INDEX($AA$20:$AA$150,ROW()-19),"")</f>
        <v/>
      </c>
      <c r="E141" s="43">
        <f>IFERROR(INDEX($AE$20:$AE$150,ROW()-19),"")</f>
        <v/>
      </c>
      <c r="F141" s="43">
        <f>IF(A141="","",2)</f>
        <v/>
      </c>
    </row>
    <row r="142">
      <c r="A142" s="26">
        <f>IFERROR(INDEX($R$20:$R$150,ROW()-19),"")</f>
        <v/>
      </c>
      <c r="B142" s="43">
        <f>IFERROR(INDEX($S$20:$S$150,ROW()-19),"")</f>
        <v/>
      </c>
      <c r="C142" s="43">
        <f>IFERROR(INDEX($W$20:$W$150,ROW()-19),"")</f>
        <v/>
      </c>
      <c r="D142" s="43">
        <f>IFERROR(INDEX($AA$20:$AA$150,ROW()-19),"")</f>
        <v/>
      </c>
      <c r="E142" s="43">
        <f>IFERROR(INDEX($AE$20:$AE$150,ROW()-19),"")</f>
        <v/>
      </c>
      <c r="F142" s="43">
        <f>IF(A142="","",2)</f>
        <v/>
      </c>
    </row>
    <row r="143">
      <c r="A143" s="26">
        <f>IFERROR(INDEX($R$20:$R$150,ROW()-19),"")</f>
        <v/>
      </c>
      <c r="B143" s="43">
        <f>IFERROR(INDEX($S$20:$S$150,ROW()-19),"")</f>
        <v/>
      </c>
      <c r="C143" s="43">
        <f>IFERROR(INDEX($W$20:$W$150,ROW()-19),"")</f>
        <v/>
      </c>
      <c r="D143" s="43">
        <f>IFERROR(INDEX($AA$20:$AA$150,ROW()-19),"")</f>
        <v/>
      </c>
      <c r="E143" s="43">
        <f>IFERROR(INDEX($AE$20:$AE$150,ROW()-19),"")</f>
        <v/>
      </c>
      <c r="F143" s="43">
        <f>IF(A143="","",2)</f>
        <v/>
      </c>
    </row>
    <row r="144">
      <c r="A144" s="26">
        <f>IFERROR(INDEX($R$20:$R$150,ROW()-19),"")</f>
        <v/>
      </c>
      <c r="B144" s="43">
        <f>IFERROR(INDEX($S$20:$S$150,ROW()-19),"")</f>
        <v/>
      </c>
      <c r="C144" s="43">
        <f>IFERROR(INDEX($W$20:$W$150,ROW()-19),"")</f>
        <v/>
      </c>
      <c r="D144" s="43">
        <f>IFERROR(INDEX($AA$20:$AA$150,ROW()-19),"")</f>
        <v/>
      </c>
      <c r="E144" s="43">
        <f>IFERROR(INDEX($AE$20:$AE$150,ROW()-19),"")</f>
        <v/>
      </c>
      <c r="F144" s="43">
        <f>IF(A144="","",2)</f>
        <v/>
      </c>
    </row>
    <row r="145">
      <c r="A145" s="26">
        <f>IFERROR(INDEX($R$20:$R$150,ROW()-19),"")</f>
        <v/>
      </c>
      <c r="B145" s="43">
        <f>IFERROR(INDEX($S$20:$S$150,ROW()-19),"")</f>
        <v/>
      </c>
      <c r="C145" s="43">
        <f>IFERROR(INDEX($W$20:$W$150,ROW()-19),"")</f>
        <v/>
      </c>
      <c r="D145" s="43">
        <f>IFERROR(INDEX($AA$20:$AA$150,ROW()-19),"")</f>
        <v/>
      </c>
      <c r="E145" s="43">
        <f>IFERROR(INDEX($AE$20:$AE$150,ROW()-19),"")</f>
        <v/>
      </c>
      <c r="F145" s="43">
        <f>IF(A145="","",2)</f>
        <v/>
      </c>
    </row>
    <row r="146">
      <c r="A146" s="26">
        <f>IFERROR(INDEX($R$20:$R$150,ROW()-19),"")</f>
        <v/>
      </c>
      <c r="B146" s="43">
        <f>IFERROR(INDEX($S$20:$S$150,ROW()-19),"")</f>
        <v/>
      </c>
      <c r="C146" s="43">
        <f>IFERROR(INDEX($W$20:$W$150,ROW()-19),"")</f>
        <v/>
      </c>
      <c r="D146" s="43">
        <f>IFERROR(INDEX($AA$20:$AA$150,ROW()-19),"")</f>
        <v/>
      </c>
      <c r="E146" s="43">
        <f>IFERROR(INDEX($AE$20:$AE$150,ROW()-19),"")</f>
        <v/>
      </c>
      <c r="F146" s="43">
        <f>IF(A146="","",2)</f>
        <v/>
      </c>
    </row>
    <row r="147">
      <c r="A147" s="26">
        <f>IFERROR(INDEX($R$20:$R$150,ROW()-19),"")</f>
        <v/>
      </c>
      <c r="B147" s="43">
        <f>IFERROR(INDEX($S$20:$S$150,ROW()-19),"")</f>
        <v/>
      </c>
      <c r="C147" s="43">
        <f>IFERROR(INDEX($W$20:$W$150,ROW()-19),"")</f>
        <v/>
      </c>
      <c r="D147" s="43">
        <f>IFERROR(INDEX($AA$20:$AA$150,ROW()-19),"")</f>
        <v/>
      </c>
      <c r="E147" s="43">
        <f>IFERROR(INDEX($AE$20:$AE$150,ROW()-19),"")</f>
        <v/>
      </c>
      <c r="F147" s="43">
        <f>IF(A147="","",2)</f>
        <v/>
      </c>
    </row>
    <row r="148">
      <c r="A148" s="26">
        <f>IFERROR(INDEX($R$20:$R$150,ROW()-19),"")</f>
        <v/>
      </c>
      <c r="B148" s="43">
        <f>IFERROR(INDEX($S$20:$S$150,ROW()-19),"")</f>
        <v/>
      </c>
      <c r="C148" s="43">
        <f>IFERROR(INDEX($W$20:$W$150,ROW()-19),"")</f>
        <v/>
      </c>
      <c r="D148" s="43">
        <f>IFERROR(INDEX($AA$20:$AA$150,ROW()-19),"")</f>
        <v/>
      </c>
      <c r="E148" s="43">
        <f>IFERROR(INDEX($AE$20:$AE$150,ROW()-19),"")</f>
        <v/>
      </c>
      <c r="F148" s="43">
        <f>IF(A148="","",2)</f>
        <v/>
      </c>
    </row>
    <row r="149">
      <c r="A149" s="26">
        <f>IFERROR(INDEX($R$20:$R$150,ROW()-19),"")</f>
        <v/>
      </c>
      <c r="B149" s="43">
        <f>IFERROR(INDEX($S$20:$S$150,ROW()-19),"")</f>
        <v/>
      </c>
      <c r="C149" s="43">
        <f>IFERROR(INDEX($W$20:$W$150,ROW()-19),"")</f>
        <v/>
      </c>
      <c r="D149" s="43">
        <f>IFERROR(INDEX($AA$20:$AA$150,ROW()-19),"")</f>
        <v/>
      </c>
      <c r="E149" s="43">
        <f>IFERROR(INDEX($AE$20:$AE$150,ROW()-19),"")</f>
        <v/>
      </c>
      <c r="F149" s="43">
        <f>IF(A149="","",2)</f>
        <v/>
      </c>
    </row>
    <row r="152">
      <c r="A152" s="8" t="inlineStr">
        <is>
          <t>Both charts are native Excel objects wired to the columns above, so copy either one straight onto a slide and it keeps its link to the refreshed data. The 2% target is a computed column rather than a drawn line, so it survives the copy.</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60"/>
  <sheetViews>
    <sheetView showGridLines="0" workbookViewId="0">
      <pane ySplit="4" topLeftCell="A5" activePane="bottomLeft" state="frozen"/>
      <selection pane="bottomLeft"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5" customWidth="1" min="6" max="6"/>
    <col width="15" customWidth="1" min="7" max="7"/>
    <col width="52" customWidth="1" min="8" max="8"/>
  </cols>
  <sheetData>
    <row r="1">
      <c r="A1" s="1" t="inlineStr">
        <is>
          <t>Payoff, sizing, and the dates that settle it</t>
        </is>
      </c>
    </row>
    <row r="2">
      <c r="A2" s="2" t="inlineStr">
        <is>
          <t>Scenario payoffs for both expressions, an expected value, and a falsification calendar with the number that ends the trade.</t>
        </is>
      </c>
    </row>
    <row r="3" ht="4" customHeight="1">
      <c r="A3" s="3" t="n"/>
      <c r="B3" s="3" t="n"/>
      <c r="C3" s="3" t="n"/>
      <c r="D3" s="3" t="n"/>
      <c r="E3" s="3" t="n"/>
      <c r="F3" s="3" t="n"/>
      <c r="G3" s="3" t="n"/>
      <c r="H3" s="3" t="n"/>
      <c r="I3" s="3" t="n"/>
    </row>
    <row r="5">
      <c r="A5" s="4" t="inlineStr">
        <is>
          <t>Inputs — shaded cells are yours to set on the terminal</t>
        </is>
      </c>
    </row>
    <row r="6">
      <c r="A6" s="10" t="inlineStr">
        <is>
          <t>Entry level, 2s10s bp</t>
        </is>
      </c>
      <c r="B6" s="22">
        <f>IFERROR(BullSteepener!C18,"")</f>
        <v/>
      </c>
      <c r="H6" s="16" t="inlineStr">
        <is>
          <t>Defaults to spot. Overwrite with your fill.</t>
        </is>
      </c>
    </row>
    <row r="7">
      <c r="A7" s="10" t="inlineStr">
        <is>
          <t>Target, bp</t>
        </is>
      </c>
      <c r="B7" s="22">
        <f>IFERROR(BullSteepener!B49,"")</f>
        <v/>
      </c>
      <c r="H7" s="16" t="inlineStr">
        <is>
          <t>From the mean-reversion block on BullSteepener.</t>
        </is>
      </c>
    </row>
    <row r="8">
      <c r="A8" s="10" t="inlineStr">
        <is>
          <t>Stop, bp</t>
        </is>
      </c>
      <c r="B8" s="22">
        <f>IFERROR(BullSteepener!B51,"")</f>
        <v/>
      </c>
      <c r="H8" s="16" t="inlineStr">
        <is>
          <t>As above.</t>
        </is>
      </c>
    </row>
    <row r="9">
      <c r="A9" s="10" t="inlineStr">
        <is>
          <t>Carry and roll, bp per quarter</t>
        </is>
      </c>
      <c r="B9" s="22">
        <f>IFERROR(BullSteepener!C84,"")</f>
        <v/>
      </c>
      <c r="H9" s="16" t="inlineStr">
        <is>
          <t>Computed off the live curve.</t>
        </is>
      </c>
    </row>
    <row r="10">
      <c r="A10" s="10" t="inlineStr">
        <is>
          <t>Horizon, quarters</t>
        </is>
      </c>
      <c r="B10" s="13" t="n">
        <v>2</v>
      </c>
      <c r="H10" s="16" t="inlineStr">
        <is>
          <t>Two quarters spans the Sep and Oct meetings and three core-core prints.</t>
        </is>
      </c>
    </row>
    <row r="11">
      <c r="A11" s="10" t="inlineStr">
        <is>
          <t>Conditional premium, bp</t>
        </is>
      </c>
      <c r="B11" s="13" t="n">
        <v>18</v>
      </c>
      <c r="H11" s="16" t="inlineStr">
        <is>
          <t>6m conditional bull steepener, receiver spread. JPY swaptions are quoted in NORMAL (Bachelier) vol in basis points, so price it off the vol surface and put the premium here in bp of notional. 18 is a placeholder until you do.</t>
        </is>
      </c>
    </row>
    <row r="12">
      <c r="A12" s="10" t="inlineStr">
        <is>
          <t>Conditional strike, bp of steepening</t>
        </is>
      </c>
      <c r="B12" s="13" t="n">
        <v>15</v>
      </c>
      <c r="H12" s="16" t="inlineStr">
        <is>
          <t>How far the curve must steepen before the structure pays.</t>
        </is>
      </c>
    </row>
    <row r="13">
      <c r="A13" s="10" t="inlineStr">
        <is>
          <t>Book size, $m</t>
        </is>
      </c>
      <c r="B13" s="44" t="n">
        <v>100</v>
      </c>
      <c r="H13" s="16" t="inlineStr">
        <is>
          <t>For the sizing block below.</t>
        </is>
      </c>
    </row>
    <row r="14">
      <c r="A14" s="10" t="inlineStr">
        <is>
          <t>Rates sleeve, % of book</t>
        </is>
      </c>
      <c r="B14" s="45" t="n">
        <v>0.3</v>
      </c>
      <c r="H14" s="16" t="inlineStr">
        <is>
          <t>Trade 2 carries 30% in the macro deck. This shares that sleeve.</t>
        </is>
      </c>
    </row>
    <row r="17">
      <c r="A17" s="4" t="inlineStr">
        <is>
          <t>What it makes, by state of the world</t>
        </is>
      </c>
    </row>
    <row r="18">
      <c r="A18" s="8" t="inlineStr">
        <is>
          <t>Probabilities are the author's, over the BoJ path rather than over the macro scenarios in the main deck — they are a different partition and should not be confused with the 55 / 25 / 20. The 2y and 10y moves are the assumption; everything to the right of them is arithmetic.</t>
        </is>
      </c>
    </row>
    <row r="20" ht="18" customHeight="1">
      <c r="A20" s="9" t="inlineStr">
        <is>
          <t>State</t>
        </is>
      </c>
      <c r="B20" s="9" t="inlineStr">
        <is>
          <t>Prob.</t>
        </is>
      </c>
      <c r="C20" s="9" t="inlineStr">
        <is>
          <t>2y move, bp</t>
        </is>
      </c>
      <c r="D20" s="9" t="inlineStr">
        <is>
          <t>10y move, bp</t>
        </is>
      </c>
      <c r="E20" s="9" t="inlineStr">
        <is>
          <t>2s10s outcome</t>
        </is>
      </c>
      <c r="F20" s="9" t="inlineStr">
        <is>
          <t>Cash P&amp;L, bp</t>
        </is>
      </c>
      <c r="G20" s="9" t="inlineStr">
        <is>
          <t>Conditional P&amp;L, bp</t>
        </is>
      </c>
      <c r="H20" s="9" t="inlineStr">
        <is>
          <t>What it is</t>
        </is>
      </c>
    </row>
    <row r="21" ht="30" customHeight="1">
      <c r="A21" s="10" t="inlineStr">
        <is>
          <t>BoJ pauses — bull steepening</t>
        </is>
      </c>
      <c r="B21" s="46" t="n">
        <v>0.3</v>
      </c>
      <c r="C21" s="38" t="n">
        <v>-45</v>
      </c>
      <c r="D21" s="38" t="n">
        <v>-3</v>
      </c>
      <c r="E21" s="38">
        <f>IFERROR($B$6+(D21-C21),"")</f>
        <v/>
      </c>
      <c r="F21" s="29">
        <f>IFERROR((E21-$B$6)+$B$9*$B$10,"")</f>
        <v/>
      </c>
      <c r="G21" s="29">
        <f>IFERROR(IF(C21&lt;0,MAX(0,(E21-$B$6)-$B$12),0)-$B$11,"")</f>
        <v/>
      </c>
      <c r="H21" s="16" t="inlineStr">
        <is>
          <t>The front end hands back the priced hikes. The state the trade is underwriting, and the only one where the conditional pays.</t>
        </is>
      </c>
    </row>
    <row r="22" ht="30" customHeight="1">
      <c r="A22" s="10" t="inlineStr">
        <is>
          <t>Nothing happens — carry</t>
        </is>
      </c>
      <c r="B22" s="46" t="n">
        <v>0.35</v>
      </c>
      <c r="C22" s="38" t="n">
        <v>-5</v>
      </c>
      <c r="D22" s="38" t="n">
        <v>2</v>
      </c>
      <c r="E22" s="38">
        <f>IFERROR($B$6+(D22-C22),"")</f>
        <v/>
      </c>
      <c r="F22" s="29">
        <f>IFERROR((E22-$B$6)+$B$9*$B$10,"")</f>
        <v/>
      </c>
      <c r="G22" s="29">
        <f>IFERROR(IF(C22&lt;0,MAX(0,(E22-$B$6)-$B$12),0)-$B$11,"")</f>
        <v/>
      </c>
      <c r="H22" s="16" t="inlineStr">
        <is>
          <t>The curve drifts. You collect carry and roll, and the conditional expires worthless.</t>
        </is>
      </c>
    </row>
    <row r="23" ht="30" customHeight="1">
      <c r="A23" s="10" t="inlineStr">
        <is>
          <t>Supply-led bear steepening</t>
        </is>
      </c>
      <c r="B23" s="46" t="n">
        <v>0.15</v>
      </c>
      <c r="C23" s="38" t="n">
        <v>10</v>
      </c>
      <c r="D23" s="38" t="n">
        <v>37</v>
      </c>
      <c r="E23" s="38">
        <f>IFERROR($B$6+(D23-C23),"")</f>
        <v/>
      </c>
      <c r="F23" s="29">
        <f>IFERROR((E23-$B$6)+$B$9*$B$10,"")</f>
        <v/>
      </c>
      <c r="G23" s="29">
        <f>IFERROR(IF(C23&lt;0,MAX(0,(E23-$B$6)-$B$12),0)-$B$11,"")</f>
        <v/>
      </c>
      <c r="H23" s="16" t="inlineStr">
        <is>
          <t>The consensus JGB trade. The cash spread is along for the ride; the conditional is not, because the front end never rallies.</t>
        </is>
      </c>
    </row>
    <row r="24" ht="30" customHeight="1">
      <c r="A24" s="10" t="inlineStr">
        <is>
          <t>BoJ delivers — bear flattening</t>
        </is>
      </c>
      <c r="B24" s="46" t="n">
        <v>0.15</v>
      </c>
      <c r="C24" s="38" t="n">
        <v>30</v>
      </c>
      <c r="D24" s="38" t="n">
        <v>7</v>
      </c>
      <c r="E24" s="38">
        <f>IFERROR($B$6+(D24-C24),"")</f>
        <v/>
      </c>
      <c r="F24" s="29">
        <f>IFERROR((E24-$B$6)+$B$9*$B$10,"")</f>
        <v/>
      </c>
      <c r="G24" s="29">
        <f>IFERROR(IF(C24&lt;0,MAX(0,(E24-$B$6)-$B$12),0)-$B$11,"")</f>
        <v/>
      </c>
      <c r="H24" s="16" t="inlineStr">
        <is>
          <t>Sep and Oct hikes land. The cash spread loses; the conditional loses premium only. This is the state the July minutes point to.</t>
        </is>
      </c>
    </row>
    <row r="25" ht="30" customHeight="1">
      <c r="A25" s="10" t="inlineStr">
        <is>
          <t>Risk-off bull flattening</t>
        </is>
      </c>
      <c r="B25" s="46" t="n">
        <v>0.05</v>
      </c>
      <c r="C25" s="38" t="n">
        <v>-10</v>
      </c>
      <c r="D25" s="38" t="n">
        <v>-28</v>
      </c>
      <c r="E25" s="38">
        <f>IFERROR($B$6+(D25-C25),"")</f>
        <v/>
      </c>
      <c r="F25" s="29">
        <f>IFERROR((E25-$B$6)+$B$9*$B$10,"")</f>
        <v/>
      </c>
      <c r="G25" s="29">
        <f>IFERROR(IF(C25&lt;0,MAX(0,(E25-$B$6)-$B$12),0)-$B$11,"")</f>
        <v/>
      </c>
      <c r="H25" s="16" t="inlineStr">
        <is>
          <t>A global duration rally where the long end leads. The one state where both legs of the cash spread work against you.</t>
        </is>
      </c>
    </row>
    <row r="27">
      <c r="A27" s="4" t="inlineStr">
        <is>
          <t>Expected value</t>
        </is>
      </c>
    </row>
    <row r="28">
      <c r="A28" s="22" t="inlineStr">
        <is>
          <t>Probability check</t>
        </is>
      </c>
      <c r="B28" s="31">
        <f>SUM($B$21:$B$25)</f>
        <v/>
      </c>
      <c r="H28" s="16" t="inlineStr">
        <is>
          <t>Must be 100%. If it is not, the numbers below mean nothing.</t>
        </is>
      </c>
    </row>
    <row r="29">
      <c r="A29" s="22" t="inlineStr">
        <is>
          <t>Cash spread, expected bp</t>
        </is>
      </c>
      <c r="B29" s="47">
        <f>SUMPRODUCT($B$21:$B$25,$F$21:$F$25)</f>
        <v/>
      </c>
      <c r="H29" s="16" t="inlineStr">
        <is>
          <t>Probability-weighted, including carry.</t>
        </is>
      </c>
    </row>
    <row r="30">
      <c r="A30" s="22" t="inlineStr">
        <is>
          <t>Conditional, expected bp</t>
        </is>
      </c>
      <c r="B30" s="47">
        <f>SUMPRODUCT($B$21:$B$25,$G$21:$G$25)</f>
        <v/>
      </c>
      <c r="H30" s="16" t="inlineStr">
        <is>
          <t>Probability-weighted, net of premium.</t>
        </is>
      </c>
    </row>
    <row r="31">
      <c r="A31" s="22" t="inlineStr">
        <is>
          <t>Cash — probability of loss</t>
        </is>
      </c>
      <c r="B31" s="31">
        <f>SUMIF($F$21:$F$25,"&lt;0",$B$21:$B$25)</f>
        <v/>
      </c>
      <c r="H31" s="16" t="inlineStr">
        <is>
          <t>How often the cash spread is a losing trade.</t>
        </is>
      </c>
    </row>
    <row r="32">
      <c r="A32" s="22" t="inlineStr">
        <is>
          <t>Conditional — probability of loss</t>
        </is>
      </c>
      <c r="B32" s="31">
        <f>SUMIF($G$21:$G$25,"&lt;0",$B$21:$B$25)</f>
        <v/>
      </c>
      <c r="H32" s="16" t="inlineStr">
        <is>
          <t>Higher hit rate of small losses, and that is the point — the losses are capped at premium.</t>
        </is>
      </c>
    </row>
    <row r="33">
      <c r="A33" s="22" t="inlineStr">
        <is>
          <t>Cash — worst state, bp</t>
        </is>
      </c>
      <c r="B33" s="29">
        <f>MIN($F$21:$F$25)</f>
        <v/>
      </c>
      <c r="H33" s="16" t="inlineStr">
        <is>
          <t>Compare with the stop. If the worst state is beyond the stop, the stop is what you actually own.</t>
        </is>
      </c>
    </row>
    <row r="34">
      <c r="A34" s="22" t="inlineStr">
        <is>
          <t>Conditional — worst state, bp</t>
        </is>
      </c>
      <c r="B34" s="29">
        <f>MIN($G$21:$G$25)</f>
        <v/>
      </c>
      <c r="H34" s="16" t="inlineStr">
        <is>
          <t>Premium, by construction.</t>
        </is>
      </c>
    </row>
    <row r="36" ht="44" customHeight="1">
      <c r="A36" s="28">
        <f>IF(COUNT($F$21:$G$25)=0,"Set the inputs and this reads itself.","Expected value: "&amp;TEXT(SUMPRODUCT($B$21:$B$25,$F$21:$F$25),"+0.0;-0.0")&amp;"bp on the cash spread against "&amp;TEXT(SUMPRODUCT($B$21:$B$25,$G$21:$G$25),"+0.0;-0.0")&amp;"bp on the conditional — but the cash spread loses in "&amp;TEXT(SUMIF($F$21:$F$25,"&lt;0",$B$21:$B$25),"0%")&amp;" of states against "&amp;TEXT(SUMIF($G$21:$G$25,"&lt;0",$B$21:$B$25),"0%")&amp;" for the conditional, and its worst state is "&amp;TEXT(MIN($F$21:$F$25),"0")&amp;"bp against a capped "&amp;TEXT(MIN($G$21:$G$25),"0")&amp;"bp.")</f>
        <v/>
      </c>
    </row>
    <row r="39">
      <c r="A39" s="4" t="inlineStr">
        <is>
          <t>Sizing</t>
        </is>
      </c>
    </row>
    <row r="40">
      <c r="A40" s="22" t="inlineStr">
        <is>
          <t>Rates sleeve, $m</t>
        </is>
      </c>
      <c r="B40" s="35">
        <f>IFERROR($B$13*$B$14,"")</f>
        <v/>
      </c>
      <c r="H40" s="16" t="inlineStr">
        <is>
          <t>The sleeve this trade shares with the US 5s30s.</t>
        </is>
      </c>
    </row>
    <row r="41">
      <c r="A41" s="22" t="inlineStr">
        <is>
          <t>Distance to stop, bp</t>
        </is>
      </c>
      <c r="B41" s="37">
        <f>IFERROR($B$6-$B$8,"")</f>
        <v/>
      </c>
      <c r="H41" s="16" t="inlineStr">
        <is>
          <t>Entry less stop.</t>
        </is>
      </c>
    </row>
    <row r="42">
      <c r="A42" s="22" t="inlineStr">
        <is>
          <t>Cash — max loss at stop, $m</t>
        </is>
      </c>
      <c r="B42" s="48">
        <f>IFERROR($B$40*ABS($B$41)/10000*10,"")</f>
        <v/>
      </c>
      <c r="H42" s="16" t="inlineStr">
        <is>
          <t>At a DV01 sized so a 10bp adverse move costs 0.1% of the sleeve. Replace the factor with your desk's DV01 convention.</t>
        </is>
      </c>
    </row>
    <row r="43">
      <c r="A43" s="22" t="inlineStr">
        <is>
          <t>Cash — max loss, % of book</t>
        </is>
      </c>
      <c r="B43" s="49">
        <f>IFERROR($B$42/$B$13,"")</f>
        <v/>
      </c>
      <c r="H43" s="16" t="inlineStr">
        <is>
          <t>The number the PM actually asks for.</t>
        </is>
      </c>
    </row>
    <row r="44">
      <c r="A44" s="22" t="inlineStr">
        <is>
          <t>Conditional — max loss, $m</t>
        </is>
      </c>
      <c r="B44" s="48">
        <f>IFERROR($B$40*$B$11/10000*10,"")</f>
        <v/>
      </c>
      <c r="H44" s="16" t="inlineStr">
        <is>
          <t>Premium only, and it is known on day one.</t>
        </is>
      </c>
    </row>
    <row r="45">
      <c r="A45" s="22" t="inlineStr">
        <is>
          <t>Conditional — max loss, % of book</t>
        </is>
      </c>
      <c r="B45" s="49">
        <f>IFERROR($B$44/$B$13,"")</f>
        <v/>
      </c>
      <c r="H45" s="16" t="inlineStr">
        <is>
          <t>Pre-sized, no stop required, survives a gap.</t>
        </is>
      </c>
    </row>
    <row r="48">
      <c r="A48" s="4" t="inlineStr">
        <is>
          <t>The falsification calendar — dated, with the number</t>
        </is>
      </c>
    </row>
    <row r="49">
      <c r="A49" s="8" t="inlineStr">
        <is>
          <t>The July minutes show several Board members expecting inflation to accelerate significantly in the second half of the fiscal year, and two favouring faster hikes on firms' willingness to raise prices. That is the strongest argument against this trade and it is testable on a known date. Our reading is that broad-based price increases are cost pass-through from the same crude shock the April Outlook says will wane — so core-core is the arbiter, not headline.</t>
        </is>
      </c>
    </row>
    <row r="51" ht="18" customHeight="1">
      <c r="A51" s="9" t="inlineStr">
        <is>
          <t>Date</t>
        </is>
      </c>
      <c r="B51" s="9" t="inlineStr">
        <is>
          <t>Event</t>
        </is>
      </c>
      <c r="C51" s="9" t="inlineStr">
        <is>
          <t>What kills the trade</t>
        </is>
      </c>
      <c r="D51" s="9" t="inlineStr"/>
      <c r="E51" s="9" t="inlineStr"/>
      <c r="F51" s="9" t="inlineStr"/>
      <c r="G51" s="9" t="inlineStr"/>
      <c r="H51" s="9" t="inlineStr">
        <is>
          <t>What confirms it</t>
        </is>
      </c>
    </row>
    <row r="52" ht="30" customHeight="1">
      <c r="A52" s="10" t="inlineStr">
        <is>
          <t>18 Sep 2026</t>
        </is>
      </c>
      <c r="B52" s="22" t="inlineStr">
        <is>
          <t>BoJ policy meeting</t>
        </is>
      </c>
      <c r="C52" s="50" t="inlineStr">
        <is>
          <t>A hike delivered WITH hawkish guidance on the path</t>
        </is>
      </c>
      <c r="D52" s="18" t="n"/>
      <c r="E52" s="18" t="n"/>
      <c r="F52" s="18" t="n"/>
      <c r="G52" s="18" t="n"/>
      <c r="H52" s="16" t="inlineStr">
        <is>
          <t>A hike delivered as a one-and-done — that is the entry, not the exit</t>
        </is>
      </c>
    </row>
    <row r="53" ht="30" customHeight="1">
      <c r="A53" s="10" t="inlineStr">
        <is>
          <t>Sep / Oct / Nov</t>
        </is>
      </c>
      <c r="B53" s="22" t="inlineStr">
        <is>
          <t>National core-core CPI, monthly</t>
        </is>
      </c>
      <c r="C53" s="50" t="inlineStr">
        <is>
          <t>Two consecutive prints back above 2.2% and rising</t>
        </is>
      </c>
      <c r="D53" s="18" t="n"/>
      <c r="E53" s="18" t="n"/>
      <c r="F53" s="18" t="n"/>
      <c r="G53" s="18" t="n"/>
      <c r="H53" s="16" t="inlineStr">
        <is>
          <t>Core-core holding at or below 2% while headline stays crude-driven</t>
        </is>
      </c>
    </row>
    <row r="54" ht="30" customHeight="1">
      <c r="A54" s="10" t="inlineStr">
        <is>
          <t>29 Oct 2026</t>
        </is>
      </c>
      <c r="B54" s="22" t="inlineStr">
        <is>
          <t>BoJ policy meeting and Outlook Report</t>
        </is>
      </c>
      <c r="C54" s="50" t="inlineStr">
        <is>
          <t>The FY27 CPI forecast revised UP</t>
        </is>
      </c>
      <c r="D54" s="18" t="n"/>
      <c r="E54" s="18" t="n"/>
      <c r="F54" s="18" t="n"/>
      <c r="G54" s="18" t="n"/>
      <c r="H54" s="16" t="inlineStr">
        <is>
          <t>The FY27 forecast held or cut, confirming the terms-of-trade read</t>
        </is>
      </c>
    </row>
    <row r="55" ht="30" customHeight="1">
      <c r="A55" s="10" t="inlineStr">
        <is>
          <t>Monthly</t>
        </is>
      </c>
      <c r="B55" s="22" t="inlineStr">
        <is>
          <t>USD/JPY against 165</t>
        </is>
      </c>
      <c r="C55" s="50" t="inlineStr">
        <is>
          <t>Through 165 and holding — the BoJ hikes for FX regardless of growth</t>
        </is>
      </c>
      <c r="D55" s="18" t="n"/>
      <c r="E55" s="18" t="n"/>
      <c r="F55" s="18" t="n"/>
      <c r="G55" s="18" t="n"/>
      <c r="H55" s="16" t="inlineStr">
        <is>
          <t>Held below 160 after the coordinated intervention</t>
        </is>
      </c>
    </row>
    <row r="56" ht="30" customHeight="1">
      <c r="A56" s="10" t="inlineStr">
        <is>
          <t>Monthly</t>
        </is>
      </c>
      <c r="B56" s="22" t="inlineStr">
        <is>
          <t>Real wages and household spending</t>
        </is>
      </c>
      <c r="C56" s="50" t="inlineStr">
        <is>
          <t>Spending turns positive while real wages keep rising</t>
        </is>
      </c>
      <c r="D56" s="18" t="n"/>
      <c r="E56" s="18" t="n"/>
      <c r="F56" s="18" t="n"/>
      <c r="G56" s="18" t="n"/>
      <c r="H56" s="16" t="inlineStr">
        <is>
          <t>The divergence persists — income rising, spending falling</t>
        </is>
      </c>
    </row>
    <row r="57" ht="30" customHeight="1">
      <c r="A57" s="10" t="inlineStr">
        <is>
          <t>Spring 2027</t>
        </is>
      </c>
      <c r="B57" s="22" t="inlineStr">
        <is>
          <t>Shunto first tally</t>
        </is>
      </c>
      <c r="C57" s="50" t="inlineStr">
        <is>
          <t>Above 5.5% again, making the wage impulse durable</t>
        </is>
      </c>
      <c r="D57" s="18" t="n"/>
      <c r="E57" s="18" t="n"/>
      <c r="F57" s="18" t="n"/>
      <c r="G57" s="18" t="n"/>
      <c r="H57" s="16" t="inlineStr">
        <is>
          <t>Below 5%, and the wage-price loop is not self-sustaining</t>
        </is>
      </c>
    </row>
    <row r="60">
      <c r="A60" s="8" t="inlineStr">
        <is>
          <t>Every line has a date and a number. A thesis without either is a view, and a view is not a trade — it is the thing you defend after it has gone wrong.</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I71"/>
  <sheetViews>
    <sheetView showGridLines="0" workbookViewId="0">
      <pane ySplit="4" topLeftCell="A5" activePane="bottomLeft" state="frozen"/>
      <selection pane="bottomLeft" activeCell="A1" sqref="A1"/>
    </sheetView>
  </sheetViews>
  <sheetFormatPr baseColWidth="8" defaultRowHeight="15"/>
  <cols>
    <col width="22" customWidth="1" min="1" max="1"/>
    <col width="22" customWidth="1" min="2" max="2"/>
    <col width="26" customWidth="1" min="3" max="3"/>
    <col width="15" customWidth="1" min="4" max="4"/>
    <col width="15" customWidth="1" min="5" max="5"/>
    <col width="46" customWidth="1" min="6" max="6"/>
  </cols>
  <sheetData>
    <row r="1">
      <c r="A1" s="1" t="inlineStr">
        <is>
          <t>Tying the trade to the macro framing</t>
        </is>
      </c>
    </row>
    <row r="2">
      <c r="A2" s="2" t="inlineStr">
        <is>
          <t>The steepener is Channel 2 expressed in rates. These are the artefacts that show it rather than assert it.</t>
        </is>
      </c>
    </row>
    <row r="3" ht="4" customHeight="1">
      <c r="A3" s="3" t="n"/>
      <c r="B3" s="3" t="n"/>
      <c r="C3" s="3" t="n"/>
      <c r="D3" s="3" t="n"/>
      <c r="E3" s="3" t="n"/>
      <c r="F3" s="3" t="n"/>
      <c r="G3" s="3" t="n"/>
      <c r="H3" s="3" t="n"/>
      <c r="I3" s="3" t="n"/>
    </row>
    <row r="5">
      <c r="A5" s="4" t="inlineStr">
        <is>
          <t>Every channel, and the instrument that expresses it</t>
        </is>
      </c>
    </row>
    <row r="6" ht="18" customHeight="1">
      <c r="A6" s="9" t="inlineStr">
        <is>
          <t>Channel</t>
        </is>
      </c>
      <c r="B6" s="9" t="inlineStr">
        <is>
          <t>The number</t>
        </is>
      </c>
      <c r="C6" s="9" t="inlineStr">
        <is>
          <t>Instrument</t>
        </is>
      </c>
      <c r="D6" s="9" t="inlineStr">
        <is>
          <t>Direction</t>
        </is>
      </c>
      <c r="E6" s="9" t="inlineStr"/>
      <c r="F6" s="9" t="inlineStr">
        <is>
          <t>Why this instrument</t>
        </is>
      </c>
    </row>
    <row r="7" ht="30" customHeight="1">
      <c r="A7" s="51" t="inlineStr">
        <is>
          <t>1 · Fed / discount rate</t>
        </is>
      </c>
      <c r="B7" s="52" t="inlineStr">
        <is>
          <t>UST 10y 3.97 → 4.71%</t>
        </is>
      </c>
      <c r="C7" s="52" t="inlineStr">
        <is>
          <t>US 5s30s steepener</t>
        </is>
      </c>
      <c r="D7" s="52" t="inlineStr">
        <is>
          <t>Bear steepener</t>
        </is>
      </c>
      <c r="E7" s="52" t="inlineStr"/>
      <c r="F7" s="16" t="inlineStr">
        <is>
          <t>Term premium widens whether the Fed hikes or loses credibility. Trade 2, already in the book.</t>
        </is>
      </c>
    </row>
    <row r="8" ht="30" customHeight="1">
      <c r="A8" s="51" t="inlineStr">
        <is>
          <t>2 · Energy / terms of trade</t>
        </is>
      </c>
      <c r="B8" s="52" t="inlineStr">
        <is>
          <t>Brent $72 → $102 → $88</t>
        </is>
      </c>
      <c r="C8" s="52" t="inlineStr">
        <is>
          <t>JPY 2s10s bull steepener</t>
        </is>
      </c>
      <c r="D8" s="52" t="inlineStr">
        <is>
          <t>Bull steepener</t>
        </is>
      </c>
      <c r="E8" s="52" t="inlineStr"/>
      <c r="F8" s="16" t="inlineStr">
        <is>
          <t>Japan is the G7's largest net energy importer. The BoJ's own Outlook writes the terms-of-trade hit into its forecasts. This trade.</t>
        </is>
      </c>
    </row>
    <row r="9" ht="30" customHeight="1">
      <c r="A9" s="51" t="inlineStr">
        <is>
          <t>3 · Tariffs</t>
        </is>
      </c>
      <c r="B9" s="52" t="inlineStr">
        <is>
          <t>10–12.5%, statutory</t>
        </is>
      </c>
      <c r="C9" s="52" t="inlineStr">
        <is>
          <t>Japan vs Korea equity spread</t>
        </is>
      </c>
      <c r="D9" s="52" t="inlineStr">
        <is>
          <t>Relative value</t>
        </is>
      </c>
      <c r="E9" s="52" t="inlineStr"/>
      <c r="F9" s="16" t="inlineStr">
        <is>
          <t>A permanent margin tax, concentrated in Korean and Taiwanese electronics and near zero for Japanese domestic demand. Trade 1.</t>
        </is>
      </c>
    </row>
    <row r="10" ht="30" customHeight="1">
      <c r="A10" s="51" t="inlineStr">
        <is>
          <t>4 · Capital cycle</t>
        </is>
      </c>
      <c r="B10" s="52" t="inlineStr">
        <is>
          <t>China DUV, ~$270bn</t>
        </is>
      </c>
      <c r="C10" s="52" t="inlineStr">
        <is>
          <t>Short Korea semis</t>
        </is>
      </c>
      <c r="D10" s="52" t="inlineStr">
        <is>
          <t>Directional</t>
        </is>
      </c>
      <c r="E10" s="52" t="inlineStr"/>
      <c r="F10" s="16" t="inlineStr">
        <is>
          <t>A terminal-value event, not an earnings event. Trade 1's short leg.</t>
        </is>
      </c>
    </row>
    <row r="12">
      <c r="A12" s="8" t="inlineStr">
        <is>
          <t>The point of this table is that no trade is orphaned. If a position cannot be traced to a channel it should not be in the book, and if a channel has no instrument the framing is decorative.</t>
        </is>
      </c>
    </row>
    <row r="14">
      <c r="A14" s="4" t="inlineStr">
        <is>
          <t>What each position does in each state</t>
        </is>
      </c>
    </row>
    <row r="15" ht="18" customHeight="1">
      <c r="A15" s="9" t="inlineStr">
        <is>
          <t>Position</t>
        </is>
      </c>
      <c r="B15" s="9" t="inlineStr">
        <is>
          <t>BASE 55%</t>
        </is>
      </c>
      <c r="C15" s="9" t="inlineStr">
        <is>
          <t>BEAR 25%</t>
        </is>
      </c>
      <c r="D15" s="9" t="inlineStr">
        <is>
          <t>BULL 20%</t>
        </is>
      </c>
      <c r="E15" s="9" t="inlineStr">
        <is>
          <t>BoJ delivers</t>
        </is>
      </c>
      <c r="F15" s="9" t="inlineStr">
        <is>
          <t>Read</t>
        </is>
      </c>
    </row>
    <row r="16">
      <c r="A16" s="51" t="inlineStr">
        <is>
          <t>JPY 2s10s bull steepener</t>
        </is>
      </c>
      <c r="B16" s="52" t="inlineStr">
        <is>
          <t>Carry</t>
        </is>
      </c>
      <c r="C16" s="52" t="inlineStr">
        <is>
          <t>Pays</t>
        </is>
      </c>
      <c r="D16" s="52" t="inlineStr">
        <is>
          <t>Loses</t>
        </is>
      </c>
      <c r="E16" s="52" t="inlineStr">
        <is>
          <t>Loses</t>
        </is>
      </c>
      <c r="F16" s="16" t="inlineStr">
        <is>
          <t>Pays in the state that kills the equity book.</t>
        </is>
      </c>
    </row>
    <row r="17">
      <c r="A17" s="51" t="inlineStr">
        <is>
          <t>Trade 1 · long Japan banks</t>
        </is>
      </c>
      <c r="B17" s="52" t="inlineStr">
        <is>
          <t>Pays</t>
        </is>
      </c>
      <c r="C17" s="52" t="inlineStr">
        <is>
          <t>Loses</t>
        </is>
      </c>
      <c r="D17" s="52" t="inlineStr">
        <is>
          <t>Pays</t>
        </is>
      </c>
      <c r="E17" s="52" t="inlineStr">
        <is>
          <t>Pays</t>
        </is>
      </c>
      <c r="F17" s="16" t="inlineStr">
        <is>
          <t>The mirror image. Between them, all four states are covered.</t>
        </is>
      </c>
    </row>
    <row r="18">
      <c r="A18" s="51" t="inlineStr">
        <is>
          <t>Trade 2 · US 5s30s</t>
        </is>
      </c>
      <c r="B18" s="52" t="inlineStr">
        <is>
          <t>Carry</t>
        </is>
      </c>
      <c r="C18" s="52" t="inlineStr">
        <is>
          <t>Pays</t>
        </is>
      </c>
      <c r="D18" s="52" t="inlineStr">
        <is>
          <t>Loses</t>
        </is>
      </c>
      <c r="E18" s="52" t="inlineStr">
        <is>
          <t>Neutral</t>
        </is>
      </c>
      <c r="F18" s="16" t="inlineStr">
        <is>
          <t>Same shape as the JPY leg, opposite engine.</t>
        </is>
      </c>
    </row>
    <row r="19">
      <c r="A19" s="51" t="inlineStr">
        <is>
          <t>Trade 3 · gold call spread</t>
        </is>
      </c>
      <c r="B19" s="52" t="inlineStr">
        <is>
          <t>Premium</t>
        </is>
      </c>
      <c r="C19" s="52" t="inlineStr">
        <is>
          <t>Pays</t>
        </is>
      </c>
      <c r="D19" s="52" t="inlineStr">
        <is>
          <t>Loses</t>
        </is>
      </c>
      <c r="E19" s="52" t="inlineStr">
        <is>
          <t>Neutral</t>
        </is>
      </c>
      <c r="F19" s="16" t="inlineStr">
        <is>
          <t>Convexity against both tails.</t>
        </is>
      </c>
    </row>
    <row r="21">
      <c r="A21" s="8" t="inlineStr">
        <is>
          <t>Scenario probabilities are the author's, carried over from the macro deck. The fourth column is new: it is the state where the BoJ simply delivers what is priced, and it is the only one where this trade and Trade 1 disagree. That disagreement is the reason to hold both.</t>
        </is>
      </c>
    </row>
    <row r="24">
      <c r="A24" s="4" t="inlineStr">
        <is>
          <t>Is it crowded? — where the street actually is</t>
        </is>
      </c>
    </row>
    <row r="25" ht="18" customHeight="1">
      <c r="A25" s="9" t="inlineStr">
        <is>
          <t>Trade</t>
        </is>
      </c>
      <c r="B25" s="9" t="inlineStr">
        <is>
          <t>Street positioning</t>
        </is>
      </c>
      <c r="C25" s="9" t="inlineStr">
        <is>
          <t>Us</t>
        </is>
      </c>
      <c r="D25" s="9" t="inlineStr"/>
      <c r="E25" s="9" t="inlineStr"/>
      <c r="F25" s="9" t="inlineStr">
        <is>
          <t>What it means</t>
        </is>
      </c>
    </row>
    <row r="26" ht="34" customHeight="1">
      <c r="A26" s="51" t="inlineStr">
        <is>
          <t>JGB 10s30s</t>
        </is>
      </c>
      <c r="B26" s="52" t="inlineStr">
        <is>
          <t>Flatteners — consensus</t>
        </is>
      </c>
      <c r="C26" s="52" t="inlineStr">
        <is>
          <t>Not in it</t>
        </is>
      </c>
      <c r="D26" s="52" t="inlineStr"/>
      <c r="E26" s="52" t="inlineStr"/>
      <c r="F26" s="16" t="inlineStr">
        <is>
          <t>The long-end premium is technical, and the MoF is fixing the technical by cutting super-long issuance to a 17-year low. The street is right, and it is not our trade.</t>
        </is>
      </c>
    </row>
    <row r="27" ht="34" customHeight="1">
      <c r="A27" s="51" t="inlineStr">
        <is>
          <t>JGB 2s10s</t>
        </is>
      </c>
      <c r="B27" s="52" t="inlineStr">
        <is>
          <t>No consensus position</t>
        </is>
      </c>
      <c r="C27" s="52" t="inlineStr">
        <is>
          <t>Bull steepener</t>
        </is>
      </c>
      <c r="D27" s="52" t="inlineStr"/>
      <c r="E27" s="52" t="inlineStr"/>
      <c r="F27" s="16" t="inlineStr">
        <is>
          <t>The front end is the fundamental curve — it is where the BoJ path lives. Nobody is positioned here. This is the opposite of the crowding problem on Trade 1.</t>
        </is>
      </c>
    </row>
    <row r="28" ht="34" customHeight="1">
      <c r="A28" s="51" t="inlineStr">
        <is>
          <t>US / UK curves</t>
        </is>
      </c>
      <c r="B28" s="52" t="inlineStr">
        <is>
          <t>Steepeners — consensus</t>
        </is>
      </c>
      <c r="C28" s="52" t="inlineStr">
        <is>
          <t>Steepener (Trade 2)</t>
        </is>
      </c>
      <c r="D28" s="52" t="inlineStr"/>
      <c r="E28" s="52" t="inlineStr"/>
      <c r="F28" s="16" t="inlineStr">
        <is>
          <t>We are with the street here, and we should say so rather than pretend it is differentiated.</t>
        </is>
      </c>
    </row>
    <row r="29" ht="34" customHeight="1">
      <c r="A29" s="51" t="inlineStr">
        <is>
          <t>Japan banks</t>
        </is>
      </c>
      <c r="B29" s="52" t="inlineStr">
        <is>
          <t>Long — crowded</t>
        </is>
      </c>
      <c r="C29" s="52" t="inlineStr">
        <is>
          <t>Long (Trade 1)</t>
        </is>
      </c>
      <c r="D29" s="52" t="inlineStr"/>
      <c r="E29" s="52" t="inlineStr"/>
      <c r="F29" s="16" t="inlineStr">
        <is>
          <t>MUFG and SMFG NIMs expanding for the first time in a generation. Crowded, and volunteered as such in the macro deck.</t>
        </is>
      </c>
    </row>
    <row r="31">
      <c r="A31" s="8" t="inlineStr">
        <is>
          <t>This is the answer to "everyone is doing this." On the two curve trades we are with the street on one and alone on the other, and the one we are alone on is the one the macro framing actually implies.</t>
        </is>
      </c>
    </row>
    <row r="34">
      <c r="A34" s="4" t="inlineStr">
        <is>
          <t>Twin wedge — the same supply shock, two economies</t>
        </is>
      </c>
    </row>
    <row r="35" ht="18" customHeight="1">
      <c r="A35" s="9" t="inlineStr">
        <is>
          <t>Measure</t>
        </is>
      </c>
      <c r="B35" s="9" t="inlineStr">
        <is>
          <t>Ticker</t>
        </is>
      </c>
      <c r="C35" s="9" t="inlineStr">
        <is>
          <t>Value, %</t>
        </is>
      </c>
    </row>
    <row r="36">
      <c r="A36" s="22" t="inlineStr">
        <is>
          <t>US headline CPI</t>
        </is>
      </c>
      <c r="B36" s="5" t="inlineStr">
        <is>
          <t>CPI YOY Index</t>
        </is>
      </c>
      <c r="C36" s="42">
        <f>BDP($B36,"PX_LAST")</f>
        <v/>
      </c>
    </row>
    <row r="37">
      <c r="A37" s="22" t="inlineStr">
        <is>
          <t>US core CPI</t>
        </is>
      </c>
      <c r="B37" s="5" t="inlineStr">
        <is>
          <t>CPI XYOY Index</t>
        </is>
      </c>
      <c r="C37" s="42">
        <f>BDP($B37,"PX_LAST")</f>
        <v/>
      </c>
    </row>
    <row r="38">
      <c r="A38" s="22" t="inlineStr">
        <is>
          <t>Japan headline CPI</t>
        </is>
      </c>
      <c r="B38" s="5" t="inlineStr">
        <is>
          <t>JNCPIYOY Index</t>
        </is>
      </c>
      <c r="C38" s="42">
        <f>BDP($B38,"PX_LAST")</f>
        <v/>
      </c>
    </row>
    <row r="39">
      <c r="A39" s="22" t="inlineStr">
        <is>
          <t>Japan core-core CPI</t>
        </is>
      </c>
      <c r="B39" s="5" t="inlineStr">
        <is>
          <t>JCPNEFEY Index</t>
        </is>
      </c>
      <c r="C39" s="42">
        <f>BDP($B39,"PX_LAST")</f>
        <v/>
      </c>
    </row>
    <row r="41">
      <c r="A41" s="8" t="inlineStr">
        <is>
          <t>Both economies show headline above core because both are importing the same energy shock. Neither central bank sets the price that is driving it. That is the macro deck's first differentiator, and it is the whole basis for this trade in Japan.</t>
        </is>
      </c>
    </row>
    <row r="44">
      <c r="A44" s="4" t="inlineStr">
        <is>
          <t>Real yields — and where Japan's actually is negative</t>
        </is>
      </c>
    </row>
    <row r="45" ht="18" customHeight="1">
      <c r="A45" s="9" t="inlineStr">
        <is>
          <t>Point</t>
        </is>
      </c>
      <c r="B45" s="9" t="inlineStr">
        <is>
          <t>Source</t>
        </is>
      </c>
      <c r="C45" s="9" t="inlineStr">
        <is>
          <t>Real yield, %</t>
        </is>
      </c>
    </row>
    <row r="46">
      <c r="A46" s="22" t="inlineStr">
        <is>
          <t>China 10y</t>
        </is>
      </c>
      <c r="B46" s="12" t="inlineStr">
        <is>
          <t>RealYield tab</t>
        </is>
      </c>
      <c r="C46" s="21">
        <f>RealYield!F6</f>
        <v/>
      </c>
    </row>
    <row r="47">
      <c r="A47" s="22" t="inlineStr">
        <is>
          <t>Hong Kong 10y</t>
        </is>
      </c>
      <c r="B47" s="12" t="inlineStr">
        <is>
          <t>RealYield tab</t>
        </is>
      </c>
      <c r="C47" s="21">
        <f>RealYield!F7</f>
        <v/>
      </c>
    </row>
    <row r="48">
      <c r="A48" s="22" t="inlineStr">
        <is>
          <t>Korea 10y</t>
        </is>
      </c>
      <c r="B48" s="12" t="inlineStr">
        <is>
          <t>RealYield tab</t>
        </is>
      </c>
      <c r="C48" s="21">
        <f>RealYield!F8</f>
        <v/>
      </c>
    </row>
    <row r="49">
      <c r="A49" s="22" t="inlineStr">
        <is>
          <t>Japan 10y</t>
        </is>
      </c>
      <c r="B49" s="12" t="inlineStr">
        <is>
          <t>RealYield tab</t>
        </is>
      </c>
      <c r="C49" s="21">
        <f>RealYield!F9</f>
        <v/>
      </c>
    </row>
    <row r="50">
      <c r="A50" s="22" t="inlineStr">
        <is>
          <t>Taiwan 10y</t>
        </is>
      </c>
      <c r="B50" s="12" t="inlineStr">
        <is>
          <t>RealYield tab</t>
        </is>
      </c>
      <c r="C50" s="21">
        <f>RealYield!F10</f>
        <v/>
      </c>
    </row>
    <row r="51">
      <c r="A51" s="22" t="inlineStr">
        <is>
          <t>Japan 2y</t>
        </is>
      </c>
      <c r="B51" s="12" t="inlineStr">
        <is>
          <t>2y OIS less core-core</t>
        </is>
      </c>
      <c r="C51" s="21">
        <f>IFERROR(BullSteepener!C15-RealYield!E9,"")</f>
        <v/>
      </c>
    </row>
    <row r="53">
      <c r="A53" s="8" t="inlineStr">
        <is>
          <t>Japan's ten-year pays a positive real yield. Its two-year does not — the market is being asked to fund two more hikes at a negative real rate, against a core-core print below target. The mispricing is at the front, which is why the trade is at the front.</t>
        </is>
      </c>
    </row>
    <row r="56">
      <c r="A56" s="4" t="inlineStr">
        <is>
          <t>Two steepeners, opposite engines</t>
        </is>
      </c>
    </row>
    <row r="57" ht="18" customHeight="1">
      <c r="A57" s="9" t="inlineStr">
        <is>
          <t>Curve</t>
        </is>
      </c>
      <c r="B57" s="9" t="inlineStr">
        <is>
          <t>Long leg</t>
        </is>
      </c>
      <c r="C57" s="9" t="inlineStr">
        <is>
          <t>Short leg</t>
        </is>
      </c>
      <c r="D57" s="9" t="inlineStr">
        <is>
          <t>Slope, bp</t>
        </is>
      </c>
      <c r="E57" s="9" t="inlineStr">
        <is>
          <t>5y pctile</t>
        </is>
      </c>
      <c r="F57" s="9" t="inlineStr">
        <is>
          <t>Engine</t>
        </is>
      </c>
    </row>
    <row r="58" ht="30" customHeight="1">
      <c r="A58" s="10" t="inlineStr">
        <is>
          <t>US 5s30s</t>
        </is>
      </c>
      <c r="B58" s="5" t="inlineStr">
        <is>
          <t>USGG30YR Index</t>
        </is>
      </c>
      <c r="C58" s="5" t="inlineStr">
        <is>
          <t>USGG5YR Index</t>
        </is>
      </c>
      <c r="D58" s="29">
        <f>IFERROR((BDP($B58,"PX_LAST")-BDP($C58,"PX_LAST"))*100,"")</f>
        <v/>
      </c>
      <c r="E58" s="53">
        <f>IFERROR(CurveSlope!H21,"")</f>
        <v/>
      </c>
      <c r="F58" s="16" t="inlineStr">
        <is>
          <t>Term premium — a bear steepener. Pays if the Fed hikes or loses credibility.</t>
        </is>
      </c>
    </row>
    <row r="59" ht="30" customHeight="1">
      <c r="A59" s="10" t="inlineStr">
        <is>
          <t>JPY 2s10s</t>
        </is>
      </c>
      <c r="B59" s="5" t="inlineStr">
        <is>
          <t>JYSO10 Curncy</t>
        </is>
      </c>
      <c r="C59" s="5" t="inlineStr">
        <is>
          <t>JYSO2 Curncy</t>
        </is>
      </c>
      <c r="D59" s="29">
        <f>IFERROR((BDP($B59,"PX_LAST")-BDP($C59,"PX_LAST"))*100,"")</f>
        <v/>
      </c>
      <c r="E59" s="53">
        <f>IFERROR(CurveSlope!H18,"")</f>
        <v/>
      </c>
      <c r="F59" s="16" t="inlineStr">
        <is>
          <t>The BoJ path — a bull steepener. Pays if the front end rallies as hikes come out.</t>
        </is>
      </c>
    </row>
    <row r="61">
      <c r="A61" s="8" t="inlineStr">
        <is>
          <t>Same shape, opposite driver. That is why they are a book rather than the same bet twice — and it is the answer to the first question a rates PM will ask about holding both.</t>
        </is>
      </c>
    </row>
    <row r="64">
      <c r="A64" s="4" t="inlineStr">
        <is>
          <t>What is priced against what the Bank itself forecasts</t>
        </is>
      </c>
    </row>
    <row r="65" ht="18" customHeight="1">
      <c r="A65" s="9" t="inlineStr">
        <is>
          <t>Horizon</t>
        </is>
      </c>
      <c r="B65" s="9" t="inlineStr">
        <is>
          <t>BoJ CPI forecast, %</t>
        </is>
      </c>
      <c r="C65" s="9" t="inlineStr">
        <is>
          <t>Market-implied policy rate, %</t>
        </is>
      </c>
    </row>
    <row r="66">
      <c r="A66" s="22" t="inlineStr">
        <is>
          <t>Spot</t>
        </is>
      </c>
      <c r="B66" s="18" t="n"/>
      <c r="C66" s="23">
        <f>IFERROR(BullSteepener!C13,"")</f>
        <v/>
      </c>
    </row>
    <row r="67">
      <c r="A67" s="22" t="inlineStr">
        <is>
          <t>1 year</t>
        </is>
      </c>
      <c r="B67" s="23" t="n">
        <v>2.75</v>
      </c>
      <c r="C67" s="23">
        <f>IFERROR(BullSteepener!C14,"")</f>
        <v/>
      </c>
    </row>
    <row r="68">
      <c r="A68" s="22" t="inlineStr">
        <is>
          <t>2 years</t>
        </is>
      </c>
      <c r="B68" s="23" t="n">
        <v>2.25</v>
      </c>
      <c r="C68" s="23">
        <f>IFERROR(BullSteepener!C15,"")</f>
        <v/>
      </c>
    </row>
    <row r="69">
      <c r="A69" s="22" t="inlineStr">
        <is>
          <t>3 years</t>
        </is>
      </c>
      <c r="B69" s="23" t="n">
        <v>2</v>
      </c>
      <c r="C69" s="18" t="n"/>
    </row>
    <row r="71">
      <c r="A71" s="8" t="inlineStr">
        <is>
          <t>The CPI path is the BoJ's April 2026 Outlook Report — 2.5-3.0% for FY2026, 2.0-2.5% for FY2027 and around 2% for FY2028, midpoints taken. It is typed because a published forecast is not something the terminal returns; the policy-rate series next to it is live. The horizons are approximate rather than exactly matched — say so if pressed. And read this chart as the April Outlook, not as current guidance: at the July press conference Ueda said CPI is likely to accelerate clearly above 2% in the second half of FY26 and flagged upside risk to underlying CPI. The gap this chart shows is the Bank's own published path, and the Bank has since talked above it.</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2026-08-09T02:43:55Z</dcterms:created>
  <dcterms:modified xmlns:dcterms="http://purl.org/dc/terms/" xmlns:xsi="http://www.w3.org/2001/XMLSchema-instance" xsi:type="dcterms:W3CDTF">2026-08-09T02:43:55Z</dcterms:modified>
</cp:coreProperties>
</file>